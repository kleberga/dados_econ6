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CDB61895-D6AB-4E7C-A220-ED5443CFA3AA}" xr6:coauthVersionLast="47" xr6:coauthVersionMax="47" xr10:uidLastSave="{00000000-0000-0000-0000-000000000000}"/>
  <bookViews>
    <workbookView xWindow="28680" yWindow="-120" windowWidth="29040" windowHeight="15840" xr2:uid="{791AB8D9-6D2F-4D8C-AB27-920963627214}"/>
  </bookViews>
  <sheets>
    <sheet name="Planilha1" sheetId="1" r:id="rId1"/>
  </sheets>
  <definedNames>
    <definedName name="_xlnm._FilterDatabase" localSheetId="0" hidden="1">Planilha1!$A$1:$S$2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97" i="1" l="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3" i="1"/>
  <c r="N4" i="1"/>
  <c r="N2" i="1"/>
</calcChain>
</file>

<file path=xl/sharedStrings.xml><?xml version="1.0" encoding="utf-8"?>
<sst xmlns="http://schemas.openxmlformats.org/spreadsheetml/2006/main" count="4141" uniqueCount="1043">
  <si>
    <t>M</t>
  </si>
  <si>
    <t>N</t>
  </si>
  <si>
    <t>nula</t>
  </si>
  <si>
    <t>cod</t>
  </si>
  <si>
    <t>nome</t>
  </si>
  <si>
    <t>per</t>
  </si>
  <si>
    <t>inicio</t>
  </si>
  <si>
    <t>fim</t>
  </si>
  <si>
    <t>esp</t>
  </si>
  <si>
    <t>met</t>
  </si>
  <si>
    <t>nome_completo</t>
  </si>
  <si>
    <t>descricao</t>
  </si>
  <si>
    <t>formato</t>
  </si>
  <si>
    <t>fonte</t>
  </si>
  <si>
    <t>Banco Central do Brasil</t>
  </si>
  <si>
    <t>urlAPI</t>
  </si>
  <si>
    <t>idAssunto</t>
  </si>
  <si>
    <t>nivel_geog</t>
  </si>
  <si>
    <t>localidades</t>
  </si>
  <si>
    <t>categoria</t>
  </si>
  <si>
    <t>fonte_orig</t>
  </si>
  <si>
    <t>metrica</t>
  </si>
  <si>
    <t>Unidade da federação</t>
  </si>
  <si>
    <t>Grande região</t>
  </si>
  <si>
    <t>Norte</t>
  </si>
  <si>
    <t>Nordeste</t>
  </si>
  <si>
    <t>Centro-Oeste</t>
  </si>
  <si>
    <t>Sudeste</t>
  </si>
  <si>
    <t>Sul</t>
  </si>
  <si>
    <t>Saldo da balança comercial - AC</t>
  </si>
  <si>
    <t>US$ (mil)</t>
  </si>
  <si>
    <t>MDIC/Secex</t>
  </si>
  <si>
    <t>Exportação de bens - AC</t>
  </si>
  <si>
    <t>Importação de bens - AC</t>
  </si>
  <si>
    <t>US$ mil</t>
  </si>
  <si>
    <t>Saldo da balança comercial</t>
  </si>
  <si>
    <t>Exportação de bens</t>
  </si>
  <si>
    <t>Importação de bens</t>
  </si>
  <si>
    <t>O saldo da balança comercial é obtido pela diferença entre o valor exportado e o valor importado. Os valores de exportação e importação valores fob, ou seja, livre dos custos internacionais de transporte e seguro.</t>
  </si>
  <si>
    <t>Corresponde ao valor total das mercadorias vendidas ao exterior pela unidade da federação especificada.</t>
  </si>
  <si>
    <t>Corresponde ao valor total de ingresso de mercadorias originárias do exterior para a unidade da federação especificada.</t>
  </si>
  <si>
    <t>Acre</t>
  </si>
  <si>
    <t>Balanço de pagamentos</t>
  </si>
  <si>
    <t>Transações correntes - mensal</t>
  </si>
  <si>
    <t>Saldo da balança comercial - AP</t>
  </si>
  <si>
    <t>Exportação de bens - AP</t>
  </si>
  <si>
    <t>Importação de bens - AP</t>
  </si>
  <si>
    <t>Amapá</t>
  </si>
  <si>
    <t>Saldo da balança comercial - AM</t>
  </si>
  <si>
    <t>Exportação de bens - AM</t>
  </si>
  <si>
    <t>Importação de bens - AM</t>
  </si>
  <si>
    <t>Amazonas</t>
  </si>
  <si>
    <t>Saldo da balança comercial - PA</t>
  </si>
  <si>
    <t>Exportação de bens - PA</t>
  </si>
  <si>
    <t>Importação de bens - PA</t>
  </si>
  <si>
    <t>Pará</t>
  </si>
  <si>
    <t>Saldo da balança comercial - RO</t>
  </si>
  <si>
    <t>Exportação de bens - RO</t>
  </si>
  <si>
    <t>Importação de bens - RO</t>
  </si>
  <si>
    <t>Rondônia</t>
  </si>
  <si>
    <t>Saldo da balança comercial - RR</t>
  </si>
  <si>
    <t>Exportação de bens - RR</t>
  </si>
  <si>
    <t>Importação de bens - RR</t>
  </si>
  <si>
    <t>Roraima</t>
  </si>
  <si>
    <t>Saldo da balança comercial - TO</t>
  </si>
  <si>
    <t>Exportação de bens - TO</t>
  </si>
  <si>
    <t>Importação de bens - TO</t>
  </si>
  <si>
    <t>Tocantins</t>
  </si>
  <si>
    <t>Exportação de bens - Norte</t>
  </si>
  <si>
    <t>Importação de Bens - Norte</t>
  </si>
  <si>
    <t>Saldo da Balança Comercial - Norte</t>
  </si>
  <si>
    <t>Exportação de bens - AL</t>
  </si>
  <si>
    <t>Importação de bens - AL</t>
  </si>
  <si>
    <t>Saldo da balança comercial - AL</t>
  </si>
  <si>
    <t>Exportação de bens - BA</t>
  </si>
  <si>
    <t>Importação de bens - BA</t>
  </si>
  <si>
    <t>Saldo da balança comercial - BA</t>
  </si>
  <si>
    <t>Alagoas</t>
  </si>
  <si>
    <t>Bahia</t>
  </si>
  <si>
    <t>Exportação de bens - CE</t>
  </si>
  <si>
    <t>Importação de bens - CE</t>
  </si>
  <si>
    <t>Saldo da balança comercial - CE</t>
  </si>
  <si>
    <t>Ceará</t>
  </si>
  <si>
    <t>Exportação de bens - MA</t>
  </si>
  <si>
    <t>Importação de bens - MA</t>
  </si>
  <si>
    <t>Saldo da balança comercial - MA</t>
  </si>
  <si>
    <t>Maranhão</t>
  </si>
  <si>
    <t>Exportação de bens - PB</t>
  </si>
  <si>
    <t>Importação de bens - PB</t>
  </si>
  <si>
    <t>Saldo da balança comercial - PB</t>
  </si>
  <si>
    <t>Paraíba</t>
  </si>
  <si>
    <t>Exportação de bens - PE</t>
  </si>
  <si>
    <t>Importação de bens - PE</t>
  </si>
  <si>
    <t>Saldo da balança comercial - PE</t>
  </si>
  <si>
    <t>Pernambuco</t>
  </si>
  <si>
    <t>Exportação de bens - PI</t>
  </si>
  <si>
    <t>Importação de bens - PI</t>
  </si>
  <si>
    <t>Saldo da balança comercial - PI</t>
  </si>
  <si>
    <t>Piauí</t>
  </si>
  <si>
    <t>Exportação de bens - RN</t>
  </si>
  <si>
    <t>Importação de bens - RN</t>
  </si>
  <si>
    <t>Saldo da balança comercial - RN</t>
  </si>
  <si>
    <t>Rio Grande do Norte</t>
  </si>
  <si>
    <t>Exportação de bens - SE</t>
  </si>
  <si>
    <t>Importação de bens - SE</t>
  </si>
  <si>
    <t>Saldo da balança comercial - SE</t>
  </si>
  <si>
    <t>Sergipe</t>
  </si>
  <si>
    <t>Exportação de bens - NE</t>
  </si>
  <si>
    <t>Importação de bens - NE</t>
  </si>
  <si>
    <t>Saldo da balança comercial - NE</t>
  </si>
  <si>
    <t>Exportação de bens - GO</t>
  </si>
  <si>
    <t>Importação de bens - GO</t>
  </si>
  <si>
    <t>Saldo da balança comercial - GO</t>
  </si>
  <si>
    <t>Goiás</t>
  </si>
  <si>
    <t>Exportação de bens - DF</t>
  </si>
  <si>
    <t>Importação de bens - DF</t>
  </si>
  <si>
    <t>Saldo da balança comercial - DF</t>
  </si>
  <si>
    <t>Distrito Federal</t>
  </si>
  <si>
    <t>Exportação de bens - MT</t>
  </si>
  <si>
    <t>Importação de bens - MT</t>
  </si>
  <si>
    <t>Saldo da balança comercial - MT</t>
  </si>
  <si>
    <t>Mato Grosso</t>
  </si>
  <si>
    <t>Exportação de bens - MS</t>
  </si>
  <si>
    <t>Importação de bens - MS</t>
  </si>
  <si>
    <t>Saldo da balança comercial - MS</t>
  </si>
  <si>
    <t>Mato Grosso do Sul</t>
  </si>
  <si>
    <t>Exportação de bens - Centro-Oeste</t>
  </si>
  <si>
    <t>Importação de bens - Centro-Oeste</t>
  </si>
  <si>
    <t>Saldo da balança comercial - Centro-Oeste</t>
  </si>
  <si>
    <t>Exportação de bens - ES</t>
  </si>
  <si>
    <t>Importação de bens - ES</t>
  </si>
  <si>
    <t>Saldo da balança comercial - ES</t>
  </si>
  <si>
    <t>Espírito Santo</t>
  </si>
  <si>
    <t>Exportação de bens - MG</t>
  </si>
  <si>
    <t>Importação de bens - MG</t>
  </si>
  <si>
    <t>Saldo da balança comercial - MG</t>
  </si>
  <si>
    <t>Minas Gerais</t>
  </si>
  <si>
    <t>Exportação de bens - RJ</t>
  </si>
  <si>
    <t>Importação de bens - RJ</t>
  </si>
  <si>
    <t>Saldo da balança comercial - RJ</t>
  </si>
  <si>
    <t>Rio de Janeiro</t>
  </si>
  <si>
    <t>Exportação de bens - SP</t>
  </si>
  <si>
    <t>Importação de bens - SP</t>
  </si>
  <si>
    <t>Saldo da balança comercial - SP</t>
  </si>
  <si>
    <t>São Paulo</t>
  </si>
  <si>
    <t>Exportação de bens - Sudeste</t>
  </si>
  <si>
    <t>Importação de bens - Sudeste</t>
  </si>
  <si>
    <t>Saldo da balança comercial - Sudeste</t>
  </si>
  <si>
    <t>Exportação de bens - SC</t>
  </si>
  <si>
    <t>Importação de bens - SC</t>
  </si>
  <si>
    <t>Saldo da balança comercial - SC</t>
  </si>
  <si>
    <t>Santa Catarina</t>
  </si>
  <si>
    <t>Exportação de bens - PR</t>
  </si>
  <si>
    <t>Importação de bens - PR</t>
  </si>
  <si>
    <t>Saldo da balança comercial - PR</t>
  </si>
  <si>
    <t>Paraná</t>
  </si>
  <si>
    <t>Exportação de bens - RS</t>
  </si>
  <si>
    <t>Importação de bens - RS</t>
  </si>
  <si>
    <t>Saldo da balança comercial - RS</t>
  </si>
  <si>
    <t>Rio Grande do Sul</t>
  </si>
  <si>
    <t>Exportação de bens - Sul</t>
  </si>
  <si>
    <t>Importação de bens - Sul</t>
  </si>
  <si>
    <t>Saldo da balança comercial - Sul</t>
  </si>
  <si>
    <t>Taxa de paridade do poder de compra (PPC) - consumo das familias - referência 2021 (Banco Mundial)</t>
  </si>
  <si>
    <t>A</t>
  </si>
  <si>
    <t>Fator de conversão que representa, em cada ano, a razão entre os preços ao consumidor de uma mesma cesta de bens no Brasil (em R$) e nos Estados Unidos (em US$). A série, calculada em R$/US$, mostra a taxa observada pelo Banco Mundial em 2021, corrigida pela inflação ao consumidor nos Estados Unidos e no Brasil. Taxas, como essa, são usadas pelo Banco Mundial em comparações internacionais do consumo agregado das famílias em cada país, assim como na conversão das linhas de pobreza internacionais (em US$ PPC) para as moedas de cada país.</t>
  </si>
  <si>
    <t>IPEADATA</t>
  </si>
  <si>
    <t>http://www.ipeadata.gov.br/api/odata4/ValoresSerie(SERCODIGO='WDI_PPCTAXAC2021')</t>
  </si>
  <si>
    <t>Brasil</t>
  </si>
  <si>
    <t>Taxa de câmbio - R$ / US$ - comercial - futuro: vencimento em t+1</t>
  </si>
  <si>
    <t>D</t>
  </si>
  <si>
    <t>http://www.ipeadata.gov.br/api/odata4/ValoresSerie(SERCODIGO='BMF366_FUT1DOL366')</t>
  </si>
  <si>
    <t>Taxa de paridade do poder de compra (PPC) - consumo das famílias</t>
  </si>
  <si>
    <t>http://www.ipeadata.gov.br/api/odata4/ValoresSerie(SERCODIGO='GAC12_PPCTAXAC12')</t>
  </si>
  <si>
    <t>Taxas de câmbio</t>
  </si>
  <si>
    <t>Taxa de paridade do poder de compra (PPC)</t>
  </si>
  <si>
    <t>R$/US$</t>
  </si>
  <si>
    <t>Consumo das familias - referência 2021 (Banco Mundial)</t>
  </si>
  <si>
    <t>Consumo das famílias</t>
  </si>
  <si>
    <t>Dólar dos EUA</t>
  </si>
  <si>
    <t>Comercial - futuro: vencimento em t+1</t>
  </si>
  <si>
    <t>Taxa de câmbio é o preço de uma moeda estrangeira expresso em unidades ou frações (centavos) da moeda nacional.  Contratos futuros são acordos nos quais as partes são obrigadas a comprar ou vender determinada quantidade de determinado ativo a um determinado preço em uma certa data futura. Eles geralmente são utilizados para proteção e gerenciamento de risco. Neste caso, trata-se contrato futuro de taxa de câmbio de reais (R$) por dólar americano (US$) comercial com vencimento em um mês.</t>
  </si>
  <si>
    <t>Fator de conversão que representa, em cada mês, a razão entre os preços ao consumidor de uma mesma cesta de bens no Brasil (em R$) e nos Estados Unidos (em US$). Foi adotado um critério específico de cálculo conforme descrito em Nota, pois esta taxa é usada pelo Ipeadata para gerar a série do salário mínimo brasileiro convertido em dólares internacionais (US$ PPC).  Nota: É calculada com base na taxa média, em R$/US$, observada pelo Banco Mundial em 2011, corrigida pela inflação mensal ao consumidor nos Estados Unidos e no Brasil. Para a inflação americana, utiliza-se o o mesmo índice que o Banco Mundial em sua série anual: o IPC do Bureau of Labor Statistics (BLS). Para a inflação brasileira, em lugar do IPCA utilizado pelo Banco Mundial, esta série se baseia em índices mensais disponíveis que refletem melhor a inflação incidente sobre consumidores com renda igual ao salário mínimo (o mais alto no período em que havia várias faixas regionais): INPC/IBGE (a partir de março de 1979), IGPC-Mtb (jan/1948-mar/1979), IPC-RJ/FGV (jan/1944-jan/1948) e IPC-SP/Fipe (jan/1939-jan/1944). Tal critério foi adotado porque esta taxa é usada pelo Ipeadata para gerar a série do salário mínimo brasileiro convertido em dólares internacionais (US$ PPC).</t>
  </si>
  <si>
    <t>Taxa de câmbio - R$ / US$ - turismo - venda - média</t>
  </si>
  <si>
    <t>http://www.ipeadata.gov.br/api/odata4/ValoresSerie(SERCODIGO='GM366_ERTUR366')</t>
  </si>
  <si>
    <t>Turismo - venda - média</t>
  </si>
  <si>
    <t>A taxa de câmbio é o preço de uma moeda estrangeira medido em unidades ou frações (centavos) da moeda nacional, refletindo o custo de uma moeda em relação à outra. O dólar  turismo é a cotação do valor do dólar utilizado para efetuar viagens ao exterior, aquisições de passagens aéreas, gastos em estabelecimentos internacionais e também para a conversão de débitos efetuados em moeda estrangeira no cartão de crédito.</t>
  </si>
  <si>
    <t>Exportações - (FOB)</t>
  </si>
  <si>
    <t>US$ milhões</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</si>
  <si>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volume total do país. </t>
  </si>
  <si>
    <t>http://www.ipeadata.gov.br/api/odata4/ValoresSerie(SERCODIGO='FUNCEX_XVT')</t>
  </si>
  <si>
    <t>Total - (FOB) - Funcex</t>
  </si>
  <si>
    <t>Exportações - Anual</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</si>
  <si>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isto é,  indica valores a preços de embarque ou preços das mercadorias excluindo pagamento de fretes, seguros, impostos e taxas de embarque. Nesta modalidade o exportador é responsável por embarcar a mercadoria enquanto o importador assume o pagamento dos fretes, seguros e demais custos pós embarque. Trata-se aqui do valor total das exportações no valor FOB, considerando todos os tipos de produtos. Nota: Boletim Funcex de Comércio Exterior - Quadro: Valor FOB das exportações brasileiras - período mensal - total.</t>
  </si>
  <si>
    <t>http://www.ipeadata.gov.br/api/odata4/ValoresSerie(SERCODIGO='FUNCEX12_XVT12')</t>
  </si>
  <si>
    <t>Exportações - Mensal</t>
  </si>
  <si>
    <t>Exportações - agricultura e pecuária - preços - índice (média 2018 = 100)</t>
  </si>
  <si>
    <t>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</si>
  <si>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A diferença é que os índices de preços de exportação consideram os preços médios em dólares dos produtos exportados em cada período. O setor de exportação deste grupo compreende o cultivo de lavouras e a criação e produção animal. Nota: Setores de atividades calculados de acordo com a classificação nacional de atividades econômicas do IBGE - CNAE 2.0.</t>
  </si>
  <si>
    <t>http://www.ipeadata.gov.br/api/odata4/ValoresSerie(SERCODIGO='FUNCEX12_XPAGP2N12')</t>
  </si>
  <si>
    <t>Agricultura e pecuária - preços - Funcex</t>
  </si>
  <si>
    <t>Exportações - artigos de vestuário e acessórios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</si>
  <si>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confecção de artigos do vestuário e acessórios. Nota: Setores de atividades calculados de acordo com a classificação nacional de atividades econômicas do IBGE - CNAE 2.0.</t>
  </si>
  <si>
    <t>http://www.ipeadata.gov.br/api/odata4/ValoresSerie(SERCODIGO='FUNCEX12_XPVEST2N12')</t>
  </si>
  <si>
    <t>Artigos de vestuário e acessórios - preços - Funcex</t>
  </si>
  <si>
    <t>Exportações - agricultura e pecuária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</si>
  <si>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o cultivo de lavouras e a criação e produção animal. Nota: Setores de atividades calculados de acordo com a classificação nacional de atividades econômicas do IBGE - CNAE 2.0.</t>
  </si>
  <si>
    <t>http://www.ipeadata.gov.br/api/odata4/ValoresSerie(SERCODIGO='FUNCEX12_XQAGP2N12')</t>
  </si>
  <si>
    <t>Agricultura e pecuária - quantum - Funcex</t>
  </si>
  <si>
    <t>Exportações - bebidas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</si>
  <si>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bebidas de todos os tipos. Nota: Setores de atividades calculados de acordo com a classificação nacional de atividades econômicas do IBGE - CNAE 2.0.</t>
  </si>
  <si>
    <t>http://www.ipeadata.gov.br/api/odata4/ValoresSerie(SERCODIGO='FUNCEX12_XQBEB2N12')</t>
  </si>
  <si>
    <t>Bebidas - quantum - Funcex</t>
  </si>
  <si>
    <t>Exportações - artigos de vestuário e acessórios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</si>
  <si>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confecção de artigos do vestuário e acessórios. Nota: Setores de atividades calculados de acordo com a classificação nacional de atividades econômicas do IBGE - CNAE 2.0.</t>
  </si>
  <si>
    <t>http://www.ipeadata.gov.br/api/odata4/ValoresSerie(SERCODIGO='FUNCEX12_XQVEST2N12')</t>
  </si>
  <si>
    <t>Artigos de vestuário e acessórios - quantum - Funcex</t>
  </si>
  <si>
    <t>Exportações - agricultura e pecuária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</si>
  <si>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o cultivo de lavouras e a criação e produção animal. Nota: Setores de atividades calculados de acordo com a classificação nacional de atividades econômicas do IBGE - CNAE 2.0.</t>
  </si>
  <si>
    <t>http://www.ipeadata.gov.br/api/odata4/ValoresSerie(SERCODIGO='FUNCEX12_XVAGP2N12')</t>
  </si>
  <si>
    <t>Agricultura e pecuária - (FOB) - Funcex</t>
  </si>
  <si>
    <t>Exportações - bebidas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</si>
  <si>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bebidas de todos os tipos. Nota: Setores de atividades calculados de acordo com a classificação nacional de atividades econômicas do IBGE - CNAE 2.0.</t>
  </si>
  <si>
    <t>http://www.ipeadata.gov.br/api/odata4/ValoresSerie(SERCODIGO='FUNCEX12_XVBEB2N12')</t>
  </si>
  <si>
    <t>Bebidas - (FOB) - Funcex</t>
  </si>
  <si>
    <t>Exportações - artigos de vestuário e acessórios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</si>
  <si>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confecção de artigos do vestuário e acessórios. Nota: Setores de atividades calculados de acordo com a classificação nacional de atividades econômicas do IBGE - CNAE 2.0.</t>
  </si>
  <si>
    <t>http://www.ipeadata.gov.br/api/odata4/ValoresSerie(SERCODIGO='FUNCEX12_XVVEST2N12')</t>
  </si>
  <si>
    <t>Artigos de vestuário e acessórios - (FOB) - Funcex</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</si>
  <si>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 </t>
  </si>
  <si>
    <t>http://www.ipeadata.gov.br/api/odata4/ValoresSerie(SERCODIGO='FUNCEX_XPAGP2N')</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</si>
  <si>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 </t>
  </si>
  <si>
    <t>http://www.ipeadata.gov.br/api/odata4/ValoresSerie(SERCODIGO='FUNCEX_XPVEST2N')</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</si>
  <si>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</si>
  <si>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http://www.ipeadata.gov.br/api/odata4/ValoresSerie(SERCODIGO='FUNCEX_XQAGP2N')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</si>
  <si>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</si>
  <si>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http://www.ipeadata.gov.br/api/odata4/ValoresSerie(SERCODIGO='FUNCEX_XVAGP2N')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</si>
  <si>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bebidas de todos os tipos. Nota: Setores de atividades calculados de acordo com a classificação nacional de atividades econômicas do IBGE - CNAE 2.0.</t>
  </si>
  <si>
    <t>http://www.ipeadata.gov.br/api/odata4/ValoresSerie(SERCODIGO='FUNCEX_XVBEB2N')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</si>
  <si>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</si>
  <si>
    <t>http://www.ipeadata.gov.br/api/odata4/ValoresSerie(SERCODIGO='FUNCEX_XVVEST2N')</t>
  </si>
  <si>
    <t>Exportações - bens de capital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</si>
  <si>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capital que são utilizados para a produção de outros bens e incluem, por exemplo, máquinas e ferramentas, tratores e material de transporte.</t>
  </si>
  <si>
    <t>http://www.ipeadata.gov.br/api/odata4/ValoresSerie(SERCODIGO='FUNCEX_XVBK')</t>
  </si>
  <si>
    <t>Bens de capital - (FOB) - Funcex</t>
  </si>
  <si>
    <t>Exportações - bens de consumo duráveis - preços - índice (média 2018 = 100) (série nova)</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</si>
  <si>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como categoria de uso bens de consumo duráveis, os quais possuem uma vida útil esperada de 1 - 3 anos ou mais e com valores relativamente elevados, tais como máquinas, aparelhos e materiais elétricos. Nota: Estas séries são análogas às antigas categorias de uso.</t>
  </si>
  <si>
    <t>http://www.ipeadata.gov.br/api/odata4/ValoresSerie(SERCODIGO='FUNCEX12_XPBCDGCE12')</t>
  </si>
  <si>
    <t>Bens de consumo duráveis - preços (série nova) - Funcex</t>
  </si>
  <si>
    <t>Exportações - bens de consumo duráveis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</si>
  <si>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consumo duráveis, os quais possuem uma vida útil esperada de 1 - 3 anos ou mais e com valores relativamente elevados, tais como máquinas, aparelhos e materiais elétricos. Nota: Estas séries são análogas às antigas categorias de uso.</t>
  </si>
  <si>
    <t>http://www.ipeadata.gov.br/api/odata4/ValoresSerie(SERCODIGO='FUNCEX12_XQBCDGCE12')</t>
  </si>
  <si>
    <t>Bens de consumo duráveis - quantum (série nova) - Funcex</t>
  </si>
  <si>
    <t>Exportações - bens de consumo não duráveis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</si>
  <si>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consumo não duráveis, que abrange mercadorias com a esperança de que o tempo de vida útil esteja entre um ano e menos. Nota: Estas séries são análogas às antigas categorias de uso.</t>
  </si>
  <si>
    <t>http://www.ipeadata.gov.br/api/odata4/ValoresSerie(SERCODIGO='FUNCEX12_XQBCNDGCE12')</t>
  </si>
  <si>
    <t>Bens de consumo não duráveis - quantum (série nova) - Funcex</t>
  </si>
  <si>
    <t>Exportações - bens intermediários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</si>
  <si>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</si>
  <si>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http://www.ipeadata.gov.br/api/odata4/ValoresSerie(SERCODIGO='FUNCEX12_XQBIGCE12')</t>
  </si>
  <si>
    <t>Bens intermediários - quantum (série nova) - Funcex</t>
  </si>
  <si>
    <t>Exportações - bens de capital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</si>
  <si>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como sendo de categoria de uso bens de capital, os quais são utilizados para a produção de outros bens, como por exemplo, máquinas e ferramentas, tratores e material de transporte. Nota: Estas séries são análogas às antigas categorias de uso.</t>
  </si>
  <si>
    <t>http://www.ipeadata.gov.br/api/odata4/ValoresSerie(SERCODIGO='FUNCEX12_XQBKGCE12')</t>
  </si>
  <si>
    <t>Bens de capital - quantum (série nova) - Funcex</t>
  </si>
  <si>
    <t>Exportações - bens de consumo duráveis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</si>
  <si>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consumo duráveis, os quais possuem uma vida útil esperada de 1 - 3 anos ou mais e com valores relativamente elevados, tais como máquinas, aparelhos e materiais elétricos. Nota: Estas séries são análogas às antigas categorias de uso.</t>
  </si>
  <si>
    <t>http://www.ipeadata.gov.br/api/odata4/ValoresSerie(SERCODIGO='FUNCEX12_XVBCDGCE12')</t>
  </si>
  <si>
    <t>Bens de consumo duráveis - (FOB) (série nova) - Funcex</t>
  </si>
  <si>
    <t>Exportações - bens de consumo não duráveis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</si>
  <si>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consumo não duráveis, os quais possuem uma vida útil inferior a um ano que incluem produtos de alimentação e bebidas em geral, os artigos de vestuário e os brinquedos, entre outros. Nota: Estas séries são análogas às antigas categorias de uso.</t>
  </si>
  <si>
    <t>http://www.ipeadata.gov.br/api/odata4/ValoresSerie(SERCODIGO='FUNCEX12_XVBCNDGCE12')</t>
  </si>
  <si>
    <t>Bens de consumo não duráveis - (FOB) (série nova) - Funcex</t>
  </si>
  <si>
    <t>Exportações - bens intermediários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</si>
  <si>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</si>
  <si>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http://www.ipeadata.gov.br/api/odata4/ValoresSerie(SERCODIGO='FUNCEX12_XVBIGCE12')</t>
  </si>
  <si>
    <t>Bens intermediários - (FOB) (série nova) - Funcex</t>
  </si>
  <si>
    <t>Exportações - bens de capital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</si>
  <si>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bens de capital, os quais são utilizados para a produção de outros bens, como por exemplo, máquinas e ferramentas, tratores e material de transporte. Nota: Estas séries são análogas às antigas categorias de uso.</t>
  </si>
  <si>
    <t>http://www.ipeadata.gov.br/api/odata4/ValoresSerie(SERCODIGO='FUNCEX12_XVBKGCE12')</t>
  </si>
  <si>
    <t>Bens de capital - (FOB) (série nova) - Funcex</t>
  </si>
  <si>
    <t>Exportações - bens intermediários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</si>
  <si>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t>
  </si>
  <si>
    <t>http://www.ipeadata.gov.br/api/odata4/ValoresSerie(SERCODIGO='FUNCEX_XPBI')</t>
  </si>
  <si>
    <t>Bens intermediários - preços - Funcex</t>
  </si>
  <si>
    <t>Exportações - bens de capital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</si>
  <si>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bens de capital, os quais são utilizados para a produção de outros bens e incluem, por exemplo, máquinas e ferramentas, tratores e material de transporte. </t>
  </si>
  <si>
    <t>http://www.ipeadata.gov.br/api/odata4/ValoresSerie(SERCODIGO='FUNCEX_XPBK')</t>
  </si>
  <si>
    <t>Bens de capital - preços - Funcex</t>
  </si>
  <si>
    <t>Exportações - bens de consumo duráveis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</si>
  <si>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consumo duráveis com uma vida útil esperada de 1 - 3 anos ou mais e com valores relativamente elevados, tais como refrigeradores, máquinas de lavar, automóveis de passeio, motocicletas, aparelhos eletrodomésticos e aparelhos celulares.</t>
  </si>
  <si>
    <t>http://www.ipeadata.gov.br/api/odata4/ValoresSerie(SERCODIGO='FUNCEX_XQBCD')</t>
  </si>
  <si>
    <t>Bens de consumo duráveis - quantum - Funcex</t>
  </si>
  <si>
    <t>Exportações - bens de consumo não duráveis - quantum - índice (média 2018 = 100)</t>
  </si>
  <si>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consumo não duráveis que possuem vida útil inferior a um ano que incluem produtos de alimentação e bebidas em geral, os artigos de vestuário e os brinquedos, entre outros. </t>
  </si>
  <si>
    <t>http://www.ipeadata.gov.br/api/odata4/ValoresSerie(SERCODIGO='FUNCEX_XQBCND')</t>
  </si>
  <si>
    <t>Bens de consumo não duráveis - quantum - Funcex</t>
  </si>
  <si>
    <t>Exportações - bens de capital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</si>
  <si>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categoria de uso bens de capital utilizados para a produção de outros bens e incluem, por exemplo, máquinas e ferramentas, tratores e material de transporte.</t>
  </si>
  <si>
    <t>http://www.ipeadata.gov.br/api/odata4/ValoresSerie(SERCODIGO='FUNCEX_XQBK')</t>
  </si>
  <si>
    <t>Bens de capital - quantum - Funcex</t>
  </si>
  <si>
    <t>Exportações - bens de consumo duráveis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</si>
  <si>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t>
  </si>
  <si>
    <t>http://www.ipeadata.gov.br/api/odata4/ValoresSerie(SERCODIGO='FUNCEX_XVBCD')</t>
  </si>
  <si>
    <t>Bens de consumo duráveis - (FOB) - Funcex</t>
  </si>
  <si>
    <t>Exportações - bens de consumo não duráveis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</si>
  <si>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de consumo não duráveis que possuem uma vida útil inferior a um ano que incluem produtos de alimentação e bebidas em geral, os artigos de vestuário e os brinquedos, entre outros. </t>
  </si>
  <si>
    <t>http://www.ipeadata.gov.br/api/odata4/ValoresSerie(SERCODIGO='FUNCEX_XVBCND')</t>
  </si>
  <si>
    <t>Bens de consumo não duráveis - (FOB) - Funcex</t>
  </si>
  <si>
    <t>Exportações - bens intermediários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</si>
  <si>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t>
  </si>
  <si>
    <t>http://www.ipeadata.gov.br/api/odata4/ValoresSerie(SERCODIGO='FUNCEX_XVBI')</t>
  </si>
  <si>
    <t>Bens intermediários - (FOB) - Funcex</t>
  </si>
  <si>
    <t>Exportações - combustíveis - preços - índice (média 2018 = 100) (série nova)</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</si>
  <si>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como categoria de uso combustíveis e estão agregados, entre outros, derivados de petróleo, gasolina, querosene  e o álcool carburante. Nota: Estas séries são análogas às antigas categorias de uso.</t>
  </si>
  <si>
    <t>http://www.ipeadata.gov.br/api/odata4/ValoresSerie(SERCODIGO='FUNCEX12_XPCOMBGCE12')</t>
  </si>
  <si>
    <t>Combustíveis - preços (série nova) - Funcex</t>
  </si>
  <si>
    <t>Exportações - combustíveis - quantum - índice (média 2018 = 100) (série nova)</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</si>
  <si>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</si>
  <si>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http://www.ipeadata.gov.br/api/odata4/ValoresSerie(SERCODIGO='FUNCEX12_XQCOMBGCE12')</t>
  </si>
  <si>
    <t>Combustíveis - quantum (série nova) - Funcex</t>
  </si>
  <si>
    <t>Exportações - combustíveis - (FOB) (série nova)</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</si>
  <si>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</si>
  <si>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http://www.ipeadata.gov.br/api/odata4/ValoresSerie(SERCODIGO='FUNCEX12_XVCOMBGCE12')</t>
  </si>
  <si>
    <t>Combustíveis - (FOB) (série nova) - Funcex</t>
  </si>
  <si>
    <t>Exportações - combustíveis - preços - índice (média 2018 = 100)</t>
  </si>
  <si>
    <t>http://www.ipeadata.gov.br/api/odata4/ValoresSerie(SERCODIGO='FUNCEX_XPCOMB')</t>
  </si>
  <si>
    <t>Combustíveis - preços - Funcex</t>
  </si>
  <si>
    <t>Exportações - combustíveis - (FOB)</t>
  </si>
  <si>
    <t>http://www.ipeadata.gov.br/api/odata4/ValoresSerie(SERCODIGO='FUNCEX_XVCOMB')</t>
  </si>
  <si>
    <t>Combustíveis - (FOB) - Funcex</t>
  </si>
  <si>
    <t>Exportações - couros, artefatos de couro e calçados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</si>
  <si>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couros, artefatos de couro, artigos para viagem e calçados. Nota: Setores de atividades calculados de acordo com a classificação nacional de atividades econômicas do IBGE - CNAE 2.0.</t>
  </si>
  <si>
    <t>http://www.ipeadata.gov.br/api/odata4/ValoresSerie(SERCODIGO='FUNCEX12_XPCAL2N12')</t>
  </si>
  <si>
    <t>Couros, artefatos de couro e calçados - preços - Funcex</t>
  </si>
  <si>
    <t>Exportações - celulose, papel e produtos de papel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</si>
  <si>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celulose, papel e produtos de papel. Nota: Setores de atividades calculados de acordo com a classificação nacional de atividades econômicas do IBGE - CNAE 2.0.</t>
  </si>
  <si>
    <t>http://www.ipeadata.gov.br/api/odata4/ValoresSerie(SERCODIGO='FUNCEX12_XPPAP2N12')</t>
  </si>
  <si>
    <t>Celulose, papel e produtos de papel - preços - Funcex</t>
  </si>
  <si>
    <t>Exportações - derivados do petróleo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</si>
  <si>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extração de petróleo cru e gás natural. Nota: Setores de atividades calculados de acordo com a classificação nacional de atividades econômicas do IBGE - CNAE 2.0.</t>
  </si>
  <si>
    <t>http://www.ipeadata.gov.br/api/odata4/ValoresSerie(SERCODIGO='FUNCEX12_XPPETCOMB2N12')</t>
  </si>
  <si>
    <t>Derivados do petróleo - preços - Funcex</t>
  </si>
  <si>
    <t>Exportações - couros, artefatos de couro e calçados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</si>
  <si>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couros, artefatos de couro, artigos para viagem e calçados. Nota: Setores de atividades calculados de acordo com a classificação nacional de atividades econômicas do IBGE - CNAE 2.0.</t>
  </si>
  <si>
    <t>http://www.ipeadata.gov.br/api/odata4/ValoresSerie(SERCODIGO='FUNCEX12_XQCAL2N12')</t>
  </si>
  <si>
    <t>Couros, artefatos de couro e calçados - quantum - Funcex</t>
  </si>
  <si>
    <t>Exportações - celulose, papel e produtos de papel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</si>
  <si>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celulose, papel e produtos de papel. Nota: Setores de atividades calculados de acordo com a classificação nacional de atividades econômicas do IBGE - CNAE 2.0.</t>
  </si>
  <si>
    <t>http://www.ipeadata.gov.br/api/odata4/ValoresSerie(SERCODIGO='FUNCEX12_XQPAP2N12')</t>
  </si>
  <si>
    <t>Celulose, papel e produtos de papel - quantum - Funcex</t>
  </si>
  <si>
    <t>Exportações - derivados do petróleo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</si>
  <si>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petróleo cru e gás natural. Nota: Setores de atividades calculados de acordo com a classificação nacional de atividades econômicas do IBGE - CNAE 2.0.</t>
  </si>
  <si>
    <t>http://www.ipeadata.gov.br/api/odata4/ValoresSerie(SERCODIGO='FUNCEX12_XQPETCOMB2N12')</t>
  </si>
  <si>
    <t>Derivados do petróleo - quantum - Funcex</t>
  </si>
  <si>
    <t>Exportações - couros, artefatos de couro e calçados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</si>
  <si>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couros, artefatos de couro, artigos para viagem e calçados. Nota: Setores de atividades calculados de acordo com a classificação nacional de atividades econômicas do IBGE - CNAE 2.0.</t>
  </si>
  <si>
    <t>http://www.ipeadata.gov.br/api/odata4/ValoresSerie(SERCODIGO='FUNCEX12_XVCAL2N12')</t>
  </si>
  <si>
    <t>Couros, artefatos de couro e calçados - (FOB) - Funcex</t>
  </si>
  <si>
    <t>Exportações - celulose, papel e produtos de papel - (FOB)</t>
  </si>
  <si>
    <t>http://www.ipeadata.gov.br/api/odata4/ValoresSerie(SERCODIGO='FUNCEX12_XVPAP2N12')</t>
  </si>
  <si>
    <t>Celulose, papel e produtos de papel - (FOB) - Funcex</t>
  </si>
  <si>
    <t>Exportações - derivados do petróleo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</si>
  <si>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extração de petróleo cru e gás natural. Nota: Setores de atividades calculados de acordo com a classificação nacional de atividades econômicas do IBGE - CNAE 2.0.</t>
  </si>
  <si>
    <t>http://www.ipeadata.gov.br/api/odata4/ValoresSerie(SERCODIGO='FUNCEX12_XVPETCOMB2N12')</t>
  </si>
  <si>
    <t>Derivados do petróleo - (FOB) - Funcex</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</si>
  <si>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 </t>
  </si>
  <si>
    <t>http://www.ipeadata.gov.br/api/odata4/ValoresSerie(SERCODIGO='FUNCEX_XPPAP2N')</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</si>
  <si>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 </t>
  </si>
  <si>
    <t>http://www.ipeadata.gov.br/api/odata4/ValoresSerie(SERCODIGO='FUNCEX_XPPETCOMB2N')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</si>
  <si>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curtimento e outras preparações de couros e peles e a fabricação de artefatos de couro, a fabricação de substitutos do couro, a fabricação de bolsas e de artigos para viagem de qualquer material.  Nota: Setores de atividades calculados de acordo com a classificação nacional de atividades econômicas do IBGE - CNAE 2.0.</t>
  </si>
  <si>
    <t>http://www.ipeadata.gov.br/api/odata4/ValoresSerie(SERCODIGO='FUNCEX_XVCAL2N')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</si>
  <si>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t>
  </si>
  <si>
    <t>http://www.ipeadata.gov.br/api/odata4/ValoresSerie(SERCODIGO='FUNCEX_XVPAP2N')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</si>
  <si>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</si>
  <si>
    <t>http://www.ipeadata.gov.br/api/odata4/ValoresSerie(SERCODIGO='FUNCEX_XVPETCOMB2N')</t>
  </si>
  <si>
    <t>Exportações - equipamentos de informática, eletrônicos e ópticos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</si>
  <si>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equipamentos de informática, produtos eletrônicos e ópticos. Nota: Setores de atividades calculados de acordo com a classificação nacional de atividades econômicas do IBGE - CNAE 2.0.</t>
  </si>
  <si>
    <t>http://www.ipeadata.gov.br/api/odata4/ValoresSerie(SERCODIGO='FUNCEX12_XPMAQINF2N12')</t>
  </si>
  <si>
    <t>Equipamentos de informática, eletrônicos e ópticos - preços - Funcex</t>
  </si>
  <si>
    <t>Exportações - extração de minerais metálicos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</si>
  <si>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minerais metálicos. Nota: Setores de atividades calculados de acordo com a classificação nacional de atividades econômicas do IBGE - CNAE 2.0.</t>
  </si>
  <si>
    <t>http://www.ipeadata.gov.br/api/odata4/ValoresSerie(SERCODIGO='FUNCEX12_XQEMM2N12')</t>
  </si>
  <si>
    <t>Extração de minerais metálicos - quantum - Funcex</t>
  </si>
  <si>
    <t>Exportações - extração de minerais não-metálicos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</si>
  <si>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</si>
  <si>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http://www.ipeadata.gov.br/api/odata4/ValoresSerie(SERCODIGO='FUNCEX12_XQEMNM2N12')</t>
  </si>
  <si>
    <t>Extração de minerais não-metálicos - quantum - Funcex</t>
  </si>
  <si>
    <t>Exportações - extração de petróleo e gás natural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</si>
  <si>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as atividades de extração de minerais não-metálicos. Nota: Setores de atividades calculados de acordo com a classificação nacional de atividades econômicas do IBGE - CNAE 2.0.</t>
  </si>
  <si>
    <t>http://www.ipeadata.gov.br/api/odata4/ValoresSerie(SERCODIGO='FUNCEX12_XQEPET2N12')</t>
  </si>
  <si>
    <t>Extração de petróleo e gás natural - quantum - Funcex</t>
  </si>
  <si>
    <t>Exportações - equipamentos de informática, eletrônicos e ópticos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</si>
  <si>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equipamentos de informática, produtos eletrônicos e ópticos. Nota: Setores de atividades calculados de acordo com a classificação nacional de atividades econômicas do IBGE - CNAE 2.0.</t>
  </si>
  <si>
    <t>http://www.ipeadata.gov.br/api/odata4/ValoresSerie(SERCODIGO='FUNCEX12_XQMAQINF2N12')</t>
  </si>
  <si>
    <t>Equipamentos de informática, eletrônicos e ópticos - quantum - Funcex</t>
  </si>
  <si>
    <t>Exportações - indústrias diversas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</si>
  <si>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o serviço de impressão e reprodução de gravações. Nota: Setores de atividades calculados de acordo com a classificação nacional de atividades econômicas do IBGE - CNAE 2.0.</t>
  </si>
  <si>
    <t>http://www.ipeadata.gov.br/api/odata4/ValoresSerie(SERCODIGO='FUNCEX12_XQDIV2N12')</t>
  </si>
  <si>
    <t>Indústrias diversas - quantum - Funcex</t>
  </si>
  <si>
    <t>Exportações - impressão e reprodução de gravações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</si>
  <si>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extração de petróleo e gás natural e a extração de xisto e de areias betuminosas. Nota: Setores de atividades calculados de acordo com a classificação nacional de atividades econômicas do IBGE - CNAE 2.0.</t>
  </si>
  <si>
    <t>http://www.ipeadata.gov.br/api/odata4/ValoresSerie(SERCODIGO='FUNCEX12_XQIXQG2N12')</t>
  </si>
  <si>
    <t>Impressão e reprodução de gravações - quantum - Funcex</t>
  </si>
  <si>
    <t>Exportações - extração de minerais metálicos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</si>
  <si>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os resultados da extração e beneficiamento de minerais metálicos. Nota: Setores de atividades calculados de acordo com a classificação nacional de atividades econômicas do IBGE - CNAE 2.0.</t>
  </si>
  <si>
    <t>http://www.ipeadata.gov.br/api/odata4/ValoresSerie(SERCODIGO='FUNCEX12_XVEMM2N12')</t>
  </si>
  <si>
    <t>Extração de minerais metálicos - (FOB) - Funcex</t>
  </si>
  <si>
    <t>Exportações - extração de petróleo e gás natural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</si>
  <si>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extração de petróleo e gás natural e a extração de xisto e de areias betuminosas. Nota: Setores de atividades calculados de acordo com a classificação nacional de atividades econômicas do IBGE - CNAE 2.0.</t>
  </si>
  <si>
    <t>http://www.ipeadata.gov.br/api/odata4/ValoresSerie(SERCODIGO='FUNCEX12_XVEPET2N12')</t>
  </si>
  <si>
    <t>Extração de petróleo e gás natural - (FOB) - Funcex</t>
  </si>
  <si>
    <t>Exportações - indústrias diversas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</si>
  <si>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</si>
  <si>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http://www.ipeadata.gov.br/api/odata4/ValoresSerie(SERCODIGO='FUNCEX12_XVDIV2N12')</t>
  </si>
  <si>
    <t>Indústrias diversas - (FOB) - Funcex</t>
  </si>
  <si>
    <t>Exportações - extração de petróleo e gás natural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</si>
  <si>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 </t>
  </si>
  <si>
    <t>http://www.ipeadata.gov.br/api/odata4/ValoresSerie(SERCODIGO='FUNCEX_XPEPET2N')</t>
  </si>
  <si>
    <t>Extração de petróleo e gás natural - preços - Funcex</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</si>
  <si>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</si>
  <si>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http://www.ipeadata.gov.br/api/odata4/ValoresSerie(SERCODIGO='FUNCEX_XQDIV2N')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</si>
  <si>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extração, subterrânea e a céu aberto, de minerais metálicos e as atividades de beneficiamento associadas e em continuação à extração.  Nota: Setores de atividades calculados de acordo com a classificação nacional de atividades econômicas do IBGE - CNAE 2.0.</t>
  </si>
  <si>
    <t>http://www.ipeadata.gov.br/api/odata4/ValoresSerie(SERCODIGO='FUNCEX_XVEMM2N')</t>
  </si>
  <si>
    <t>Exportações - extração de minerais não-metálicos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</si>
  <si>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extração de minerais não-metálicos em pedreiras, em depósitos aluviais, rochas e terras sedimentares. Nota: Setores de atividades calculados de acordo com a classificação nacional de atividades econômicas do IBGE - CNAE 2.0.</t>
  </si>
  <si>
    <t>http://www.ipeadata.gov.br/api/odata4/ValoresSerie(SERCODIGO='FUNCEX_XVEMNM2N')</t>
  </si>
  <si>
    <t>Extração de minerais não-metálicos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</si>
  <si>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t>
  </si>
  <si>
    <t>http://www.ipeadata.gov.br/api/odata4/ValoresSerie(SERCODIGO='FUNCEX_XVEPET2N')</t>
  </si>
  <si>
    <t>Exportações - equipamentos de informática, eletrônicos e ópticos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</si>
  <si>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t>
  </si>
  <si>
    <t>http://www.ipeadata.gov.br/api/odata4/ValoresSerie(SERCODIGO='FUNCEX_XVMAQINF2N')</t>
  </si>
  <si>
    <t>Equipamentos de informática, eletrônicos e ópticos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</si>
  <si>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</si>
  <si>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http://www.ipeadata.gov.br/api/odata4/ValoresSerie(SERCODIGO='FUNCEX_XVDIV2N')</t>
  </si>
  <si>
    <t>Exportações - impressão e reprodução de gravações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</si>
  <si>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contratação de um produto industrial final pronto, onde o contratado é responsável por todo o processo, desde a aquisição da matéria-prima até o produto final.  Nota: Setores de atividades calculados de acordo com a classificação nacional de atividades econômicas do IBGE - CNAE 2.0.</t>
  </si>
  <si>
    <t>http://www.ipeadata.gov.br/api/odata4/ValoresSerie(SERCODIGO='FUNCEX_XVIXVG2N')</t>
  </si>
  <si>
    <t>Impressão e reprodução de gravações - (FOB) - Funcex</t>
  </si>
  <si>
    <t>Exportações - extração de carvão mineral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</si>
  <si>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extração de carvão mineral e os beneficiamentos de carvão mineral tais como limpeza, classificação, pulverização, etc., associados ou em continuação à extração. Nota: Setores de atividades calculados de acordo com a classificação nacional de atividades econômicas do IBGE - CNAE 2.0.</t>
  </si>
  <si>
    <t>http://www.ipeadata.gov.br/api/odata4/ValoresSerie(SERCODIGO='FUNCEX_XVECARV2N')</t>
  </si>
  <si>
    <t>Extração de carvão mineral - (FOB) - Funcex</t>
  </si>
  <si>
    <t>Exportações - máquinas, aparelhos e materiais elétricos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</si>
  <si>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compreende a fabricação de máquinas, aparelhos e materiais elétricos. Nota: Setores de atividades calculados de acordo com a classificação nacional de atividades econômicas do IBGE - CNAE 2.0.</t>
  </si>
  <si>
    <t>http://www.ipeadata.gov.br/api/odata4/ValoresSerie(SERCODIGO='FUNCEX12_XPMAQELET2N12')</t>
  </si>
  <si>
    <t>Máquinas, aparelhos e materiais elétricos - preços - Funcex</t>
  </si>
  <si>
    <t>Exportações - máquinas e equipamentos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</si>
  <si>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</si>
  <si>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http://www.ipeadata.gov.br/api/odata4/ValoresSerie(SERCODIGO='FUNCEX12_XPMAQEQU2N12')</t>
  </si>
  <si>
    <t>Máquinas e equipamentos - preços - Funcex</t>
  </si>
  <si>
    <t>Exportações - móveis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</si>
  <si>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móveis. Nota: Setores de atividades calculados de acordo com a classificação nacional de atividades econômicas do IBGE - CNAE 2.0.</t>
  </si>
  <si>
    <t>http://www.ipeadata.gov.br/api/odata4/ValoresSerie(SERCODIGO='FUNCEX12_XPMOV2N12')</t>
  </si>
  <si>
    <t>Móveis - preços - Funcex</t>
  </si>
  <si>
    <t>Exportações - outros equipamentos de transporte - preços - índice (média 2018 = 100)</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</si>
  <si>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compreende a fabricação de outros equipamentos de transporte, exceto veículos automotores. Nota: Setores de atividades calculados de acordo com a classificação nacional de atividades econômicas do IBGE - CNAE 2.0.</t>
  </si>
  <si>
    <t>http://www.ipeadata.gov.br/api/odata4/ValoresSerie(SERCODIGO='FUNCEX12_XPOUTTRANS2N12')</t>
  </si>
  <si>
    <t>Outros equipamentos de transporte - preços - Funcex</t>
  </si>
  <si>
    <t>Exportações - máquinas, aparelhos e materiais elétricos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</si>
  <si>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máquinas, aparelhos e materiais elétricos. Nota: Setores de atividades calculados de acordo com a classificação nacional de atividades econômicas do IBGE - CNAE 2.0.</t>
  </si>
  <si>
    <t>http://www.ipeadata.gov.br/api/odata4/ValoresSerie(SERCODIGO='FUNCEX12_XQMAQELET2N12')</t>
  </si>
  <si>
    <t>Máquinas, aparelhos e materiais elétricos - quantum - Funcex</t>
  </si>
  <si>
    <t>Exportações - máquinas e equipamentos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</si>
  <si>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</si>
  <si>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http://www.ipeadata.gov.br/api/odata4/ValoresSerie(SERCODIGO='FUNCEX12_XQMAQEQU2N12')</t>
  </si>
  <si>
    <t>Máquinas e equipamentos - quantum - Funcex</t>
  </si>
  <si>
    <t>Exportações - metalurgia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</si>
  <si>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conversão de minérios ferrosos e não-ferrosos em produtos metalúrgicos. Nota: Setores de atividades calculados de acordo com a classificação nacional de atividades econômicas do IBGE - CNAE 2.0.</t>
  </si>
  <si>
    <t>http://www.ipeadata.gov.br/api/odata4/ValoresSerie(SERCODIGO='FUNCEX12_XQMETBAS2N12')</t>
  </si>
  <si>
    <t>Metalurgia - quantum - Funcex</t>
  </si>
  <si>
    <t>Exportações - móveis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</si>
  <si>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móveis. Nota: Setores de atividades calculados de acordo com a classificação nacional de atividades econômicas do IBGE - CNAE 2.0.</t>
  </si>
  <si>
    <t>http://www.ipeadata.gov.br/api/odata4/ValoresSerie(SERCODIGO='FUNCEX12_XQMOV2N12')</t>
  </si>
  <si>
    <t>Móveis - quantum - Funcex</t>
  </si>
  <si>
    <t>Exportações - outros equipamentos de transporte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</si>
  <si>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outros equipamentos de transporte, exceto veículos automotores. Nota: Setores de atividades calculados de acordo com a classificação nacional de atividades econômicas do IBGE - CNAE 2.0.</t>
  </si>
  <si>
    <t>http://www.ipeadata.gov.br/api/odata4/ValoresSerie(SERCODIGO='FUNCEX12_XQOUTTRANS2N12')</t>
  </si>
  <si>
    <t>Outros equipamentos de transporte - quantum - Funcex</t>
  </si>
  <si>
    <t>Exportações - pesca e aqüicultura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</si>
  <si>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pesca e aqüicultura. Nota: Setores de atividades calculados de acordo com a classificação nacional de atividades econômicas do IBGE - CNAE 2.0.</t>
  </si>
  <si>
    <t>http://www.ipeadata.gov.br/api/odata4/ValoresSerie(SERCODIGO='FUNCEX12_XQPES2N12')</t>
  </si>
  <si>
    <t>Pesca e aqüicultura - quantum - Funcex</t>
  </si>
  <si>
    <t>Exportações - máquinas e equipamentos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</si>
  <si>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</si>
  <si>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http://www.ipeadata.gov.br/api/odata4/ValoresSerie(SERCODIGO='FUNCEX12_XVMAQEQU2N12')</t>
  </si>
  <si>
    <t>Máquinas e equipamentos - (FOB) - Funcex</t>
  </si>
  <si>
    <t>Exportações - metalurgia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</si>
  <si>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conversão de minérios ferrosos e não-ferrosos em produtos metalúrgicos. Nota: Setores de atividades calculados de acordo com a classificação nacional de atividades econômicas do IBGE - CNAE 2.0.</t>
  </si>
  <si>
    <t>http://www.ipeadata.gov.br/api/odata4/ValoresSerie(SERCODIGO='FUNCEX12_XVMETBAS2N12')</t>
  </si>
  <si>
    <t>Metalurgia - (FOB) - Funcex</t>
  </si>
  <si>
    <t>Exportações - móveis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</si>
  <si>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móveis. Nota: Setores de atividades calculados de acordo com a classificação nacional de atividades econômicas do IBGE - CNAE 2.0.</t>
  </si>
  <si>
    <t>http://www.ipeadata.gov.br/api/odata4/ValoresSerie(SERCODIGO='FUNCEX12_XVMOV2N12')</t>
  </si>
  <si>
    <t>Móveis - (FOB) - Funcex</t>
  </si>
  <si>
    <t>Exportações - pesca e aqüicultura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</si>
  <si>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pesca e aqüicultura. Nota: Setores de atividades calculados de acordo com a classificação nacional de atividades econômicas do IBGE - CNAE 2.0.</t>
  </si>
  <si>
    <t>http://www.ipeadata.gov.br/api/odata4/ValoresSerie(SERCODIGO='FUNCEX12_XVPES2N12')</t>
  </si>
  <si>
    <t>Pesca e aqüicultura - (FOB) - Funcex</t>
  </si>
  <si>
    <t>Exportações - máquinas, aparelhos e materiais elétricos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</si>
  <si>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Nota: Setores de atividades calculados de acordo com a classificação nacional de atividades econômicas do IBGE - CNAE 2.0.</t>
  </si>
  <si>
    <t>http://www.ipeadata.gov.br/api/odata4/ValoresSerie(SERCODIGO='FUNCEX_XVMAQELET2N')</t>
  </si>
  <si>
    <t>Máquinas, aparelhos e materiais elétricos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</si>
  <si>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máquinas e equipamentos, inclusive os componentes mecânicos, partes e peças, para diversas atividades. Nota: Setores de atividades calculados de acordo com a classificação nacional de atividades econômicas do IBGE - CNAE 2.0.</t>
  </si>
  <si>
    <t>http://www.ipeadata.gov.br/api/odata4/ValoresSerie(SERCODIGO='FUNCEX_XVMAQEQU2N')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</si>
  <si>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conversão de minérios ferrosos e não-ferrosos em produtos metalúrgicos.  Nota: Setores de atividades calculados de acordo com a classificação nacional de atividades econômicas do IBGE - CNAE 2.0.</t>
  </si>
  <si>
    <t>http://www.ipeadata.gov.br/api/odata4/ValoresSerie(SERCODIGO='FUNCEX_XVMETBAS2N')</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</si>
  <si>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artigos do mobiliário de qualquer material para qualquer uso. Nota: Setores de atividades calculados de acordo com a classificação nacional de atividades econômicas do IBGE - CNAE 2.0.</t>
  </si>
  <si>
    <t>http://www.ipeadata.gov.br/api/odata4/ValoresSerie(SERCODIGO='FUNCEX_XVMOV2N')</t>
  </si>
  <si>
    <t>Exportações - outros equipamentos de transporte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</si>
  <si>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construção de embarcações e estruturas flutuantes, a fabricação de veículos ferroviários, a fabricação de aeronaves, a fabricação de motocicletas, bicicletas e outros equipamentos de transporte.  Nota: Setores de atividades calculados de acordo com a classificação nacional de atividades econômicas do IBGE - CNAE 2.0.</t>
  </si>
  <si>
    <t>http://www.ipeadata.gov.br/api/odata4/ValoresSerie(SERCODIGO='FUNCEX_XVOUTTRANS2N')</t>
  </si>
  <si>
    <t>Outros equipamentos de transporte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</si>
  <si>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pesca e a criação de animais aquáticos, abrangendo o uso dos recursos pesqueiros em águas marinhas, salobras e em água doce, objetivando a captura de peixes, crustáceos, moluscos e de outros organismos ou produtos aquáticos (plantas aquáticas, pérolas, esponjas, outros). Nota: Setores de atividades calculados de acordo com a classificação nacional de atividades econômicas do IBGE - CNAE 2.0.</t>
  </si>
  <si>
    <t>http://www.ipeadata.gov.br/api/odata4/ValoresSerie(SERCODIGO='FUNCEX_XVPES2N')</t>
  </si>
  <si>
    <t>Exportações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</si>
  <si>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Até 1973, série encadeada e convertida para a base 2006=100. </t>
  </si>
  <si>
    <t>http://www.ipeadata.gov.br/api/odata4/ValoresSerie(SERCODIGO='FUNCEX_XPT')</t>
  </si>
  <si>
    <t>Total - preços - Funcex</t>
  </si>
  <si>
    <t>Exportações - produtos básicos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</si>
  <si>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básico são os que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</si>
  <si>
    <t>http://www.ipeadata.gov.br/api/odata4/ValoresSerie(SERCODIGO='FUNCEX_XVB')</t>
  </si>
  <si>
    <t>Produtos básicos - (FOB) - Funcex</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</si>
  <si>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Neste caso, trata-se da exportação referente ao volume total do país.</t>
  </si>
  <si>
    <t>http://www.ipeadata.gov.br/api/odata4/ValoresSerie(SERCODIGO='FUNCEX12_XPT12')</t>
  </si>
  <si>
    <t>Exportações - produtos alimentícios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</si>
  <si>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alimentícios. Nota: Setores de atividades calculados de acordo com a classificação nacional de atividades econômicas do IBGE - CNAE 2.0.</t>
  </si>
  <si>
    <t>http://www.ipeadata.gov.br/api/odata4/ValoresSerie(SERCODIGO='FUNCEX12_XQAL2N12')</t>
  </si>
  <si>
    <t>Produtos alimentícios - quantum - Funcex</t>
  </si>
  <si>
    <t>Exportações - produção florestal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</si>
  <si>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produção florestal. Nota: Setores de atividades calculados de acordo com a classificação nacional de atividades econômicas do IBGE - CNAE 2.0.</t>
  </si>
  <si>
    <t>http://www.ipeadata.gov.br/api/odata4/ValoresSerie(SERCODIGO='FUNCEX12_XQPRF2N12')</t>
  </si>
  <si>
    <t>Produção florestal - quantum - Funcex</t>
  </si>
  <si>
    <t>Exportações - produtos alimentícios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</si>
  <si>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alimentícios. Nota: Setores de atividades calculados de acordo com a classificação nacional de atividades econômicas do IBGE - CNAE 2.0.</t>
  </si>
  <si>
    <t>http://www.ipeadata.gov.br/api/odata4/ValoresSerie(SERCODIGO='FUNCEX12_XVAL2N12')</t>
  </si>
  <si>
    <t>Produtos alimentícios - (FOB) - Funcex</t>
  </si>
  <si>
    <t>Exportações - produção florestal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</si>
  <si>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produção florestal. Nota: Setores de atividades calculados de acordo com a classificação nacional de atividades econômicas do IBGE - CNAE 2.0.</t>
  </si>
  <si>
    <t>http://www.ipeadata.gov.br/api/odata4/ValoresSerie(SERCODIGO='FUNCEX12_XVPRF2N12')</t>
  </si>
  <si>
    <t>Produção florestal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</si>
  <si>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o processamento e transformação de produtos da agricultura, pecuária e pesca em alimentos para uso humano e animal.  Nota: Setores de atividades calculados de acordo com a classificação nacional de atividades econômicas do IBGE - CNAE 2.0.</t>
  </si>
  <si>
    <t>http://www.ipeadata.gov.br/api/odata4/ValoresSerie(SERCODIGO='FUNCEX_XVAL2N')</t>
  </si>
  <si>
    <t>Exportações - produtos básicos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</si>
  <si>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 </t>
  </si>
  <si>
    <t>http://www.ipeadata.gov.br/api/odata4/ValoresSerie(SERCODIGO='FUNCEX_XPB')</t>
  </si>
  <si>
    <t>Produtos básicos - preços - Funcex</t>
  </si>
  <si>
    <t>Exportações - produtos básicos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</si>
  <si>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</si>
  <si>
    <t>http://www.ipeadata.gov.br/api/odata4/ValoresSerie(SERCODIGO='FUNCEX_XQB')</t>
  </si>
  <si>
    <t>Produtos básicos - quantum - Funcex</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</si>
  <si>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classe de produto e seu grau de elaboração. Os produtos básicos guardam suas características próximas ao estado em que são encontrados na natureza, ou seja, com um baixo grau de elaboração. São exemplos: minérios, produtos agrícolas (café em grão, soja em grão, carne in natura, milho em grão, trigo em grão, etc.) e óleos brutos de petróleo.</t>
  </si>
  <si>
    <t>http://www.ipeadata.gov.br/api/odata4/ValoresSerie(SERCODIGO='FUNCEX12_XQB12')</t>
  </si>
  <si>
    <t>Exportações - produtos de madeira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</si>
  <si>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madeira.  Nota: Setores de atividades calculados de acordo com a classificação nacional de atividades econômicas do IBGE - CNAE 2.0.</t>
  </si>
  <si>
    <t>http://www.ipeadata.gov.br/api/odata4/ValoresSerie(SERCODIGO='FUNCEX12_XQMAD2N12')</t>
  </si>
  <si>
    <t>Produtos de madeira - quantum - Funcex</t>
  </si>
  <si>
    <t>Exportações - produtos de metal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</si>
  <si>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estruturas metálicas e obras de caldeiraria pesada. Nota: Setores de atividades calculados de acordo com a classificação nacional de atividades econômicas do IBGE - CNAE 2.0.</t>
  </si>
  <si>
    <t>http://www.ipeadata.gov.br/api/odata4/ValoresSerie(SERCODIGO='FUNCEX12_XQMET2N12')</t>
  </si>
  <si>
    <t>Produtos de metal - quantum - Funcex</t>
  </si>
  <si>
    <t>Exportações - produtos de minerais não-metálicos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</si>
  <si>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do fumo. Nota: Setores de atividades calculados de acordo com a classificação nacional de atividades econômicas do IBGE - CNAE 2.0.</t>
  </si>
  <si>
    <t>http://www.ipeadata.gov.br/api/odata4/ValoresSerie(SERCODIGO='FUNCEX12_XQMNM2N12')</t>
  </si>
  <si>
    <t>Produtos de minerais não-metálicos - quantum - Funcex</t>
  </si>
  <si>
    <t>Exportações - produtos de borracha e material plástico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</si>
  <si>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borracha ou de material plástico. Nota: Setores de atividades calculados de acordo com a classificação nacional de atividades econômicas do IBGE - CNAE 2.0.</t>
  </si>
  <si>
    <t>http://www.ipeadata.gov.br/api/odata4/ValoresSerie(SERCODIGO='FUNCEX12_XQPLAS2N12')</t>
  </si>
  <si>
    <t>Produtos de borracha e material plástico - quantum - Funcex</t>
  </si>
  <si>
    <t>Exportações - produtos do fumo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</si>
  <si>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de minerais não-metálicos. Nota: Setores de atividades calculados de acordo com a classificação nacional de atividades econômicas do IBGE - CNAE 2.0.</t>
  </si>
  <si>
    <t>http://www.ipeadata.gov.br/api/odata4/ValoresSerie(SERCODIGO='FUNCEX12_XQFUMO2N12')</t>
  </si>
  <si>
    <t>Produtos do fumo - quantum - Funcex</t>
  </si>
  <si>
    <t>Exportações - produtos de madeira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</si>
  <si>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de madeira. Nota: Setores de atividades calculados de acordo com a classificação nacional de atividades econômicas do IBGE - CNAE 2.0.</t>
  </si>
  <si>
    <t>http://www.ipeadata.gov.br/api/odata4/ValoresSerie(SERCODIGO='FUNCEX12_XVMAD2N12')</t>
  </si>
  <si>
    <t>Produtos de madeira - (FOB) - Funcex</t>
  </si>
  <si>
    <t>Exportações - produtos de borracha e material plástico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</si>
  <si>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de borracha ou de material plástico. Nota: Setores de atividades calculados de acordo com a classificação nacional de atividades econômicas do IBGE - CNAE 2.0.</t>
  </si>
  <si>
    <t>http://www.ipeadata.gov.br/api/odata4/ValoresSerie(SERCODIGO='FUNCEX12_XVPLAS2N12')</t>
  </si>
  <si>
    <t>Produtos de borracha e material plástico - (FOB) - Funcex</t>
  </si>
  <si>
    <t>Exportações - produtos farmoquímicos farmacêuticos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</si>
  <si>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produtos farmoquímicos e farmacêuticos. Nota: Setores de atividades calculados de acordo com a classificação nacional de atividades econômicas do IBGE - CNAE 2.0.</t>
  </si>
  <si>
    <t>http://www.ipeadata.gov.br/api/odata4/ValoresSerie(SERCODIGO='FUNCEX12_XVFARM2N12')</t>
  </si>
  <si>
    <t>Produtos farmoquímicos farmacêuticos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</si>
  <si>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madeira serrada, laminada, compensada, prensada e aglomerada e de produtos de madeira para construção, para embalagem, para uso industrial, comercial e doméstico.  Nota: Setores de atividades calculados de acordo com a classificação nacional de atividades econômicas do IBGE - CNAE 2.0.</t>
  </si>
  <si>
    <t>http://www.ipeadata.gov.br/api/odata4/ValoresSerie(SERCODIGO='FUNCEX_XVMAD2N')</t>
  </si>
  <si>
    <t>Exportações - produtos de metal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</si>
  <si>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de metal como estruturas metálicas e obras de caldeiraria pesada para diversas aplicações.  Nota: Setores de atividades calculados de acordo com a classificação nacional de atividades econômicas do IBGE - CNAE 2.0.</t>
  </si>
  <si>
    <t>http://www.ipeadata.gov.br/api/odata4/ValoresSerie(SERCODIGO='FUNCEX_XVMET2N')</t>
  </si>
  <si>
    <t>Produtos de metal - (FOB) - Funcex</t>
  </si>
  <si>
    <t>Exportações - produtos de minerais não-metálicos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</si>
  <si>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relacionados a substâncias minerais, como a fabricação de vidro e produtos de vidro, a fabricação de produtos cerâmicos ou de barro cozido, de cimento, de gesso e de materiais semelhantes.  Nota: Setores de atividades calculados de acordo com a classificação nacional de atividades econômicas do IBGE - CNAE 2.0.</t>
  </si>
  <si>
    <t>http://www.ipeadata.gov.br/api/odata4/ValoresSerie(SERCODIGO='FUNCEX_XVMNM2N')</t>
  </si>
  <si>
    <t>Produtos de minerais não-metálicos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</si>
  <si>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de borracha ou de material plástico.  Nota: Setores de atividades calculados de acordo com a classificação nacional de atividades econômicas do IBGE - CNAE 2.0.</t>
  </si>
  <si>
    <t>http://www.ipeadata.gov.br/api/odata4/ValoresSerie(SERCODIGO='FUNCEX_XVPLAS2N')</t>
  </si>
  <si>
    <t>Exportações - produtos do fumo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</si>
  <si>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cigarros, cigarrilhas e outros derivados do fumo. Nota: Setores de atividades calculados de acordo com a classificação nacional de atividades econômicas do IBGE - CNAE 2.0.</t>
  </si>
  <si>
    <t>http://www.ipeadata.gov.br/api/odata4/ValoresSerie(SERCODIGO='FUNCEX_XVFUMO2N')</t>
  </si>
  <si>
    <t>Produtos do fumo - (FOB) - Funcex</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</si>
  <si>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</si>
  <si>
    <t>http://www.ipeadata.gov.br/api/odata4/ValoresSerie(SERCODIGO='FUNCEX_XVFARM2N')</t>
  </si>
  <si>
    <t>Exportações - produtos manufaturados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</si>
  <si>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classe de produto e seu grau de elaboração. Os produtos manufaturados possuem maior grau de elaboração e incluem os mais variados itens, como têxteis, químicos, automóveis, máquinas industriais etc.  </t>
  </si>
  <si>
    <t>http://www.ipeadata.gov.br/api/odata4/ValoresSerie(SERCODIGO='FUNCEX_XPM')</t>
  </si>
  <si>
    <t>Produtos manufaturados - preços - Funcex</t>
  </si>
  <si>
    <t>Exportações - produtos manufaturados - quantum - índice (média 2018 = 100)</t>
  </si>
  <si>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manufaturados possuem maior grau de elaboração e incluem os mais variados itens, como têxteis, químicos, automóveis, máquinas industriais etc. </t>
  </si>
  <si>
    <t>http://www.ipeadata.gov.br/api/odata4/ValoresSerie(SERCODIGO='FUNCEX_XQM')</t>
  </si>
  <si>
    <t>Produtos manufaturados - quantum - Funcex</t>
  </si>
  <si>
    <t>Exportações - produtos semi-manufaturados - quantum - índice (média 2018 = 100)</t>
  </si>
  <si>
    <t xml:space="preserve">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pela classe de produto e seu grau de elaboração. Os produtos semi-manufaturadosde são os que ainda não estão em sua forma definitiva de uso, quer final quer intermediário, pois deverão passar por outro processo produtivo para se transformarem em produtos manufaturados. São exemplos: açúcar de cana em bruto, óleo de soja em bruto, peleteria, celulose, alumínio e ferro fundido. </t>
  </si>
  <si>
    <t>http://www.ipeadata.gov.br/api/odata4/ValoresSerie(SERCODIGO='FUNCEX_XQS')</t>
  </si>
  <si>
    <t>Produtos semi-manufaturados - quantum - Funcex</t>
  </si>
  <si>
    <t>Exportações - quantum - índice (média 2018 = 100)</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</si>
  <si>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Até 1973, série encadeada e convertida para a base 2006=100.</t>
  </si>
  <si>
    <t>http://www.ipeadata.gov.br/api/odata4/ValoresSerie(SERCODIGO='FUNCEX_XQT')</t>
  </si>
  <si>
    <t>Total - quantum - Funcex</t>
  </si>
  <si>
    <t>Exportações - produtos manufaturados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</si>
  <si>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manufaturados possuem maior grau de elaboração e incluem os mais variados itens, como têxteis, químicos, automóveis, máquinas industriais etc. </t>
  </si>
  <si>
    <t>http://www.ipeadata.gov.br/api/odata4/ValoresSerie(SERCODIGO='FUNCEX_XVM')</t>
  </si>
  <si>
    <t>Produtos manufaturados - (FOB) - Funcex</t>
  </si>
  <si>
    <t>Exportações - produtos semi-manufaturados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</si>
  <si>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classe de produto e seu grau de elaboração. Os produtos semi-manufaturados são os que ainda não estão em sua forma definitiva de uso, quer final quer intermediário, pois deverão passar por outro processo produtivo para se transformarem em produtos manufaturados. São exemplos: açúcar de cana em bruto, óleo de soja em bruto, peleteria, celulose, alumínio e ferro fundido. </t>
  </si>
  <si>
    <t>http://www.ipeadata.gov.br/api/odata4/ValoresSerie(SERCODIGO='FUNCEX_XVS')</t>
  </si>
  <si>
    <t>Produtos semi-manufaturados - (FOB) - Funcex</t>
  </si>
  <si>
    <t>As exportações são os valores das vendas para o exterior e outras remessas de bens de propriedade de residentes no país, registrado na Balança Comercial do Balanço de Pagamentos. Este índice capta o efeito dos preços sobre a evolução dos valores exportados pelo país, em um cálculo análogo ao dos índices de preços domésticos cuja diferença é que os índices de preços de exportação consideram os preços médios em dólares dos produtos exportados em cada período.  O setor de exportação deste grupo é compreendido de acordo sua  classe de produto e seu grau de elaboração.  Os produtos manufaturados possuem maior grau de elaboração e incluem os mais variados itens, como têxteis, químicos, automóveis, máquinas industriais etc.</t>
  </si>
  <si>
    <t>http://www.ipeadata.gov.br/api/odata4/ValoresSerie(SERCODIGO='FUNCEX12_XPM12')</t>
  </si>
  <si>
    <t xml:space="preserve">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pela classe de produto e seu grau de elaboração. Os produtos manufaturados possuem maior grau de elaboração e incluem os mais variados itens, como têxteis, químicos, automóveis, máquinas industriais etc. </t>
  </si>
  <si>
    <t>http://www.ipeadata.gov.br/api/odata4/ValoresSerie(SERCODIGO='FUNCEX12_XQM12')</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</si>
  <si>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é compreendido de acordo sua  classe de produto e seu grau de elaboração. Os produtos semi-manufaturados ainda não estão em sua forma definitiva de uso, quer final quer intermediário, pois deverão passar por outro processo produtivo para se transformarem em produto manufaturado. São exemplos: açúcar de cana em bruto, óleo de soja em bruto, peleteria, celulose, alumínio e ferro fundido.</t>
  </si>
  <si>
    <t>http://www.ipeadata.gov.br/api/odata4/ValoresSerie(SERCODIGO='FUNCEX12_XQS12')</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</si>
  <si>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volume total do país.</t>
  </si>
  <si>
    <t>http://www.ipeadata.gov.br/api/odata4/ValoresSerie(SERCODIGO='FUNCEX12_XQT12')</t>
  </si>
  <si>
    <t>Exportações - produtos químicos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</si>
  <si>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químicos. Nota: Setores de atividades calculados de acordo com a classificação nacional de atividades econômicas do IBGE - CNAE 2.0.</t>
  </si>
  <si>
    <t>http://www.ipeadata.gov.br/api/odata4/ValoresSerie(SERCODIGO='FUNCEX12_XQQUIM2N12')</t>
  </si>
  <si>
    <t>Produtos químicos - quantum - Funcex</t>
  </si>
  <si>
    <t>Exportações - produtos têxteis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</si>
  <si>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têxteis. Nota: Setores de atividades calculados de acordo com a classificação nacional de atividades econômicas do IBGE - CNAE 2.0.</t>
  </si>
  <si>
    <t>http://www.ipeadata.gov.br/api/odata4/ValoresSerie(SERCODIGO='FUNCEX12_XQTEXT2N12')</t>
  </si>
  <si>
    <t>Produtos têxteis - quantum - Funcex</t>
  </si>
  <si>
    <t>Exportações - produtos farmoquímicos farmacêuticos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</si>
  <si>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produtos farmoquímicos e farmacêuticos. Nota: Setores de atividades calculados de acordo com a classificação nacional de atividades econômicas do IBGE - CNAE 2.0.</t>
  </si>
  <si>
    <t>http://www.ipeadata.gov.br/api/odata4/ValoresSerie(SERCODIGO='FUNCEX12_XQFARM2N12')</t>
  </si>
  <si>
    <t>Produtos farmoquímicos farmacêuticos - quantum - Funcex</t>
  </si>
  <si>
    <t>Exportações - produtos farmoquímicos farmacêuticos - preços - índice (média 2018 = 100)</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</si>
  <si>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 </t>
  </si>
  <si>
    <t>http://www.ipeadata.gov.br/api/odata4/ValoresSerie(SERCODIGO='FUNCEX_XPFARM2N')</t>
  </si>
  <si>
    <t>Produtos farmoquímicos farmacêuticos - preços - Funcex</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</si>
  <si>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</si>
  <si>
    <t>http://www.ipeadata.gov.br/api/odata4/ValoresSerie(SERCODIGO='FUNCEX_XQQUIM2N')</t>
  </si>
  <si>
    <t>Este índice busca captar o efeito das variações das quantidades físicas exportadas sobre a evolução do valor de exportação. Ele é obtido implicitamente, por meio do deflacionamento dos valores exportados pelas variações dos índices de preço de exportação.  Neste caso, trata-se da exportação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</si>
  <si>
    <t>http://www.ipeadata.gov.br/api/odata4/ValoresSerie(SERCODIGO='FUNCEX_XQFARM2N')</t>
  </si>
  <si>
    <t>Exportações - produtos químicos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</si>
  <si>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</si>
  <si>
    <t>http://www.ipeadata.gov.br/api/odata4/ValoresSerie(SERCODIGO='FUNCEX_XVQUIM2N')</t>
  </si>
  <si>
    <t>Produtos químicos - (FOB) - Funcex</t>
  </si>
  <si>
    <t>Exportações - produtos têxteis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</si>
  <si>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referente ao setor responsável pela produção dos bens que compreendem as atividades de preparação das fibras têxteis, a fiação e a tecelagem (plana ou não).  Nota: Setores de atividades calculados de acordo com a classificação nacional de atividades econômicas do IBGE - CNAE 2.0.</t>
  </si>
  <si>
    <t>http://www.ipeadata.gov.br/api/odata4/ValoresSerie(SERCODIGO='FUNCEX_XVTEXT2N')</t>
  </si>
  <si>
    <t>Produtos têxteis - (FOB) - Funcex</t>
  </si>
  <si>
    <t>Importações - bens de capital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</si>
  <si>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</si>
  <si>
    <t>http://www.ipeadata.gov.br/api/odata4/ValoresSerie(SERCODIGO='FUNCEX12_MDVBKGCE12')</t>
  </si>
  <si>
    <t>Importações - Mensal</t>
  </si>
  <si>
    <t>Importações - bens de capital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</si>
  <si>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capital que são utilizados para a produção de outros bens e incluem, por exemplo, máquinas e ferramentas, tratores e material de transporte.  Nota: Valores de desembaraço a partir de 1997.</t>
  </si>
  <si>
    <t>http://www.ipeadata.gov.br/api/odata4/ValoresSerie(SERCODIGO='FUNCEX_MDVBK')</t>
  </si>
  <si>
    <t>Importações - Anual</t>
  </si>
  <si>
    <t>Importações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</si>
  <si>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volume total do país.  Nota: Valores de desembaraço a partir de 1997.</t>
  </si>
  <si>
    <t>http://www.ipeadata.gov.br/api/odata4/ValoresSerie(SERCODIGO='FUNCEX_MDVT')</t>
  </si>
  <si>
    <t>Importações - agricultura e pecuária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</si>
  <si>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produção dos bens que abrange o cultivo de lavouras e a criação e produção animal. Nota: Setores de atividades calculados de acordo com a classificação nacional de atividades econômicas do IBGE - CNAE 2.0.</t>
  </si>
  <si>
    <t>http://www.ipeadata.gov.br/api/odata4/ValoresSerie(SERCODIGO='FUNCEX12_MPAGP2N12')</t>
  </si>
  <si>
    <t>Exportações - veículos automotores, reboques, carrocerias - quantum - índice (média 2018 = 100)</t>
  </si>
  <si>
    <t>As exportações são os valores das vendas para o exterior e outras remessas de bens de propriedade de residentes no país, registrado na Balança Comercial do Balanço de Pagamentos. Este índice capta o efeito das variações das quantidades físicas exportadas sobre a evolução do valor de exportação. Ele é obtido, implicitamente, por meio do deflacionamento dos valores exportados pelas variações dos índices de preço de exportação.  O setor de exportação deste grupo compreende a fabricação de veículos automotores, reboques e carrocerias. Nota: Setores de atividades calculados de acordo com a classificação nacional de atividades econômicas do IBGE - CNAE 2.0.</t>
  </si>
  <si>
    <t>http://www.ipeadata.gov.br/api/odata4/ValoresSerie(SERCODIGO='FUNCEX12_XQVEIC2N12')</t>
  </si>
  <si>
    <t>Veículos automotores, reboques, carrocerias - quantum - Funcex</t>
  </si>
  <si>
    <t>Importações - agricultura e pecuária - quantum - índice (média 2018 = 100)</t>
  </si>
  <si>
    <t>http://www.ipeadata.gov.br/api/odata4/ValoresSerie(SERCODIGO='FUNCEX12_MQAGP2N12')</t>
  </si>
  <si>
    <t>Importações - bebidas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</si>
  <si>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bebidas de todos os tipos. Nota: Setores de atividades calculados de acordo com a classificação nacional de atividades econômicas do IBGE - CNAE 2.0.</t>
  </si>
  <si>
    <t>http://www.ipeadata.gov.br/api/odata4/ValoresSerie(SERCODIGO='FUNCEX12_MQBEB2N12')</t>
  </si>
  <si>
    <t>Importações - artigos de vestuário e acessórios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</si>
  <si>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confecção de artigos do vestuário e acessórios. Nota: Setores de atividades calculados de acordo com a classificação nacional de atividades econômicas do IBGE - CNAE 2.0.</t>
  </si>
  <si>
    <t>http://www.ipeadata.gov.br/api/odata4/ValoresSerie(SERCODIGO='FUNCEX12_MQVEST2N12')</t>
  </si>
  <si>
    <t>Importações - agricultura e pecuária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</si>
  <si>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é compreendido pela produção dos bens que abrange o cultivo de lavouras e a criação e produção animal. Nota:  Setores de atividades calculados de acordo com a classificação nacional de atividades econômicas do IBGE - CNAE 2.0.</t>
  </si>
  <si>
    <t>http://www.ipeadata.gov.br/api/odata4/ValoresSerie(SERCODIGO='FUNCEX12_MVAGP2N12')</t>
  </si>
  <si>
    <t>Importações - bebidas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</si>
  <si>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bebidas de todos os tipos. Nota:  Setores de atividades calculados de acordo com a classificação nacional de atividades econômicas do IBGE - CNAE 2.0.</t>
  </si>
  <si>
    <t>http://www.ipeadata.gov.br/api/odata4/ValoresSerie(SERCODIGO='FUNCEX12_MVBEB2N12')</t>
  </si>
  <si>
    <t>Importações - artigos de vestuário e acessórios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</si>
  <si>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confecção de artigos do vestuário e acessórios. Nota:  Setores de atividades calculados de acordo com a classificação nacional de atividades econômicas do IBGE - CNAE 2.0.</t>
  </si>
  <si>
    <t>http://www.ipeadata.gov.br/api/odata4/ValoresSerie(SERCODIGO='FUNCEX12_MVVEST2N12')</t>
  </si>
  <si>
    <t>Exportações - veículos automotores, reboques,carrocerias - (FOB)</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</si>
  <si>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O setor de exportação deste grupo compreende a fabricação de veículos automotores, reboques e carrocerias. Nota: Setores de atividades calculados de acordo com a classificação nacional de atividades econômicas do IBGE - CNAE 2.0.</t>
  </si>
  <si>
    <t>http://www.ipeadata.gov.br/api/odata4/ValoresSerie(SERCODIGO='FUNCEX12_XVVEIC2N12')</t>
  </si>
  <si>
    <t>Veículos automotores, reboques,carrocerias - (FOB) - Funcex</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</si>
  <si>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</si>
  <si>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http://www.ipeadata.gov.br/api/odata4/ValoresSerie(SERCODIGO='FUNCEX_MPAGP2N')</t>
  </si>
  <si>
    <t>Importações - artigos de vestuário e acessórios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</si>
  <si>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</si>
  <si>
    <t>http://www.ipeadata.gov.br/api/odata4/ValoresSerie(SERCODIGO='FUNCEX_MPVEST2N')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</si>
  <si>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t>
  </si>
  <si>
    <t>http://www.ipeadata.gov.br/api/odata4/ValoresSerie(SERCODIGO='FUNCEX_MQAGP2N')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</si>
  <si>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t>
  </si>
  <si>
    <t>http://www.ipeadata.gov.br/api/odata4/ValoresSerie(SERCODIGO='FUNCEX_MQVEST2N')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</si>
  <si>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cultivo de lavouras e a criação e produção animal. Nota: Setores de atividades calculados de acordo com a classificação nacional de atividades econômicas do IBGE - CNAE 2.0. </t>
  </si>
  <si>
    <t>http://www.ipeadata.gov.br/api/odata4/ValoresSerie(SERCODIGO='FUNCEX_MVAGP2N')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</si>
  <si>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bebidas de todos os tipos. Nota: Setores de atividades calculados de acordo com a classificação nacional de atividades econômicas do IBGE - CNAE 2.0. </t>
  </si>
  <si>
    <t>http://www.ipeadata.gov.br/api/odata4/ValoresSerie(SERCODIGO='FUNCEX_MVBEB2N')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</si>
  <si>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confecção, por costura, de roupas de qualquer material e para qualquer uso, confeccionadas em série ou sob medida.  Nota: Setores de atividades calculados de acordo com a classificação nacional de atividades econômicas do IBGE - CNAE 2.0. </t>
  </si>
  <si>
    <t>http://www.ipeadata.gov.br/api/odata4/ValoresSerie(SERCODIGO='FUNCEX_MVVEST2N')</t>
  </si>
  <si>
    <t>Exportações - veículos automotores, reboques, carrocerias - (FOB)</t>
  </si>
  <si>
    <t xml:space="preserve">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referente ao setor responsável pela produção dos bens que compreendem a fabricação de veículos automotores para transporte de pessoas e mercadorias e a fabricação de cabines, carrocerias, reboques e semi-reboques para veículos automotores.   Nota: Setores de atividades calculados de acordo com a classificação nacional de atividades econômicas do IBGE - CNAE 2.0. </t>
  </si>
  <si>
    <t>http://www.ipeadata.gov.br/api/odata4/ValoresSerie(SERCODIGO='FUNCEX_XVVEIC2N')</t>
  </si>
  <si>
    <t>Veículos automotores, reboques, carrocerias - (FOB) - Funcex</t>
  </si>
  <si>
    <t>Importações - bens intermediários - preços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</si>
  <si>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</si>
  <si>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http://www.ipeadata.gov.br/api/odata4/ValoresSerie(SERCODIGO='FUNCEX12_MDPBIGCE12')</t>
  </si>
  <si>
    <t>Bens intermediários - preços (série nova) - Funcex</t>
  </si>
  <si>
    <t>Importações - bens de capital - preços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</si>
  <si>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capital, os quais são utilizados para a produção de outros bens e incluem, por exemplo, máquinas e ferramentas, tratores e material de transporte. Nota: Estas séries são análogas às antigas categorias de uso.</t>
  </si>
  <si>
    <t>http://www.ipeadata.gov.br/api/odata4/ValoresSerie(SERCODIGO='FUNCEX12_MDPBKGCE12')</t>
  </si>
  <si>
    <t>Bens de capital - preços (série nova) - Funcex</t>
  </si>
  <si>
    <t>Importações - bens de consumo duráveis - quantum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</si>
  <si>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consumo duráveis, os quais possuem uma vida útil esperada de 1 - 3 anos ou mais e com valores relativamente elevados, tais como refrigeradores, máquinas de lavar, automóveis de passeio, motocicletas, aparelhos eletrodomésticos e aparelhos celulares. Nota: Estas séries são análogas às antigas categorias de uso.</t>
  </si>
  <si>
    <t>http://www.ipeadata.gov.br/api/odata4/ValoresSerie(SERCODIGO='FUNCEX12_MDQBCDGCE12')</t>
  </si>
  <si>
    <t>Importações - bens de consumo não duráveis - quantum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</si>
  <si>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bens de consumo não duráveis, os quais possuem uma vida útil inferior a um ano que incluem produtos de alimentação e bebidas em geral, os artigos de vestuário e os brinquedos, entre outros. Nota: Estas séries são análogas às antigas categorias de uso.</t>
  </si>
  <si>
    <t>http://www.ipeadata.gov.br/api/odata4/ValoresSerie(SERCODIGO='FUNCEX12_MDQBCNDGCE12')</t>
  </si>
  <si>
    <t>Importações - bens de capital - quantum - índice (média 2018 = 100) (série nova)</t>
  </si>
  <si>
    <t>http://www.ipeadata.gov.br/api/odata4/ValoresSerie(SERCODIGO='FUNCEX12_MDQBKGCE12')</t>
  </si>
  <si>
    <t>Importações - bens de consumo duráveis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</si>
  <si>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consumo duráveis, os quais possuem uma vida útil esperada de 1 - 3 anos ou mais e com valores relativamente elevados, tais como refrigeradores, máquinas de lavar, automóveis de passeio, motocicletas, aparelhos eletrodomésticos e aparelhos celulares. Nota: Estas séries são análogas às antigas categorias de uso.</t>
  </si>
  <si>
    <t>http://www.ipeadata.gov.br/api/odata4/ValoresSerie(SERCODIGO='FUNCEX12_MDVBCDGCE12')</t>
  </si>
  <si>
    <t>Importações - bens de consumo não duráveis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</si>
  <si>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bens de consumo não duráveis, os quais possuem uma vida útil inferior a um ano que incluem produtos de alimentação e bebidas em geral, os artigos de vestuário e os brinquedos, entre outros. Nota: Estas séries são análogas às antigas categorias de uso.</t>
  </si>
  <si>
    <t>http://www.ipeadata.gov.br/api/odata4/ValoresSerie(SERCODIGO='FUNCEX12_MDVBCNDGCE12')</t>
  </si>
  <si>
    <t>Importações - bens intermediários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</si>
  <si>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de bens intermediários, os quais são utilizados como insumos para a produção de outros bens e incluem, entre outros itens, partes e peças para veículos, componentes eletro-eletrônicos, minérios e produtos siderúrgicos básicos, elementos e compostos químicos e soja em grão. Nota: Estas séries são análogas às antigas categorias de uso.</t>
  </si>
  <si>
    <t>http://www.ipeadata.gov.br/api/odata4/ValoresSerie(SERCODIGO='FUNCEX12_MDVBIGCE12')</t>
  </si>
  <si>
    <t>Importações - bens de consumo duráveis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</si>
  <si>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  Nota: Valores de desembaraço a partir de 1997.</t>
  </si>
  <si>
    <t>http://www.ipeadata.gov.br/api/odata4/ValoresSerie(SERCODIGO='FUNCEX_MDPBCD')</t>
  </si>
  <si>
    <t>Bens de consumo duráveis - preços - Funcex</t>
  </si>
  <si>
    <t>Importações - bens de consumo não duráveis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</si>
  <si>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consumo não duráveis, os quais possuem uma vida útil inferior a um ano que incluem produtos de alimentação e bebidas em geral, os artigos de vestuário e os brinquedos, entre outros.   Nota: Valores de desembaraço a partir de 1997.</t>
  </si>
  <si>
    <t>http://www.ipeadata.gov.br/api/odata4/ValoresSerie(SERCODIGO='FUNCEX_MDPBCND')</t>
  </si>
  <si>
    <t>Bens de consumo não duráveis - preços - Funcex</t>
  </si>
  <si>
    <t>Importações - bens intermediários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</si>
  <si>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intermediários, os quais são utilizadosde bens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</si>
  <si>
    <t>http://www.ipeadata.gov.br/api/odata4/ValoresSerie(SERCODIGO='FUNCEX_MDPBI')</t>
  </si>
  <si>
    <t>Importações - bens de capital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</si>
  <si>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pela categoria de uso bens de capital, os quais são utilizados para a produção de outros bens e incluem, por exemplo, máquinas e ferramentas, tratores e material de transporte.  Nota: Valores de desembaraço a partir de 1997.</t>
  </si>
  <si>
    <t>http://www.ipeadata.gov.br/api/odata4/ValoresSerie(SERCODIGO='FUNCEX_MDPBK')</t>
  </si>
  <si>
    <t>Importações - bens de consumo duráveis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</si>
  <si>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consumo duráveis com uma vida útil esperada de 1 - 3 anos ou mais e com valores relativamente elevados, tais como refrigeradores, máquinas de lavar, automóveis de passeio, motocicletas, aparelhos eletrodomésticos e aparelhos celulares. Nota: Valores de desembaraço a partir de 1997.</t>
  </si>
  <si>
    <t>http://www.ipeadata.gov.br/api/odata4/ValoresSerie(SERCODIGO='FUNCEX_MDQBCD')</t>
  </si>
  <si>
    <t>Importações - bens de consumo não duráveis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</si>
  <si>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consumo não duráveis que possuem uma vida útil inferior a um ano que incluem produtos de alimentação e bebidas em geral, os artigos de vestuário e os brinquedos, entre outros.  Nota: Valores de desembaraço a partir de 1997.</t>
  </si>
  <si>
    <t>http://www.ipeadata.gov.br/api/odata4/ValoresSerie(SERCODIGO='FUNCEX_MDQBCND')</t>
  </si>
  <si>
    <t>Importações - bens de capital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</si>
  <si>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de capital que são utilizados para a produção de outros bens e incluem, por exemplo, máquinas e ferramentas, tratores e material de transporte.  Nota: Valores de desembaraço a partir de 1997.</t>
  </si>
  <si>
    <t>http://www.ipeadata.gov.br/api/odata4/ValoresSerie(SERCODIGO='FUNCEX_MDQBK')</t>
  </si>
  <si>
    <t>Importações - bens de consumo duráveis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</si>
  <si>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consumo duráveis, os quais possuem uma vida útil esperada de 1 - 3 anos ou mais e com valores relativamente elevados, tais como refrigeradores, máquinas de lavar, automóveis de passeio, motocicletas, aparelhos eletrodomésticos e aparelhos celulares. Nota: Valores de desembaraço a partir de 1997.</t>
  </si>
  <si>
    <t>http://www.ipeadata.gov.br/api/odata4/ValoresSerie(SERCODIGO='FUNCEX_MDVBCD')</t>
  </si>
  <si>
    <t>Importações - bens de consumo não duráveis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</si>
  <si>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de consumo não duráveis que possuem uma vida útil inferior a um ano que incluem produtos de alimentação e bebidas em geral, os artigos de vestuário e os brinquedos, entre outros.  Nota: Valores de desembaraço a partir de 1997.</t>
  </si>
  <si>
    <t>http://www.ipeadata.gov.br/api/odata4/ValoresSerie(SERCODIGO='FUNCEX_MDVBCND')</t>
  </si>
  <si>
    <t>Importações - bens intermediários - (FOB)</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</si>
  <si>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</si>
  <si>
    <t>http://www.ipeadata.gov.br/api/odata4/ValoresSerie(SERCODIGO='FUNCEX_MDVBI')</t>
  </si>
  <si>
    <t>Importações - combustíveis - preços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</si>
  <si>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categoria de uso combustíveis e, à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</si>
  <si>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http://www.ipeadata.gov.br/api/odata4/ValoresSerie(SERCODIGO='FUNCEX12_MDPCOMBGCE12')</t>
  </si>
  <si>
    <t>Importações - bens intermediários - quantum - índice (média 2018 = 100) (série nova)</t>
  </si>
  <si>
    <t>http://www.ipeadata.gov.br/api/odata4/ValoresSerie(SERCODIGO='FUNCEX12_MDQBIGCE12')</t>
  </si>
  <si>
    <t>Importações - combustíveis - quantum - índice (média 2018 = 100) (série nova)</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</si>
  <si>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é compreendido pela categoria de uso combustíveis e, á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</si>
  <si>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http://www.ipeadata.gov.br/api/odata4/ValoresSerie(SERCODIGO='FUNCEX12_MDQCOMBGCE12')</t>
  </si>
  <si>
    <t>Importações - combustíveis - (FOB) (série nova)</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</si>
  <si>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categoria de uso combustíveis e, à este, estão agregados, entre outros, os óleos brutos de petróleo, a gasolina e o álcool carburante e também os combustíveis e lubrificantes utilizados em aeronaves e embarcações de trânsito internacional, ou seja, aqueles considerados como consumo de bordo. Nota: Estas séries são análogas às antigas categorias de uso.</t>
  </si>
  <si>
    <t>http://www.ipeadata.gov.br/api/odata4/ValoresSerie(SERCODIGO='FUNCEX12_MDVCOMBGCE12')</t>
  </si>
  <si>
    <t>Importações - bens intermediários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</si>
  <si>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bens intermediários que são utilizados como insumos para a produção de outros bens e incluem, entre outros itens, partes e peças para veículos, componentes eletro-eletrônicos, minérios e produtos siderúrgicos básicos, elementos e compostos químicos e soja em grão.  Nota: Valores de desembaraço a partir de 1997.</t>
  </si>
  <si>
    <t>http://www.ipeadata.gov.br/api/odata4/ValoresSerie(SERCODIGO='FUNCEX_MDQBI')</t>
  </si>
  <si>
    <t>Bens intermediários - quantum - Funcex</t>
  </si>
  <si>
    <t>Importações - combustíveis - quantum - índice (média 2018 = 100)</t>
  </si>
  <si>
    <t>http://www.ipeadata.gov.br/api/odata4/ValoresSerie(SERCODIGO='FUNCEX_MDQCOMB')</t>
  </si>
  <si>
    <t>Combustíveis - quantum - Funcex</t>
  </si>
  <si>
    <t>Importações - combustíveis - (FOB)</t>
  </si>
  <si>
    <t>http://www.ipeadata.gov.br/api/odata4/ValoresSerie(SERCODIGO='FUNCEX_MDVCOMB')</t>
  </si>
  <si>
    <t>Importações - celulose, papel e produtos de papel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</si>
  <si>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celulose, papel e produtos de papel. Nota: Setores de atividades calculados de acordo com a classificação nacional de atividades econômicas do IBGE - CNAE 2.0.</t>
  </si>
  <si>
    <t>http://www.ipeadata.gov.br/api/odata4/ValoresSerie(SERCODIGO='FUNCEX12_MPPAP2N12')</t>
  </si>
  <si>
    <t>Importações - derivados do petróleo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</si>
  <si>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</si>
  <si>
    <t>http://www.ipeadata.gov.br/api/odata4/ValoresSerie(SERCODIGO='FUNCEX12_MPPETCOMB2N12')</t>
  </si>
  <si>
    <t>Importações - couros, artefatos de couro e calçados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</si>
  <si>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o curtimento e outras preparações de couros e peles e a fabricação de artefatos de couro e afins. Nota: Setores de atividades calculados de acordo com a classificação nacional de atividades econômicas do IBGE - CNAE 2.0.</t>
  </si>
  <si>
    <t>http://www.ipeadata.gov.br/api/odata4/ValoresSerie(SERCODIGO='FUNCEX12_MQCAL2N12')</t>
  </si>
  <si>
    <t>Importações - celulose, papel e produtos de papel - quantum - índice (média 2018 = 100)</t>
  </si>
  <si>
    <t>http://www.ipeadata.gov.br/api/odata4/ValoresSerie(SERCODIGO='FUNCEX12_MQPAP2N12')</t>
  </si>
  <si>
    <t>Importações - celulose, papel e produtos de papel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</si>
  <si>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celulose, papel e produtos de papel. Nota:  Setores de atividades calculados de acordo com a classificação nacional de atividades econômicas do IBGE - CNAE 2.0.</t>
  </si>
  <si>
    <t>http://www.ipeadata.gov.br/api/odata4/ValoresSerie(SERCODIGO='FUNCEX12_MVPAP2N12')</t>
  </si>
  <si>
    <t>Importações - derivados do petróleo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</si>
  <si>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coque, de produtos derivados do petróleo e de biocombustíveis. Nota:  Setores de atividades calculados de acordo com a classificação nacional de atividades econômicas do IBGE - CNAE 2.0.</t>
  </si>
  <si>
    <t>http://www.ipeadata.gov.br/api/odata4/ValoresSerie(SERCODIGO='FUNCEX12_MVPETCOMB2N12')</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</si>
  <si>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que compreende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</si>
  <si>
    <t>http://www.ipeadata.gov.br/api/odata4/ValoresSerie(SERCODIGO='FUNCEX_MPPETCOMB2N')</t>
  </si>
  <si>
    <t>Importações - couros, artefatos de couro e calçados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</si>
  <si>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curtimento e outras preparações de couros e peles e a fabricação de artefatos de couro, a fabricação de substitutos do couro, a fabricação de bolsas e de artigos para viagem de qualquer material.  Nota: Setores de atividades calculados de acordo com a classificação nacional de atividades econômicas do IBGE - CNAE 2.0. </t>
  </si>
  <si>
    <t>http://www.ipeadata.gov.br/api/odata4/ValoresSerie(SERCODIGO='FUNCEX_MVCAL2N')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</si>
  <si>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polpa, papel, papel-cartão e papelão e de produtos fabricados com papel, papel-cartão ou papelão ondulado. Nota: Setores de atividades calculados de acordo com a classificação nacional de atividades econômicas do IBGE - CNAE 2.0. </t>
  </si>
  <si>
    <t>http://www.ipeadata.gov.br/api/odata4/ValoresSerie(SERCODIGO='FUNCEX_MVPAP2N')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</si>
  <si>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 </t>
  </si>
  <si>
    <t>http://www.ipeadata.gov.br/api/odata4/ValoresSerie(SERCODIGO='FUNCEX_MVPETCOMB2N')</t>
  </si>
  <si>
    <t>Importações - bens não classificados - (FOB)</t>
  </si>
  <si>
    <t>Esta categoria compreende os bens não classificados que inclui, entre outras mercadorias, uma série de equipamentos militares, pacotes postais e transações especiais e outros artigos não classificados segundo a tipologia. Nota: Estas séries são análogas às antigas categorias de uso.</t>
  </si>
  <si>
    <t>http://www.ipeadata.gov.br/api/odata4/ValoresSerie(SERCODIGO='FUNCEX12_MDVBNCGCE12')</t>
  </si>
  <si>
    <t>Bens não classificados - (FOB) - Funcex</t>
  </si>
  <si>
    <t>Importações - equipamentos de informática, eletrônicos e ópticos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</si>
  <si>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equipamentos de informática, produtos eletrônicos e ópticos. Nota: Setores de atividades calculados de acordo com a classificação nacional de atividades econômicas do IBGE - CNAE 2.0.</t>
  </si>
  <si>
    <t>http://www.ipeadata.gov.br/api/odata4/ValoresSerie(SERCODIGO='FUNCEX12_MQMAQINF2N12')</t>
  </si>
  <si>
    <t>Importações - derivados do petróleo - quantum - índice (média 2018 = 100)</t>
  </si>
  <si>
    <t>http://www.ipeadata.gov.br/api/odata4/ValoresSerie(SERCODIGO='FUNCEX12_MQPETCOMB2N12')</t>
  </si>
  <si>
    <t>Importações - equipamentos de informática, eletrônicos e ópticos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</si>
  <si>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equipamentos de informática, produtos eletrônicos e ópticos. Nota:  Setores de atividades calculados de acordo com a classificação nacional de atividades econômicas do IBGE - CNAE 2.0.</t>
  </si>
  <si>
    <t>http://www.ipeadata.gov.br/api/odata4/ValoresSerie(SERCODIGO='FUNCEX12_MVMAQINF2N12')</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</si>
  <si>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t>
  </si>
  <si>
    <t>http://www.ipeadata.gov.br/api/odata4/ValoresSerie(SERCODIGO='FUNCEX_MQMAQINF2N')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</si>
  <si>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produtos a partir de minerais betuminosos, a fabricação de produtos derivados de petróleo produzidos fora de refinarias a atividade de formulação de combustíveis líquidos a partir da mistura de correntes de hidrocarbonetos a atividade de rerrefino de óleos lubrificantes usados. Nota: Setores de atividades calculados de acordo com a classificação nacional de atividades econômicas do IBGE - CNAE 2.0.</t>
  </si>
  <si>
    <t>http://www.ipeadata.gov.br/api/odata4/ValoresSerie(SERCODIGO='FUNCEX_MQPETCOMB2N')</t>
  </si>
  <si>
    <t>Importações - extração de minerais metálicos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</si>
  <si>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extração, subterrânea e a céu aberto, de minerais metálicos e as atividades de beneficiamento associadas e em continuação à extração.  Nota: Setores de atividades calculados de acordo com a classificação nacional de atividades econômicas do IBGE - CNAE 2.0. </t>
  </si>
  <si>
    <t>http://www.ipeadata.gov.br/api/odata4/ValoresSerie(SERCODIGO='FUNCEX_MVEMM2N')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</si>
  <si>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Nota: Setores de atividades calculados de acordo com a classificação nacional de atividades econômicas do IBGE - CNAE 2.0. </t>
  </si>
  <si>
    <t>http://www.ipeadata.gov.br/api/odata4/ValoresSerie(SERCODIGO='FUNCEX_MVMAQINF2N')</t>
  </si>
  <si>
    <t>Importações - extração de carvão mineral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</si>
  <si>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extração de carvão mineral e os beneficiamentos de carvão mineral tais como limpeza, classificação, pulverização, etc., associados ou em continuação à extração. Nota: Setores de atividades calculados de acordo com a classificação nacional de atividades econômicas do IBGE - CNAE 2.0. </t>
  </si>
  <si>
    <t>http://www.ipeadata.gov.br/api/odata4/ValoresSerie(SERCODIGO='FUNCEX_MVECARV2N')</t>
  </si>
  <si>
    <t>Importações - extração de petróleo e gás natural - preços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</si>
  <si>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petróleo cru e gás natural. Nota: Setores de atividades calculados de acordo com a classificação nacional de atividades econômicas do IBGE - CNAE 2.0.</t>
  </si>
  <si>
    <t>http://www.ipeadata.gov.br/api/odata4/ValoresSerie(SERCODIGO='FUNCEX12_MPEPET2N12')</t>
  </si>
  <si>
    <t>Importações - extração de minerais metálicos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</si>
  <si>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extração de minerais metálicos. Nota: Setores de atividades calculados de acordo com a classificação nacional de atividades econômicas do IBGE - CNAE 2.0.</t>
  </si>
  <si>
    <t>http://www.ipeadata.gov.br/api/odata4/ValoresSerie(SERCODIGO='FUNCEX12_MQEMM2N12')</t>
  </si>
  <si>
    <t>Importações - extração de minerais não-metálicos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</si>
  <si>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as atividades de extração de minerais não-metálicos. Nota: Setores de atividades calculados de acordo com a classificação nacional de atividades econômicas do IBGE - CNAE 2.0.</t>
  </si>
  <si>
    <t>http://www.ipeadata.gov.br/api/odata4/ValoresSerie(SERCODIGO='FUNCEX12_MQEMNM2N12')</t>
  </si>
  <si>
    <t>Importações - extração de petróleo e gás natural - quantum - índice (média 2018 = 100)</t>
  </si>
  <si>
    <t>http://www.ipeadata.gov.br/api/odata4/ValoresSerie(SERCODIGO='FUNCEX12_MQEPET2N12')</t>
  </si>
  <si>
    <t>Importações - indústrias diversas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</si>
  <si>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</si>
  <si>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http://www.ipeadata.gov.br/api/odata4/ValoresSerie(SERCODIGO='FUNCEX12_MQDIV2N12')</t>
  </si>
  <si>
    <t>Importações - impressão e reprodução de gravações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</si>
  <si>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impressão e reprodução de gravações. Nota: Setores de atividades calculados de acordo com a classificação nacional de atividades econômicas do IBGE - CNAE 2.0.</t>
  </si>
  <si>
    <t>http://www.ipeadata.gov.br/api/odata4/ValoresSerie(SERCODIGO='FUNCEX12_MQIMQG2N12')</t>
  </si>
  <si>
    <t>Importações - extração de petróleo e gás natural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</si>
  <si>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extração de petróleo cru e gás natural. Nota:  Setores de atividades calculados de acordo com a classificação nacional de atividades econômicas do IBGE - CNAE 2.0.</t>
  </si>
  <si>
    <t>http://www.ipeadata.gov.br/api/odata4/ValoresSerie(SERCODIGO='FUNCEX12_MVEPET2N12')</t>
  </si>
  <si>
    <t>Importações - máquinas e equipamentos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</si>
  <si>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máquinas e equipamentos, incluindo seus componentes afins. Nota:  Setores de atividades calculados de acordo com a classificação nacional de atividades econômicas do IBGE - CNAE 2.0.</t>
  </si>
  <si>
    <t>http://www.ipeadata.gov.br/api/odata4/ValoresSerie(SERCODIGO='FUNCEX12_MVMAQEQU2N12')</t>
  </si>
  <si>
    <t>Importações - indústrias diversas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</si>
  <si>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</si>
  <si>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http://www.ipeadata.gov.br/api/odata4/ValoresSerie(SERCODIGO='FUNCEX12_MVDIV2N12')</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</si>
  <si>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extração de petróleo e gás natural e a extração de xisto e de areias betuminosas.  Nota: Setores de atividades calculados de acordo com a classificação nacional de atividades econômicas do IBGE - CNAE 2.0.</t>
  </si>
  <si>
    <t>http://www.ipeadata.gov.br/api/odata4/ValoresSerie(SERCODIGO='FUNCEX_MPEPET2N')</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</si>
  <si>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t>
  </si>
  <si>
    <t>http://www.ipeadata.gov.br/api/odata4/ValoresSerie(SERCODIGO='FUNCEX_MQDIV2N')</t>
  </si>
  <si>
    <t>Importações - extração de minerais não-metálicos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</si>
  <si>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extração de minerais não-metálicos em pedreiras, em depósitos aluviais, rochas e terras sedimentares. Nota: Setores de atividades calculados de acordo com a classificação nacional de atividades econômicas do IBGE - CNAE 2.0. </t>
  </si>
  <si>
    <t>http://www.ipeadata.gov.br/api/odata4/ValoresSerie(SERCODIGO='FUNCEX_MVEMNM2N')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</si>
  <si>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compreende a extração de petróleo e gás natural e a extração de xisto e de areias betuminosas.  Nota: Setores de atividades calculados de acordo com a classificação nacional de atividades econômicas do IBGE - CNAE 2.0. </t>
  </si>
  <si>
    <t>http://www.ipeadata.gov.br/api/odata4/ValoresSerie(SERCODIGO='FUNCEX_MVEPET2N')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</si>
  <si>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uma variedade de bens não incluídos em outras divisões da classificação. Nota: Setores de atividades calculados de acordo com a classificação nacional de atividades econômicas do IBGE - CNAE 2.0. </t>
  </si>
  <si>
    <t>http://www.ipeadata.gov.br/api/odata4/ValoresSerie(SERCODIGO='FUNCEX_MVDIV2N')</t>
  </si>
  <si>
    <t>Importações - impressão e reprodução de gravações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</si>
  <si>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contratação de um produto industrial final pronto, onde o contratado é responsável por todo o processo, desde a aquisição da matéria-prima até o produto final.  Nota: Setores de atividades calculados de acordo com a classificação nacional de atividades econômicas do IBGE - CNAE 2.0. </t>
  </si>
  <si>
    <t>http://www.ipeadata.gov.br/api/odata4/ValoresSerie(SERCODIGO='FUNCEX_MVIMVG2N')</t>
  </si>
  <si>
    <t>Importações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</si>
  <si>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Valores de desembaraço a partir de 1997. Até 1973, série encadeada e convertida para a base 2006=100.</t>
  </si>
  <si>
    <t>http://www.ipeadata.gov.br/api/odata4/ValoresSerie(SERCODIGO='FUNCEX_MDPT')</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</si>
  <si>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refere-se ao volume total do país. Nota:Valores de desembaraço a partir de 1997.</t>
  </si>
  <si>
    <t>http://www.ipeadata.gov.br/api/odata4/ValoresSerie(SERCODIGO='FUNCEX12_MDPT12')</t>
  </si>
  <si>
    <t>Importações - máquinas, aparelhos e materiais elétricos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</si>
  <si>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máquinas, aparelhos e materiais elétricos. Nota: Setores de atividades calculados de acordo com a classificação nacional de atividades econômicas do IBGE - CNAE 2.0.</t>
  </si>
  <si>
    <t>http://www.ipeadata.gov.br/api/odata4/ValoresSerie(SERCODIGO='FUNCEX12_MQMAQELET2N12')</t>
  </si>
  <si>
    <t>Importações - máquinas e equipamentos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</si>
  <si>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máquinas e equipamentos, incluindo seus componentes afins. Nota: Setores de atividades calculados de acordo com a classificação nacional de atividades econômicas do IBGE - CNAE 2.0.</t>
  </si>
  <si>
    <t>http://www.ipeadata.gov.br/api/odata4/ValoresSerie(SERCODIGO='FUNCEX12_MQMAQEQU2N12')</t>
  </si>
  <si>
    <t>Importações - metalurgia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</si>
  <si>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conversão de minérios ferrosos e não-ferrosos em produtos metalúrgicos. Nota: Setores de atividades calculados de acordo com a classificação nacional de atividades econômicas do IBGE - CNAE 2.0.</t>
  </si>
  <si>
    <t>http://www.ipeadata.gov.br/api/odata4/ValoresSerie(SERCODIGO='FUNCEX12_MQMETBAS2N12')</t>
  </si>
  <si>
    <t>Importações - móveis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</si>
  <si>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artigos do mobiliário de qualquer material para qualquer uso. Nota: Setores de atividades calculados de acordo com a classificação nacional de atividades econômicas do IBGE - CNAE 2.0.</t>
  </si>
  <si>
    <t>http://www.ipeadata.gov.br/api/odata4/ValoresSerie(SERCODIGO='FUNCEX12_MQMOV2N12')</t>
  </si>
  <si>
    <t>Importações - outros equipamentos de transporte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</si>
  <si>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construção de embarcações e estruturas flutuantes, a fabricação de veículos ferroviários, aeronaves,  motocicletas, bicicletas e outros equipamentos de transporte. Nota: Setores de atividades calculados de acordo com a classificação nacional de atividades econômicas do IBGE - CNAE 2.0.</t>
  </si>
  <si>
    <t>http://www.ipeadata.gov.br/api/odata4/ValoresSerie(SERCODIGO='FUNCEX12_MQOUTTRANS2N12')</t>
  </si>
  <si>
    <t>Importações - produção florestal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</si>
  <si>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florestal. Nota: Setores de atividades calculados de acordo com a classificação nacional de atividades econômicas do IBGE - CNAE 2.0.</t>
  </si>
  <si>
    <t>http://www.ipeadata.gov.br/api/odata4/ValoresSerie(SERCODIGO='FUNCEX12_MQPRF2N12')</t>
  </si>
  <si>
    <t>Importações - pesca e aqüicultura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</si>
  <si>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pesca e a aquicultura. Nota: Setores de atividades calculados de acordo com a classificação nacional de atividades econômicas do IBGE - CNAE 2.0.</t>
  </si>
  <si>
    <t>http://www.ipeadata.gov.br/api/odata4/ValoresSerie(SERCODIGO='FUNCEX12_MQPES2N12')</t>
  </si>
  <si>
    <t>Importações - produtos alimentícios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</si>
  <si>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alimentícios. Nota:  Setores de atividades calculados de acordo com a classificação nacional de atividades econômicas do IBGE - CNAE 2.0.</t>
  </si>
  <si>
    <t>http://www.ipeadata.gov.br/api/odata4/ValoresSerie(SERCODIGO='FUNCEX12_MVAL2N12')</t>
  </si>
  <si>
    <t>Importações - máquinas, aparelhos e materiais elétricos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</si>
  <si>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máquinas, aparelhos e materiais elétricos. Nota:  Setores de atividades calculados de acordo com a classificação nacional de atividades econômicas do IBGE - CNAE 2.0.</t>
  </si>
  <si>
    <t>http://www.ipeadata.gov.br/api/odata4/ValoresSerie(SERCODIGO='FUNCEX12_MVMAQELET2N12')</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</si>
  <si>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o processamento e transformação de produtos da agricultura, pecuária e pesca em alimentos para uso humano e animal.  Nota: Setores de atividades calculados de acordo com a classificação nacional de atividades econômicas do IBGE - CNAE 2.0. </t>
  </si>
  <si>
    <t>http://www.ipeadata.gov.br/api/odata4/ValoresSerie(SERCODIGO='FUNCEX_MVAL2N')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</si>
  <si>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Nota: Setores de atividades calculados de acordo com a classificação nacional de atividades econômicas do IBGE - CNAE 2.0. </t>
  </si>
  <si>
    <t>http://www.ipeadata.gov.br/api/odata4/ValoresSerie(SERCODIGO='FUNCEX_MVMAQELET2N')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</si>
  <si>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máquinas e equipamentos, inclusive os componentes mecânicos, partes e peças, para diversas atividades. Nota: Setores de atividades calculados de acordo com a classificação nacional de atividades econômicas do IBGE - CNAE 2.0. </t>
  </si>
  <si>
    <t>http://www.ipeadata.gov.br/api/odata4/ValoresSerie(SERCODIGO='FUNCEX_MVMAQEQU2N')</t>
  </si>
  <si>
    <t>Importações - metalurgia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</si>
  <si>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compreende a conversão de minérios ferrosos e não-ferrosos em produtos metalúrgicos.  Nota: Setores de atividades calculados de acordo com a classificação nacional de atividades econômicas do IBGE - CNAE 2.0. </t>
  </si>
  <si>
    <t>http://www.ipeadata.gov.br/api/odata4/ValoresSerie(SERCODIGO='FUNCEX_MVMETBAS2N')</t>
  </si>
  <si>
    <t>Importações - móveis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</si>
  <si>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artigos do mobiliário de qualquer material para qualquer uso. Nota: Setores de atividades calculados de acordo com a classificação nacional de atividades econômicas do IBGE - CNAE 2.0. </t>
  </si>
  <si>
    <t>http://www.ipeadata.gov.br/api/odata4/ValoresSerie(SERCODIGO='FUNCEX_MVMOV2N')</t>
  </si>
  <si>
    <t>Importações - outros equipamentos de transporte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</si>
  <si>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construção de embarcações e estruturas flutuantes, a fabricação de veículos ferroviários, a fabricação de aeronaves, a fabricação de motocicletas, bicicletas e outros equipamentos de transporte.  Nota: Setores de atividades calculados de acordo com a classificação nacional de atividades econômicas do IBGE - CNAE 2.0. </t>
  </si>
  <si>
    <t>http://www.ipeadata.gov.br/api/odata4/ValoresSerie(SERCODIGO='FUNCEX_MVOUTTRANS2N')</t>
  </si>
  <si>
    <t>Importações - pesca e aqüicultura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</si>
  <si>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pesca e a criação de animais aquáticos, abrangendo o uso dos recursos pesqueiros em águas marinhas, salobras e em água doce, objetivando a captura de peixes, crustáceos, moluscos e de outros organismos ou produtos aquáticos (plantas aquáticas, pérolas, esponjas, outros). Nota: Setores de atividades calculados de acordo com a classificação nacional de atividades econômicas do IBGE - CNAE 2.0. </t>
  </si>
  <si>
    <t>http://www.ipeadata.gov.br/api/odata4/ValoresSerie(SERCODIGO='FUNCEX_MVPES2N')</t>
  </si>
  <si>
    <t>Importações - produtos alimentícios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</si>
  <si>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alimentícios.  Nota: Setores de atividades calculados de acordo com a classificação nacional de atividades econômicas do IBGE - CNAE 2.0.</t>
  </si>
  <si>
    <t>http://www.ipeadata.gov.br/api/odata4/ValoresSerie(SERCODIGO='FUNCEX12_MQAL2N12')</t>
  </si>
  <si>
    <t>Importações - produtos de madeira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</si>
  <si>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de madeira. Nota: Setores de atividades calculados de acordo com a classificação nacional de atividades econômicas do IBGE - CNAE 2.0.</t>
  </si>
  <si>
    <t>http://www.ipeadata.gov.br/api/odata4/ValoresSerie(SERCODIGO='FUNCEX12_MQMAD2N12')</t>
  </si>
  <si>
    <t>Importações - produtos de metal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</si>
  <si>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fabricação de estruturas metálicas e obras de caldeiraria pesada. Nota: Setores de atividades calculados de acordo com a classificação nacional de atividades econômicas do IBGE - CNAE 2.0.</t>
  </si>
  <si>
    <t>http://www.ipeadata.gov.br/api/odata4/ValoresSerie(SERCODIGO='FUNCEX12_MQMET2N12')</t>
  </si>
  <si>
    <t>Importações - produtos de minerais não-metálicos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</si>
  <si>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fabricação de produtos de minerais não-metálicos. Nota: Setores de atividades calculados de acordo com a classificação nacional de atividades econômicas do IBGE - CNAE 2.0.</t>
  </si>
  <si>
    <t>http://www.ipeadata.gov.br/api/odata4/ValoresSerie(SERCODIGO='FUNCEX12_MQMNM2N12')</t>
  </si>
  <si>
    <t>Importações - produtos de borracha e material plástico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</si>
  <si>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de borracha ou de material plástico. Nota: Setores de atividades calculados de acordo com a classificação nacional de atividades econômicas do IBGE - CNAE 2.0.</t>
  </si>
  <si>
    <t>http://www.ipeadata.gov.br/api/odata4/ValoresSerie(SERCODIGO='FUNCEX12_MQPLAS2N12')</t>
  </si>
  <si>
    <t>Importações - produtos do fumo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</si>
  <si>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do fumo. Nota: Setores de atividades calculados de acordo com a classificação nacional de atividades econômicas do IBGE - CNAE 2.0.</t>
  </si>
  <si>
    <t>http://www.ipeadata.gov.br/api/odata4/ValoresSerie(SERCODIGO='FUNCEX12_MQFUMO2N12')</t>
  </si>
  <si>
    <t>Importações - produtos farmoquímicos farmacêuticos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</si>
  <si>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farmoquímicos e farmacêuticos. Nota: Setores de atividades calculados de acordo com a classificação nacional de atividades econômicas do IBGE - CNAE 2.0.</t>
  </si>
  <si>
    <t>http://www.ipeadata.gov.br/api/odata4/ValoresSerie(SERCODIGO='FUNCEX12_MQFARM2N12')</t>
  </si>
  <si>
    <t>Importações - produtos de borracha e material plástico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</si>
  <si>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de borracha ou de material plástico. Nota:  Setores de atividades calculados de acordo com a classificação nacional de atividades econômicas do IBGE - CNAE 2.0.</t>
  </si>
  <si>
    <t>http://www.ipeadata.gov.br/api/odata4/ValoresSerie(SERCODIGO='FUNCEX12_MVPLAS2N12')</t>
  </si>
  <si>
    <t>Importações - produtos farmoquímicos farmacêuticos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</si>
  <si>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produtos farmoquímicos e farmacêuticos. Nota:  Setores de atividades calculados de acordo com a classificação nacional de atividades econômicas do IBGE - CNAE 2.0.</t>
  </si>
  <si>
    <t>http://www.ipeadata.gov.br/api/odata4/ValoresSerie(SERCODIGO='FUNCEX12_MVFARM2N12')</t>
  </si>
  <si>
    <t>Importações - produtos farmoquímicos farmacêuticos - preços - índice (média 2018 = 100)</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</si>
  <si>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t>
  </si>
  <si>
    <t>http://www.ipeadata.gov.br/api/odata4/ValoresSerie(SERCODIGO='FUNCEX_MPFARM2N')</t>
  </si>
  <si>
    <t>Importações - produtos de madeira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</si>
  <si>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madeira serrada, laminada, compensada, prensada e aglomerada e de produtos de madeira para construção, para embalagem, para uso industrial, comercial e doméstico.  Nota: Setores de atividades calculados de acordo com a classificação nacional de atividades econômicas do IBGE - CNAE 2.0. </t>
  </si>
  <si>
    <t>http://www.ipeadata.gov.br/api/odata4/ValoresSerie(SERCODIGO='FUNCEX_MVMAD2N')</t>
  </si>
  <si>
    <t>Importações - produtos de metal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</si>
  <si>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de metal como estruturas metálicas e obras de caldeiraria pesada para diversas aplicações.  Nota: Setores de atividades calculados de acordo com a classificação nacional de atividades econômicas do IBGE - CNAE 2.0. </t>
  </si>
  <si>
    <t>http://www.ipeadata.gov.br/api/odata4/ValoresSerie(SERCODIGO='FUNCEX_MVMET2N')</t>
  </si>
  <si>
    <t>Importações - produtos de minerais não-metálicos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</si>
  <si>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relacionados a substâncias minerais, como a fabricação de vidro e produtos de vidro, a fabricação de produtos cerâmicos ou de barro cozido, de cimento, de gesso e de materiais semelhantes.  Nota: Setores de atividades calculados de acordo com a classificação nacional de atividades econômicas do IBGE - CNAE 2.0. </t>
  </si>
  <si>
    <t>http://www.ipeadata.gov.br/api/odata4/ValoresSerie(SERCODIGO='FUNCEX_MVMNM2N')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</si>
  <si>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de borracha ou de material plástico.  Nota: Setores de atividades calculados de acordo com a classificação nacional de atividades econômicas do IBGE - CNAE 2.0. </t>
  </si>
  <si>
    <t>http://www.ipeadata.gov.br/api/odata4/ValoresSerie(SERCODIGO='FUNCEX_MVPLAS2N')</t>
  </si>
  <si>
    <t>Importações - produtos químicos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</si>
  <si>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 </t>
  </si>
  <si>
    <t>http://www.ipeadata.gov.br/api/odata4/ValoresSerie(SERCODIGO='FUNCEX_MVQUIM2N')</t>
  </si>
  <si>
    <t>Importações - produtos do fumo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</si>
  <si>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cigarros, cigarrilhas e outros derivados do fumo. Nota: Setores de atividades calculados de acordo com a classificação nacional de atividades econômicas do IBGE - CNAE 2.0. </t>
  </si>
  <si>
    <t>http://www.ipeadata.gov.br/api/odata4/ValoresSerie(SERCODIGO='FUNCEX_MVFUMO2N')</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</si>
  <si>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 fabricação de produtos farmoquímicos, a fabricação de medicamentos e de outros produtos farmacêuticos, tais como: curativos impregnados com qualquer substância, preparações anti-sépticas, etc. Nota: Setores de atividades calculados de acordo com a classificação nacional de atividades econômicas do IBGE - CNAE 2.0. </t>
  </si>
  <si>
    <t>http://www.ipeadata.gov.br/api/odata4/ValoresSerie(SERCODIGO='FUNCEX_MVFARM2N')</t>
  </si>
  <si>
    <t>Importações - quantum - índice (média 2018 = 100)</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</si>
  <si>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volume total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Nota: Valores de desembaraço a partir de 1997. Até 1973, série encadeada e convertida para a base 2006=100.</t>
  </si>
  <si>
    <t>http://www.ipeadata.gov.br/api/odata4/ValoresSerie(SERCODIGO='FUNCEX_MDQT')</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</si>
  <si>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importação.Neste caso, trata-se da importação referente ao volume total do país. Nota: Valores de desembaraço a partir de 1997.</t>
  </si>
  <si>
    <t>http://www.ipeadata.gov.br/api/odata4/ValoresSerie(SERCODIGO='FUNCEX12_MDQT12')</t>
  </si>
  <si>
    <t>Importações - produtos químicos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</si>
  <si>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produtos químicos. Nota: Setores de atividades calculados de acordo com a classificação nacional de atividades econômicas do IBGE - CNAE 2.0.</t>
  </si>
  <si>
    <t>http://www.ipeadata.gov.br/api/odata4/ValoresSerie(SERCODIGO='FUNCEX12_MQQUIM2N12')</t>
  </si>
  <si>
    <t>Importações - produtos têxteis - quantum - índice (média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</si>
  <si>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as atividades de preparação das fibras têxteis, a fiação e a tecelagem (plana ou não). Nota: Setores de atividades calculados de acordo com a classificação nacional de atividades econômicas do IBGE - CNAE 2.0.</t>
  </si>
  <si>
    <t>http://www.ipeadata.gov.br/api/odata4/ValoresSerie(SERCODIGO='FUNCEX12_MQTEXT2N12')</t>
  </si>
  <si>
    <t>Importações - veículos automotores, reboques, carrocerias - quantum - índice(média 2018 = 100)</t>
  </si>
  <si>
    <t>As importações são os valores das compras e outras entradas de mercadorias de propriedade de residentes no exterior, registrado na Balança Comercial do Balanço de Pagamentos. Este índice capta o  efeito das variações das quantidades físicas importadas sobre a evolução do valor de importação. Ele é obtido, implicitamente, por meio do deflacionamento dos valores importados pelas variações dos índices de preço de importação. O setor de importação deste grupo compreende a produção dos bens que abrange a fabricação de veículos automotores, reboques e carrocerias. Nota: Setores de atividades calculados de acordo com a classificação nacional de atividades econômicas do IBGE - CNAE 2.0.</t>
  </si>
  <si>
    <t>http://www.ipeadata.gov.br/api/odata4/ValoresSerie(SERCODIGO='FUNCEX12_MQVEIC2N12')</t>
  </si>
  <si>
    <t>Veículos automotores, reboques, carrocerias - quantum - índice(média 2018 = 100) - Funcex</t>
  </si>
  <si>
    <t>Importações - veículos automotores, reboques, carrocerias - (FOB)</t>
  </si>
  <si>
    <t>As importações são os valores das compras e outras entradas de mercadorias de propriedade de residentes no exterior, registrado na Balança Comercial do Balanço de Pagamentos.  A sigla FOB (free on board) indica valores a preços de embarque, ou seja, preços das mercadorias excluindo pagamento de fretes, seguros, impostos e taxas de embarque.  O setor de importação deste grupo compreende a produção dos bens que abrange a fabricação de veículos automotores, reboques e carrocerias. Nota:  Setores de atividades calculados de acordo com a classificação nacional de atividades econômicas do IBGE - CNAE 2.0.</t>
  </si>
  <si>
    <t>http://www.ipeadata.gov.br/api/odata4/ValoresSerie(SERCODIGO='FUNCEX12_MVVEIC2N12')</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</si>
  <si>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referente ao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Nota: Setores de atividades calculados de acordo com a classificação nacional de atividades econômicas do IBGE - CNAE 2.0.</t>
  </si>
  <si>
    <t>http://www.ipeadata.gov.br/api/odata4/ValoresSerie(SERCODIGO='FUNCEX_MQQUIM2N')</t>
  </si>
  <si>
    <t>Importações - produtos têxteis - (FOB)</t>
  </si>
  <si>
    <t xml:space="preserve">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referente ao setor responsável pela produção dos bens que compreendem as atividades de preparação das fibras têxteis, a fiação e a tecelagem (plana ou não).  Nota: Setores de atividades calculados de acordo com a classificação nacional de atividades econômicas do IBGE - CNAE 2.0. </t>
  </si>
  <si>
    <t>http://www.ipeadata.gov.br/api/odata4/ValoresSerie(SERCODIGO='FUNCEX_MVTEXT2N')</t>
  </si>
  <si>
    <t>Este índice busca captar o efeito dos preços sobre a evolução dos valores importados pelo país, em um cálculo análogo ao dos índices de preços domésticos. A diferença é que o índice de preços de importação leva em conta os preços médios em dólares dos produtos importados em cada período.  Neste caso, trata-se da importação  referente ao setor responsável pela produção dos bens que compreendem a fabricação de veículos automotores para transporte de pessoas e mercadorias e a fabricação de cabines, carrocerias, reboques e semi-reboques para veículos automotores.  Nota: Setores de atividades calculados de acordo com a classificação nacional de atividades econômicas do IBGE - CNAE 2.0.</t>
  </si>
  <si>
    <t>http://www.ipeadata.gov.br/api/odata4/ValoresSerie(SERCODIGO='FUNCEX_MVVEIC2N')</t>
  </si>
  <si>
    <t>Termos de troca - índice (média 2018 = 100)</t>
  </si>
  <si>
    <t>Os termos de troca são definidos como a relação entre os preços das exportações do país (PX) e os das suas importações (PM).</t>
  </si>
  <si>
    <t>http://www.ipeadata.gov.br/api/odata4/ValoresSerie(SERCODIGO='FUNCEX12_TTR12')</t>
  </si>
  <si>
    <t>Termos de troca - Funcex</t>
  </si>
  <si>
    <t>Termos de troca - Mensal</t>
  </si>
  <si>
    <t>O índice de termos de troca do comércio é obtido pela simples divisão do índice de preços de exportação pelo índice de preços de importação do país. Fonte: Para 1879-1973, Estatísticas históricas do Brasil: séries econômicas, demográficas e sociais de 1550 a 1988. 2. ed. rev. e atual. do v. 3 de Séries estatísticas retrospectivas. Rio de Janeiro: IBGE, 1990. Dados originais do período 1901-1973 ajustados conforme Estatísticas do Século XX. Rio de Janeiro: IBGE, 2003. A partir de 1974, dados da Funcex. Nota: Até 1973, série encadeada e convertida para a base 2006=100.</t>
  </si>
  <si>
    <t>http://www.ipeadata.gov.br/api/odata4/ValoresSerie(SERCODIGO='FUNCEX_TTR')</t>
  </si>
  <si>
    <t>Termos de troca - Anual</t>
  </si>
  <si>
    <t>US$ milhões até 07/2024. Depois, US$</t>
  </si>
  <si>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embarque.Considerou-se para este caso a importação referente ao volume total do país.</t>
  </si>
  <si>
    <t>http://www.ipeadata.gov.br/api/odata4/ValoresSerie(SERCODIGO='SECEX12_MVTOT12')</t>
  </si>
  <si>
    <t>Total - (FOB) - Secex</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</si>
  <si>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referente ao volume total do país.</t>
  </si>
  <si>
    <t>http://www.ipeadata.gov.br/api/odata4/ValoresSerie(SERCODIGO='SECEX12_XVTOT12')</t>
  </si>
  <si>
    <t>http://www.ipeadata.gov.br/api/odata4/ValoresSerie(SERCODIGO='SECEX12_MBENCAPGCE12')</t>
  </si>
  <si>
    <t>Bens de capital - (FOB) - Secex</t>
  </si>
  <si>
    <t>Importações - bens de consumo - (FOB)</t>
  </si>
  <si>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importação FOB dos bens destinados ao uso de consumidores finais.</t>
  </si>
  <si>
    <t>http://www.ipeadata.gov.br/api/odata4/ValoresSerie(SERCODIGO='SECEX12_MBENCONGCE12')</t>
  </si>
  <si>
    <t>Bens de consumo - (FOB) - Secex</t>
  </si>
  <si>
    <t>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FOB pela categoria de uso bens de capital, os quais são utilizados para a produção de outros bens e incluem, por exemplo, máquinas e ferramentas, tratores e material de transporte.</t>
  </si>
  <si>
    <t>http://www.ipeadata.gov.br/api/odata4/ValoresSerie(SERCODIGO='SECEX12_XBENCAPGCE12')</t>
  </si>
  <si>
    <t>Exportações - bens de consumo - (FOB)</t>
  </si>
  <si>
    <t xml:space="preserve">As  exportações são os valores das vendas para o exterior e outras remessas de bens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exportação FOB dos bens destinados ao uso de consumidores finais. Engloba os bens de consumo duráveis, não duráveis e semi duráveis. </t>
  </si>
  <si>
    <t>http://www.ipeadata.gov.br/api/odata4/ValoresSerie(SERCODIGO='SECEX12_XBENCONGCE12')</t>
  </si>
  <si>
    <t>Este índice busca captar o efeito dos preços sobre a evolução dos valores exportados pelo país, em um cálculo análogo ao dos índices de preços domésticos. A diferença é que os índices de preços de exportação levam em conta os preços médios em dólares dos produtos exportados em cada período.  Neste caso, trata-se da exportação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</si>
  <si>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exportação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t>
  </si>
  <si>
    <t>Este índice busca captar o efeito das variações das quantidades físicas importadas sobre a evolução do valor de importação. Ele é obtido implicitamente, por meio do deflacionamento dos valores importados pelas variações dos índices de preço de importação.  Neste caso, trata-se da importação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Nota: Valores de desembaraço a partir de 1997.</t>
  </si>
  <si>
    <t>O valor FOB indica o preço da mercadoria em dólares americanos sob o Incoterm FOB (Free on Board), modalidade na qual o vendedor é responsável por embarcar a mercadoria enquanto o comprador assume o pagamento do frete, seguros e demais custos pós embarque. Nesse caso, o valor informado da mercadoria expressa o valor exclusivamente da mercadoria.  Neste caso, trata-se da importação pela categoria de uso combustíveis e estão agregados, entre outros, os óleos brutos de petróleo, a gasolina e o álcool carburante e também os combustíveis e lubrificantes utilizados em aeronaves e
embarcações de trânsito internacional, ou seja, aqueles considerados como consumo de bordo.  Nota: Valores de desembaraço a partir de 1997.</t>
  </si>
  <si>
    <t>As importações são os valores das compras e outras entradas de mercadorias de propriedade de residentes no país, registrado na Balança Comercial do Balanço de Pagamentos. O valor FOB  indica o preço da mercadoria em dólares americanos sob o Incoterm FOB (Free on Board), modalidade na qual o exportador é responsável por embarcar a mercadoria enquanto o importador assume o pagamento do frete, seguros e demais custos pós embarque. Considerou-se para este caso a importação FOB de mercadorias de elevado valor, utilizadas para a produção de outros bens que incluem, por exemplo, máquinas e ferramentas, tratores e material de transporte, máquinas automáticas para processamento de 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</si>
</sst>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17" fontId="1" fillId="2" borderId="0" xfId="0" applyNumberFormat="1" applyFont="1" applyFill="1" applyAlignment="1">
      <alignment horizontal="center" vertical="center"/>
    </xf>
    <xf numFmtId="0" fontId="1" fillId="2" borderId="0" xfId="0" applyFont="1" applyFill="1" applyAlignment="1">
      <alignment vertical="center"/>
    </xf>
    <xf numFmtId="0" fontId="3"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17" fontId="1" fillId="3" borderId="0" xfId="0" applyNumberFormat="1" applyFont="1" applyFill="1" applyAlignment="1">
      <alignment horizontal="center" vertical="center"/>
    </xf>
    <xf numFmtId="0" fontId="1" fillId="3" borderId="0" xfId="0" applyFont="1" applyFill="1" applyAlignment="1">
      <alignment vertical="center"/>
    </xf>
    <xf numFmtId="0" fontId="3" fillId="3" borderId="0" xfId="0" applyFont="1" applyFill="1" applyAlignment="1">
      <alignment horizontal="center" vertical="center"/>
    </xf>
    <xf numFmtId="0" fontId="2" fillId="4" borderId="0" xfId="0" applyFont="1" applyFill="1"/>
    <xf numFmtId="0" fontId="0" fillId="4" borderId="0" xfId="0" applyFill="1"/>
    <xf numFmtId="0" fontId="1" fillId="0" borderId="0" xfId="0" applyFont="1" applyAlignment="1">
      <alignment horizontal="lef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17" fontId="1" fillId="2" borderId="0" xfId="0" applyNumberFormat="1" applyFont="1" applyFill="1" applyAlignment="1">
      <alignment horizontal="center" vertical="center" wrapText="1"/>
    </xf>
    <xf numFmtId="0" fontId="1" fillId="2" borderId="0" xfId="0" applyFont="1" applyFill="1" applyAlignment="1">
      <alignment vertical="center" wrapText="1"/>
    </xf>
    <xf numFmtId="0" fontId="3"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2" fillId="3" borderId="0" xfId="0" applyFont="1" applyFill="1" applyAlignment="1">
      <alignment horizontal="center" vertical="center" wrapText="1"/>
    </xf>
    <xf numFmtId="14" fontId="1" fillId="3" borderId="0" xfId="0" applyNumberFormat="1" applyFont="1" applyFill="1" applyAlignment="1">
      <alignment horizontal="center" vertical="center" wrapText="1"/>
    </xf>
    <xf numFmtId="17" fontId="1" fillId="3" borderId="0" xfId="0" applyNumberFormat="1" applyFont="1" applyFill="1" applyAlignment="1">
      <alignment horizontal="center" vertical="center" wrapText="1"/>
    </xf>
    <xf numFmtId="0" fontId="1" fillId="3" borderId="0" xfId="0" applyFont="1" applyFill="1" applyAlignment="1">
      <alignment vertical="center" wrapText="1"/>
    </xf>
    <xf numFmtId="0" fontId="3" fillId="3" borderId="0" xfId="0" applyFont="1" applyFill="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367"/>
  <sheetViews>
    <sheetView tabSelected="1" workbookViewId="0">
      <pane xSplit="3" ySplit="1" topLeftCell="K346" activePane="bottomRight" state="frozen"/>
      <selection pane="topRight" activeCell="D1" sqref="D1"/>
      <selection pane="bottomLeft" activeCell="A2" sqref="A2"/>
      <selection pane="bottomRight" activeCell="L368" sqref="L368"/>
    </sheetView>
  </sheetViews>
  <sheetFormatPr defaultRowHeight="15" x14ac:dyDescent="0.25"/>
  <cols>
    <col min="2" max="2" width="11.28515625" bestFit="1" customWidth="1"/>
    <col min="3" max="3" width="52" customWidth="1"/>
    <col min="4" max="4" width="38.28515625" customWidth="1"/>
    <col min="5" max="5" width="9.140625" customWidth="1"/>
    <col min="6" max="6" width="11.85546875" customWidth="1"/>
    <col min="7" max="7" width="14" customWidth="1"/>
    <col min="8" max="8" width="15.140625" customWidth="1"/>
    <col min="9" max="10" width="9.140625" customWidth="1"/>
    <col min="11" max="11" width="37.5703125" customWidth="1"/>
    <col min="12" max="12" width="70.5703125" customWidth="1"/>
    <col min="13" max="13" width="23" customWidth="1"/>
    <col min="14" max="14" width="67.42578125" customWidth="1"/>
    <col min="15" max="15" width="9.85546875" customWidth="1"/>
    <col min="16" max="16" width="32.5703125" customWidth="1"/>
    <col min="17" max="17" width="41.7109375" customWidth="1"/>
    <col min="18" max="18" width="70.42578125" customWidth="1"/>
    <col min="19" max="19" width="42.7109375" bestFit="1" customWidth="1"/>
  </cols>
  <sheetData>
    <row r="1" spans="1:19" x14ac:dyDescent="0.25">
      <c r="A1" s="15" t="s">
        <v>2</v>
      </c>
      <c r="B1" s="16" t="s">
        <v>3</v>
      </c>
      <c r="C1" s="16" t="s">
        <v>10</v>
      </c>
      <c r="D1" s="16" t="s">
        <v>12</v>
      </c>
      <c r="E1" s="16" t="s">
        <v>5</v>
      </c>
      <c r="F1" s="16" t="s">
        <v>6</v>
      </c>
      <c r="G1" s="16" t="s">
        <v>7</v>
      </c>
      <c r="H1" s="16" t="s">
        <v>20</v>
      </c>
      <c r="I1" s="16" t="s">
        <v>8</v>
      </c>
      <c r="J1" s="16" t="s">
        <v>9</v>
      </c>
      <c r="K1" t="s">
        <v>4</v>
      </c>
      <c r="L1" t="s">
        <v>11</v>
      </c>
      <c r="M1" t="s">
        <v>13</v>
      </c>
      <c r="N1" t="s">
        <v>15</v>
      </c>
      <c r="O1" t="s">
        <v>16</v>
      </c>
      <c r="P1" t="s">
        <v>17</v>
      </c>
      <c r="Q1" t="s">
        <v>18</v>
      </c>
      <c r="R1" t="s">
        <v>19</v>
      </c>
      <c r="S1" t="s">
        <v>21</v>
      </c>
    </row>
    <row r="2" spans="1:19" x14ac:dyDescent="0.25">
      <c r="A2" s="1"/>
      <c r="B2" s="1">
        <v>12597</v>
      </c>
      <c r="C2" s="2" t="s">
        <v>29</v>
      </c>
      <c r="D2" s="1" t="s">
        <v>34</v>
      </c>
      <c r="E2" s="3" t="s">
        <v>0</v>
      </c>
      <c r="F2" s="4">
        <v>32874</v>
      </c>
      <c r="G2" s="5">
        <v>45689</v>
      </c>
      <c r="H2" s="6" t="s">
        <v>31</v>
      </c>
      <c r="I2" s="1" t="s">
        <v>1</v>
      </c>
      <c r="J2" s="7"/>
      <c r="K2" s="17" t="s">
        <v>42</v>
      </c>
      <c r="L2" t="s">
        <v>38</v>
      </c>
      <c r="M2" t="s">
        <v>14</v>
      </c>
      <c r="N2" t="str">
        <f>_xlfn.CONCAT("https://api.bcb.gov.br/dados/serie/bcdata.sgs.",B2,"/dados?formato=json")</f>
        <v>https://api.bcb.gov.br/dados/serie/bcdata.sgs.12597/dados?formato=json</v>
      </c>
      <c r="O2">
        <v>4</v>
      </c>
      <c r="P2" t="s">
        <v>22</v>
      </c>
      <c r="Q2" t="s">
        <v>41</v>
      </c>
      <c r="R2" t="s">
        <v>35</v>
      </c>
      <c r="S2" t="s">
        <v>43</v>
      </c>
    </row>
    <row r="3" spans="1:19" x14ac:dyDescent="0.25">
      <c r="A3" s="8"/>
      <c r="B3" s="8">
        <v>13144</v>
      </c>
      <c r="C3" s="9" t="s">
        <v>32</v>
      </c>
      <c r="D3" s="1" t="s">
        <v>34</v>
      </c>
      <c r="E3" s="10" t="s">
        <v>0</v>
      </c>
      <c r="F3" s="11">
        <v>32874</v>
      </c>
      <c r="G3" s="12">
        <v>45689</v>
      </c>
      <c r="H3" s="13" t="s">
        <v>31</v>
      </c>
      <c r="I3" s="8" t="s">
        <v>1</v>
      </c>
      <c r="J3" s="14"/>
      <c r="K3" s="17" t="s">
        <v>42</v>
      </c>
      <c r="L3" t="s">
        <v>39</v>
      </c>
      <c r="M3" t="s">
        <v>14</v>
      </c>
      <c r="N3" t="str">
        <f t="shared" ref="N3:N4" si="0">_xlfn.CONCAT("https://api.bcb.gov.br/dados/serie/bcdata.sgs.",B3,"/dados?formato=json")</f>
        <v>https://api.bcb.gov.br/dados/serie/bcdata.sgs.13144/dados?formato=json</v>
      </c>
      <c r="O3">
        <v>4</v>
      </c>
      <c r="P3" t="s">
        <v>22</v>
      </c>
      <c r="Q3" t="s">
        <v>41</v>
      </c>
      <c r="R3" t="s">
        <v>36</v>
      </c>
      <c r="S3" t="s">
        <v>43</v>
      </c>
    </row>
    <row r="4" spans="1:19" x14ac:dyDescent="0.25">
      <c r="A4" s="1"/>
      <c r="B4" s="1">
        <v>13151</v>
      </c>
      <c r="C4" s="2" t="s">
        <v>33</v>
      </c>
      <c r="D4" s="1" t="s">
        <v>34</v>
      </c>
      <c r="E4" s="3" t="s">
        <v>0</v>
      </c>
      <c r="F4" s="4">
        <v>32874</v>
      </c>
      <c r="G4" s="5">
        <v>45689</v>
      </c>
      <c r="H4" s="6" t="s">
        <v>31</v>
      </c>
      <c r="I4" s="1" t="s">
        <v>1</v>
      </c>
      <c r="J4" s="7"/>
      <c r="K4" s="17" t="s">
        <v>42</v>
      </c>
      <c r="L4" t="s">
        <v>40</v>
      </c>
      <c r="M4" t="s">
        <v>14</v>
      </c>
      <c r="N4" t="str">
        <f t="shared" si="0"/>
        <v>https://api.bcb.gov.br/dados/serie/bcdata.sgs.13151/dados?formato=json</v>
      </c>
      <c r="O4">
        <v>4</v>
      </c>
      <c r="P4" t="s">
        <v>22</v>
      </c>
      <c r="Q4" t="s">
        <v>41</v>
      </c>
      <c r="R4" t="s">
        <v>37</v>
      </c>
      <c r="S4" t="s">
        <v>43</v>
      </c>
    </row>
    <row r="5" spans="1:19" x14ac:dyDescent="0.25">
      <c r="A5" s="1"/>
      <c r="B5" s="1">
        <v>12596</v>
      </c>
      <c r="C5" s="2" t="s">
        <v>44</v>
      </c>
      <c r="D5" s="1" t="s">
        <v>34</v>
      </c>
      <c r="E5" s="3" t="s">
        <v>0</v>
      </c>
      <c r="F5" s="4">
        <v>32874</v>
      </c>
      <c r="G5" s="5">
        <v>45689</v>
      </c>
      <c r="H5" s="6" t="s">
        <v>31</v>
      </c>
      <c r="I5" s="1" t="s">
        <v>1</v>
      </c>
      <c r="J5" s="7"/>
      <c r="K5" s="17" t="s">
        <v>42</v>
      </c>
      <c r="L5" t="s">
        <v>38</v>
      </c>
      <c r="M5" t="s">
        <v>14</v>
      </c>
      <c r="N5" t="str">
        <f>_xlfn.CONCAT("https://api.bcb.gov.br/dados/serie/bcdata.sgs.",B5,"/dados?formato=json")</f>
        <v>https://api.bcb.gov.br/dados/serie/bcdata.sgs.12596/dados?formato=json</v>
      </c>
      <c r="O5">
        <v>4</v>
      </c>
      <c r="P5" t="s">
        <v>22</v>
      </c>
      <c r="Q5" t="s">
        <v>47</v>
      </c>
      <c r="R5" t="s">
        <v>35</v>
      </c>
      <c r="S5" t="s">
        <v>43</v>
      </c>
    </row>
    <row r="6" spans="1:19" x14ac:dyDescent="0.25">
      <c r="A6" s="8"/>
      <c r="B6" s="8">
        <v>13145</v>
      </c>
      <c r="C6" s="9" t="s">
        <v>45</v>
      </c>
      <c r="D6" s="1" t="s">
        <v>34</v>
      </c>
      <c r="E6" s="10" t="s">
        <v>0</v>
      </c>
      <c r="F6" s="11">
        <v>32874</v>
      </c>
      <c r="G6" s="12">
        <v>45689</v>
      </c>
      <c r="H6" s="13" t="s">
        <v>31</v>
      </c>
      <c r="I6" s="8" t="s">
        <v>1</v>
      </c>
      <c r="J6" s="14"/>
      <c r="K6" s="17" t="s">
        <v>42</v>
      </c>
      <c r="L6" t="s">
        <v>39</v>
      </c>
      <c r="M6" t="s">
        <v>14</v>
      </c>
      <c r="N6" t="str">
        <f t="shared" ref="N6:N7" si="1">_xlfn.CONCAT("https://api.bcb.gov.br/dados/serie/bcdata.sgs.",B6,"/dados?formato=json")</f>
        <v>https://api.bcb.gov.br/dados/serie/bcdata.sgs.13145/dados?formato=json</v>
      </c>
      <c r="O6">
        <v>4</v>
      </c>
      <c r="P6" t="s">
        <v>22</v>
      </c>
      <c r="Q6" t="s">
        <v>47</v>
      </c>
      <c r="R6" t="s">
        <v>36</v>
      </c>
      <c r="S6" t="s">
        <v>43</v>
      </c>
    </row>
    <row r="7" spans="1:19" x14ac:dyDescent="0.25">
      <c r="A7" s="1"/>
      <c r="B7" s="1">
        <v>13152</v>
      </c>
      <c r="C7" s="2" t="s">
        <v>46</v>
      </c>
      <c r="D7" s="1" t="s">
        <v>34</v>
      </c>
      <c r="E7" s="3" t="s">
        <v>0</v>
      </c>
      <c r="F7" s="4">
        <v>32874</v>
      </c>
      <c r="G7" s="5">
        <v>45689</v>
      </c>
      <c r="H7" s="6" t="s">
        <v>31</v>
      </c>
      <c r="I7" s="1" t="s">
        <v>1</v>
      </c>
      <c r="J7" s="7"/>
      <c r="K7" s="17" t="s">
        <v>42</v>
      </c>
      <c r="L7" t="s">
        <v>40</v>
      </c>
      <c r="M7" t="s">
        <v>14</v>
      </c>
      <c r="N7" t="str">
        <f t="shared" si="1"/>
        <v>https://api.bcb.gov.br/dados/serie/bcdata.sgs.13152/dados?formato=json</v>
      </c>
      <c r="O7">
        <v>4</v>
      </c>
      <c r="P7" t="s">
        <v>22</v>
      </c>
      <c r="Q7" t="s">
        <v>47</v>
      </c>
      <c r="R7" t="s">
        <v>37</v>
      </c>
      <c r="S7" t="s">
        <v>43</v>
      </c>
    </row>
    <row r="8" spans="1:19" x14ac:dyDescent="0.25">
      <c r="A8" s="18"/>
      <c r="B8" s="18">
        <v>12598</v>
      </c>
      <c r="C8" s="19" t="s">
        <v>48</v>
      </c>
      <c r="D8" s="1" t="s">
        <v>34</v>
      </c>
      <c r="E8" s="20" t="s">
        <v>0</v>
      </c>
      <c r="F8" s="21">
        <v>32874</v>
      </c>
      <c r="G8" s="22">
        <v>45689</v>
      </c>
      <c r="H8" s="23" t="s">
        <v>31</v>
      </c>
      <c r="I8" s="18" t="s">
        <v>1</v>
      </c>
      <c r="J8" s="24"/>
      <c r="K8" s="17" t="s">
        <v>42</v>
      </c>
      <c r="L8" t="s">
        <v>38</v>
      </c>
      <c r="M8" t="s">
        <v>14</v>
      </c>
      <c r="N8" t="str">
        <f>_xlfn.CONCAT("https://api.bcb.gov.br/dados/serie/bcdata.sgs.",B8,"/dados?formato=json")</f>
        <v>https://api.bcb.gov.br/dados/serie/bcdata.sgs.12598/dados?formato=json</v>
      </c>
      <c r="O8">
        <v>4</v>
      </c>
      <c r="P8" t="s">
        <v>22</v>
      </c>
      <c r="Q8" t="s">
        <v>51</v>
      </c>
      <c r="R8" t="s">
        <v>35</v>
      </c>
      <c r="S8" t="s">
        <v>43</v>
      </c>
    </row>
    <row r="9" spans="1:19" x14ac:dyDescent="0.25">
      <c r="A9" s="25"/>
      <c r="B9" s="25">
        <v>13146</v>
      </c>
      <c r="C9" s="26" t="s">
        <v>49</v>
      </c>
      <c r="D9" s="1" t="s">
        <v>34</v>
      </c>
      <c r="E9" s="27" t="s">
        <v>0</v>
      </c>
      <c r="F9" s="28">
        <v>32874</v>
      </c>
      <c r="G9" s="29">
        <v>45689</v>
      </c>
      <c r="H9" s="30" t="s">
        <v>31</v>
      </c>
      <c r="I9" s="25" t="s">
        <v>1</v>
      </c>
      <c r="J9" s="31"/>
      <c r="K9" s="17" t="s">
        <v>42</v>
      </c>
      <c r="L9" t="s">
        <v>39</v>
      </c>
      <c r="M9" t="s">
        <v>14</v>
      </c>
      <c r="N9" t="str">
        <f t="shared" ref="N9:N10" si="2">_xlfn.CONCAT("https://api.bcb.gov.br/dados/serie/bcdata.sgs.",B9,"/dados?formato=json")</f>
        <v>https://api.bcb.gov.br/dados/serie/bcdata.sgs.13146/dados?formato=json</v>
      </c>
      <c r="O9">
        <v>4</v>
      </c>
      <c r="P9" t="s">
        <v>22</v>
      </c>
      <c r="Q9" t="s">
        <v>51</v>
      </c>
      <c r="R9" t="s">
        <v>36</v>
      </c>
      <c r="S9" t="s">
        <v>43</v>
      </c>
    </row>
    <row r="10" spans="1:19" x14ac:dyDescent="0.25">
      <c r="A10" s="18"/>
      <c r="B10" s="18">
        <v>13153</v>
      </c>
      <c r="C10" s="19" t="s">
        <v>50</v>
      </c>
      <c r="D10" s="1" t="s">
        <v>34</v>
      </c>
      <c r="E10" s="20" t="s">
        <v>0</v>
      </c>
      <c r="F10" s="21">
        <v>32874</v>
      </c>
      <c r="G10" s="22">
        <v>45689</v>
      </c>
      <c r="H10" s="23" t="s">
        <v>31</v>
      </c>
      <c r="I10" s="18" t="s">
        <v>1</v>
      </c>
      <c r="J10" s="24"/>
      <c r="K10" s="17" t="s">
        <v>42</v>
      </c>
      <c r="L10" t="s">
        <v>40</v>
      </c>
      <c r="M10" t="s">
        <v>14</v>
      </c>
      <c r="N10" t="str">
        <f t="shared" si="2"/>
        <v>https://api.bcb.gov.br/dados/serie/bcdata.sgs.13153/dados?formato=json</v>
      </c>
      <c r="O10">
        <v>4</v>
      </c>
      <c r="P10" t="s">
        <v>22</v>
      </c>
      <c r="Q10" t="s">
        <v>51</v>
      </c>
      <c r="R10" t="s">
        <v>37</v>
      </c>
      <c r="S10" t="s">
        <v>43</v>
      </c>
    </row>
    <row r="11" spans="1:19" x14ac:dyDescent="0.25">
      <c r="A11" s="18"/>
      <c r="B11" s="18">
        <v>12599</v>
      </c>
      <c r="C11" s="19" t="s">
        <v>52</v>
      </c>
      <c r="D11" s="1" t="s">
        <v>34</v>
      </c>
      <c r="E11" s="20" t="s">
        <v>0</v>
      </c>
      <c r="F11" s="21">
        <v>32509</v>
      </c>
      <c r="G11" s="22">
        <v>45689</v>
      </c>
      <c r="H11" s="23" t="s">
        <v>31</v>
      </c>
      <c r="I11" s="18" t="s">
        <v>1</v>
      </c>
      <c r="J11" s="24"/>
      <c r="K11" s="17" t="s">
        <v>42</v>
      </c>
      <c r="L11" t="s">
        <v>38</v>
      </c>
      <c r="M11" t="s">
        <v>14</v>
      </c>
      <c r="N11" t="str">
        <f>_xlfn.CONCAT("https://api.bcb.gov.br/dados/serie/bcdata.sgs.",B11,"/dados?formato=json")</f>
        <v>https://api.bcb.gov.br/dados/serie/bcdata.sgs.12599/dados?formato=json</v>
      </c>
      <c r="O11">
        <v>4</v>
      </c>
      <c r="P11" t="s">
        <v>22</v>
      </c>
      <c r="Q11" t="s">
        <v>55</v>
      </c>
      <c r="R11" t="s">
        <v>35</v>
      </c>
      <c r="S11" t="s">
        <v>43</v>
      </c>
    </row>
    <row r="12" spans="1:19" x14ac:dyDescent="0.25">
      <c r="A12" s="25"/>
      <c r="B12" s="25">
        <v>13147</v>
      </c>
      <c r="C12" s="26" t="s">
        <v>53</v>
      </c>
      <c r="D12" s="1" t="s">
        <v>34</v>
      </c>
      <c r="E12" s="27" t="s">
        <v>0</v>
      </c>
      <c r="F12" s="28">
        <v>32509</v>
      </c>
      <c r="G12" s="29">
        <v>45689</v>
      </c>
      <c r="H12" s="30" t="s">
        <v>31</v>
      </c>
      <c r="I12" s="25" t="s">
        <v>1</v>
      </c>
      <c r="J12" s="31"/>
      <c r="K12" s="17" t="s">
        <v>42</v>
      </c>
      <c r="L12" t="s">
        <v>39</v>
      </c>
      <c r="M12" t="s">
        <v>14</v>
      </c>
      <c r="N12" t="str">
        <f t="shared" ref="N12:N13" si="3">_xlfn.CONCAT("https://api.bcb.gov.br/dados/serie/bcdata.sgs.",B12,"/dados?formato=json")</f>
        <v>https://api.bcb.gov.br/dados/serie/bcdata.sgs.13147/dados?formato=json</v>
      </c>
      <c r="O12">
        <v>4</v>
      </c>
      <c r="P12" t="s">
        <v>22</v>
      </c>
      <c r="Q12" t="s">
        <v>55</v>
      </c>
      <c r="R12" t="s">
        <v>36</v>
      </c>
      <c r="S12" t="s">
        <v>43</v>
      </c>
    </row>
    <row r="13" spans="1:19" x14ac:dyDescent="0.25">
      <c r="A13" s="18"/>
      <c r="B13" s="18">
        <v>13154</v>
      </c>
      <c r="C13" s="19" t="s">
        <v>54</v>
      </c>
      <c r="D13" s="1" t="s">
        <v>34</v>
      </c>
      <c r="E13" s="20" t="s">
        <v>0</v>
      </c>
      <c r="F13" s="21">
        <v>32509</v>
      </c>
      <c r="G13" s="22">
        <v>45689</v>
      </c>
      <c r="H13" s="23" t="s">
        <v>31</v>
      </c>
      <c r="I13" s="18" t="s">
        <v>1</v>
      </c>
      <c r="J13" s="24"/>
      <c r="K13" s="17" t="s">
        <v>42</v>
      </c>
      <c r="L13" t="s">
        <v>40</v>
      </c>
      <c r="M13" t="s">
        <v>14</v>
      </c>
      <c r="N13" t="str">
        <f t="shared" si="3"/>
        <v>https://api.bcb.gov.br/dados/serie/bcdata.sgs.13154/dados?formato=json</v>
      </c>
      <c r="O13">
        <v>4</v>
      </c>
      <c r="P13" t="s">
        <v>22</v>
      </c>
      <c r="Q13" t="s">
        <v>55</v>
      </c>
      <c r="R13" t="s">
        <v>37</v>
      </c>
      <c r="S13" t="s">
        <v>43</v>
      </c>
    </row>
    <row r="14" spans="1:19" x14ac:dyDescent="0.25">
      <c r="A14" s="18"/>
      <c r="B14" s="18">
        <v>12600</v>
      </c>
      <c r="C14" s="19" t="s">
        <v>56</v>
      </c>
      <c r="D14" s="1" t="s">
        <v>34</v>
      </c>
      <c r="E14" s="20" t="s">
        <v>0</v>
      </c>
      <c r="F14" s="21">
        <v>32874</v>
      </c>
      <c r="G14" s="22">
        <v>45689</v>
      </c>
      <c r="H14" s="23" t="s">
        <v>31</v>
      </c>
      <c r="I14" s="18" t="s">
        <v>1</v>
      </c>
      <c r="J14" s="24"/>
      <c r="K14" s="17" t="s">
        <v>42</v>
      </c>
      <c r="L14" t="s">
        <v>38</v>
      </c>
      <c r="M14" t="s">
        <v>14</v>
      </c>
      <c r="N14" t="str">
        <f>_xlfn.CONCAT("https://api.bcb.gov.br/dados/serie/bcdata.sgs.",B14,"/dados?formato=json")</f>
        <v>https://api.bcb.gov.br/dados/serie/bcdata.sgs.12600/dados?formato=json</v>
      </c>
      <c r="O14">
        <v>4</v>
      </c>
      <c r="P14" t="s">
        <v>22</v>
      </c>
      <c r="Q14" t="s">
        <v>59</v>
      </c>
      <c r="R14" t="s">
        <v>35</v>
      </c>
      <c r="S14" t="s">
        <v>43</v>
      </c>
    </row>
    <row r="15" spans="1:19" x14ac:dyDescent="0.25">
      <c r="A15" s="25"/>
      <c r="B15" s="25">
        <v>13148</v>
      </c>
      <c r="C15" s="26" t="s">
        <v>57</v>
      </c>
      <c r="D15" s="1" t="s">
        <v>34</v>
      </c>
      <c r="E15" s="27" t="s">
        <v>0</v>
      </c>
      <c r="F15" s="28">
        <v>32874</v>
      </c>
      <c r="G15" s="29">
        <v>45689</v>
      </c>
      <c r="H15" s="30" t="s">
        <v>31</v>
      </c>
      <c r="I15" s="25" t="s">
        <v>1</v>
      </c>
      <c r="J15" s="31"/>
      <c r="K15" s="17" t="s">
        <v>42</v>
      </c>
      <c r="L15" t="s">
        <v>39</v>
      </c>
      <c r="M15" t="s">
        <v>14</v>
      </c>
      <c r="N15" t="str">
        <f t="shared" ref="N15:N16" si="4">_xlfn.CONCAT("https://api.bcb.gov.br/dados/serie/bcdata.sgs.",B15,"/dados?formato=json")</f>
        <v>https://api.bcb.gov.br/dados/serie/bcdata.sgs.13148/dados?formato=json</v>
      </c>
      <c r="O15">
        <v>4</v>
      </c>
      <c r="P15" t="s">
        <v>22</v>
      </c>
      <c r="Q15" t="s">
        <v>59</v>
      </c>
      <c r="R15" t="s">
        <v>36</v>
      </c>
      <c r="S15" t="s">
        <v>43</v>
      </c>
    </row>
    <row r="16" spans="1:19" x14ac:dyDescent="0.25">
      <c r="A16" s="18"/>
      <c r="B16" s="18">
        <v>13155</v>
      </c>
      <c r="C16" s="19" t="s">
        <v>58</v>
      </c>
      <c r="D16" s="1" t="s">
        <v>34</v>
      </c>
      <c r="E16" s="20" t="s">
        <v>0</v>
      </c>
      <c r="F16" s="21">
        <v>1</v>
      </c>
      <c r="G16" s="22">
        <v>45689</v>
      </c>
      <c r="H16" s="23" t="s">
        <v>31</v>
      </c>
      <c r="I16" s="18" t="s">
        <v>1</v>
      </c>
      <c r="J16" s="24"/>
      <c r="K16" s="17" t="s">
        <v>42</v>
      </c>
      <c r="L16" t="s">
        <v>40</v>
      </c>
      <c r="M16" t="s">
        <v>14</v>
      </c>
      <c r="N16" t="str">
        <f t="shared" si="4"/>
        <v>https://api.bcb.gov.br/dados/serie/bcdata.sgs.13155/dados?formato=json</v>
      </c>
      <c r="O16">
        <v>4</v>
      </c>
      <c r="P16" t="s">
        <v>22</v>
      </c>
      <c r="Q16" t="s">
        <v>59</v>
      </c>
      <c r="R16" t="s">
        <v>37</v>
      </c>
      <c r="S16" t="s">
        <v>43</v>
      </c>
    </row>
    <row r="17" spans="1:19" x14ac:dyDescent="0.25">
      <c r="A17" s="18"/>
      <c r="B17" s="18">
        <v>12601</v>
      </c>
      <c r="C17" s="19" t="s">
        <v>60</v>
      </c>
      <c r="D17" s="1" t="s">
        <v>34</v>
      </c>
      <c r="E17" s="20" t="s">
        <v>0</v>
      </c>
      <c r="F17" s="21">
        <v>32874</v>
      </c>
      <c r="G17" s="22">
        <v>45689</v>
      </c>
      <c r="H17" s="23" t="s">
        <v>31</v>
      </c>
      <c r="I17" s="18" t="s">
        <v>1</v>
      </c>
      <c r="J17" s="24"/>
      <c r="K17" s="17" t="s">
        <v>42</v>
      </c>
      <c r="L17" t="s">
        <v>38</v>
      </c>
      <c r="M17" t="s">
        <v>14</v>
      </c>
      <c r="N17" t="str">
        <f>_xlfn.CONCAT("https://api.bcb.gov.br/dados/serie/bcdata.sgs.",B17,"/dados?formato=json")</f>
        <v>https://api.bcb.gov.br/dados/serie/bcdata.sgs.12601/dados?formato=json</v>
      </c>
      <c r="O17">
        <v>4</v>
      </c>
      <c r="P17" t="s">
        <v>22</v>
      </c>
      <c r="Q17" t="s">
        <v>63</v>
      </c>
      <c r="R17" t="s">
        <v>35</v>
      </c>
      <c r="S17" t="s">
        <v>43</v>
      </c>
    </row>
    <row r="18" spans="1:19" x14ac:dyDescent="0.25">
      <c r="A18" s="25"/>
      <c r="B18" s="25">
        <v>13149</v>
      </c>
      <c r="C18" s="26" t="s">
        <v>61</v>
      </c>
      <c r="D18" s="1" t="s">
        <v>34</v>
      </c>
      <c r="E18" s="27" t="s">
        <v>0</v>
      </c>
      <c r="F18" s="28">
        <v>32874</v>
      </c>
      <c r="G18" s="29">
        <v>45689</v>
      </c>
      <c r="H18" s="30" t="s">
        <v>31</v>
      </c>
      <c r="I18" s="25" t="s">
        <v>1</v>
      </c>
      <c r="J18" s="31"/>
      <c r="K18" s="17" t="s">
        <v>42</v>
      </c>
      <c r="L18" t="s">
        <v>39</v>
      </c>
      <c r="M18" t="s">
        <v>14</v>
      </c>
      <c r="N18" t="str">
        <f t="shared" ref="N18:N19" si="5">_xlfn.CONCAT("https://api.bcb.gov.br/dados/serie/bcdata.sgs.",B18,"/dados?formato=json")</f>
        <v>https://api.bcb.gov.br/dados/serie/bcdata.sgs.13149/dados?formato=json</v>
      </c>
      <c r="O18">
        <v>4</v>
      </c>
      <c r="P18" t="s">
        <v>22</v>
      </c>
      <c r="Q18" t="s">
        <v>63</v>
      </c>
      <c r="R18" t="s">
        <v>36</v>
      </c>
      <c r="S18" t="s">
        <v>43</v>
      </c>
    </row>
    <row r="19" spans="1:19" x14ac:dyDescent="0.25">
      <c r="A19" s="18"/>
      <c r="B19" s="18">
        <v>13156</v>
      </c>
      <c r="C19" s="19" t="s">
        <v>62</v>
      </c>
      <c r="D19" s="1" t="s">
        <v>34</v>
      </c>
      <c r="E19" s="20" t="s">
        <v>0</v>
      </c>
      <c r="F19" s="21">
        <v>32874</v>
      </c>
      <c r="G19" s="22">
        <v>45689</v>
      </c>
      <c r="H19" s="23" t="s">
        <v>31</v>
      </c>
      <c r="I19" s="18" t="s">
        <v>1</v>
      </c>
      <c r="J19" s="24"/>
      <c r="K19" s="17" t="s">
        <v>42</v>
      </c>
      <c r="L19" t="s">
        <v>40</v>
      </c>
      <c r="M19" t="s">
        <v>14</v>
      </c>
      <c r="N19" t="str">
        <f t="shared" si="5"/>
        <v>https://api.bcb.gov.br/dados/serie/bcdata.sgs.13156/dados?formato=json</v>
      </c>
      <c r="O19">
        <v>4</v>
      </c>
      <c r="P19" t="s">
        <v>22</v>
      </c>
      <c r="Q19" t="s">
        <v>63</v>
      </c>
      <c r="R19" t="s">
        <v>37</v>
      </c>
      <c r="S19" t="s">
        <v>43</v>
      </c>
    </row>
    <row r="20" spans="1:19" x14ac:dyDescent="0.25">
      <c r="A20" s="18"/>
      <c r="B20" s="18">
        <v>12602</v>
      </c>
      <c r="C20" s="19" t="s">
        <v>64</v>
      </c>
      <c r="D20" s="1" t="s">
        <v>34</v>
      </c>
      <c r="E20" s="20" t="s">
        <v>0</v>
      </c>
      <c r="F20" s="21">
        <v>36161</v>
      </c>
      <c r="G20" s="22">
        <v>45689</v>
      </c>
      <c r="H20" s="23" t="s">
        <v>31</v>
      </c>
      <c r="I20" s="18" t="s">
        <v>1</v>
      </c>
      <c r="J20" s="24"/>
      <c r="K20" s="17" t="s">
        <v>42</v>
      </c>
      <c r="L20" t="s">
        <v>38</v>
      </c>
      <c r="M20" t="s">
        <v>14</v>
      </c>
      <c r="N20" t="str">
        <f>_xlfn.CONCAT("https://api.bcb.gov.br/dados/serie/bcdata.sgs.",B20,"/dados?formato=json")</f>
        <v>https://api.bcb.gov.br/dados/serie/bcdata.sgs.12602/dados?formato=json</v>
      </c>
      <c r="O20">
        <v>4</v>
      </c>
      <c r="P20" t="s">
        <v>22</v>
      </c>
      <c r="Q20" t="s">
        <v>67</v>
      </c>
      <c r="R20" t="s">
        <v>35</v>
      </c>
      <c r="S20" t="s">
        <v>43</v>
      </c>
    </row>
    <row r="21" spans="1:19" x14ac:dyDescent="0.25">
      <c r="A21" s="25"/>
      <c r="B21" s="25">
        <v>13150</v>
      </c>
      <c r="C21" s="26" t="s">
        <v>65</v>
      </c>
      <c r="D21" s="1" t="s">
        <v>34</v>
      </c>
      <c r="E21" s="27" t="s">
        <v>0</v>
      </c>
      <c r="F21" s="28">
        <v>35065</v>
      </c>
      <c r="G21" s="29">
        <v>45689</v>
      </c>
      <c r="H21" s="30" t="s">
        <v>31</v>
      </c>
      <c r="I21" s="25" t="s">
        <v>1</v>
      </c>
      <c r="J21" s="31"/>
      <c r="K21" s="17" t="s">
        <v>42</v>
      </c>
      <c r="L21" t="s">
        <v>39</v>
      </c>
      <c r="M21" t="s">
        <v>14</v>
      </c>
      <c r="N21" t="str">
        <f t="shared" ref="N21:N22" si="6">_xlfn.CONCAT("https://api.bcb.gov.br/dados/serie/bcdata.sgs.",B21,"/dados?formato=json")</f>
        <v>https://api.bcb.gov.br/dados/serie/bcdata.sgs.13150/dados?formato=json</v>
      </c>
      <c r="O21">
        <v>4</v>
      </c>
      <c r="P21" t="s">
        <v>22</v>
      </c>
      <c r="Q21" t="s">
        <v>67</v>
      </c>
      <c r="R21" t="s">
        <v>36</v>
      </c>
      <c r="S21" t="s">
        <v>43</v>
      </c>
    </row>
    <row r="22" spans="1:19" x14ac:dyDescent="0.25">
      <c r="A22" s="18"/>
      <c r="B22" s="18">
        <v>13157</v>
      </c>
      <c r="C22" s="19" t="s">
        <v>66</v>
      </c>
      <c r="D22" s="1" t="s">
        <v>34</v>
      </c>
      <c r="E22" s="20" t="s">
        <v>0</v>
      </c>
      <c r="F22" s="21">
        <v>36161</v>
      </c>
      <c r="G22" s="22">
        <v>45689</v>
      </c>
      <c r="H22" s="23" t="s">
        <v>31</v>
      </c>
      <c r="I22" s="18" t="s">
        <v>1</v>
      </c>
      <c r="J22" s="24"/>
      <c r="K22" s="17" t="s">
        <v>42</v>
      </c>
      <c r="L22" t="s">
        <v>40</v>
      </c>
      <c r="M22" t="s">
        <v>14</v>
      </c>
      <c r="N22" t="str">
        <f t="shared" si="6"/>
        <v>https://api.bcb.gov.br/dados/serie/bcdata.sgs.13157/dados?formato=json</v>
      </c>
      <c r="O22">
        <v>4</v>
      </c>
      <c r="P22" t="s">
        <v>22</v>
      </c>
      <c r="Q22" t="s">
        <v>67</v>
      </c>
      <c r="R22" t="s">
        <v>37</v>
      </c>
      <c r="S22" t="s">
        <v>43</v>
      </c>
    </row>
    <row r="23" spans="1:19" x14ac:dyDescent="0.25">
      <c r="A23" s="18"/>
      <c r="B23" s="18">
        <v>20181</v>
      </c>
      <c r="C23" s="19" t="s">
        <v>70</v>
      </c>
      <c r="D23" s="1" t="s">
        <v>34</v>
      </c>
      <c r="E23" s="20" t="s">
        <v>0</v>
      </c>
      <c r="F23" s="21">
        <v>32874</v>
      </c>
      <c r="G23" s="22">
        <v>45689</v>
      </c>
      <c r="H23" s="23" t="s">
        <v>31</v>
      </c>
      <c r="I23" s="18" t="s">
        <v>1</v>
      </c>
      <c r="J23" s="24"/>
      <c r="K23" s="17" t="s">
        <v>42</v>
      </c>
      <c r="L23" t="s">
        <v>38</v>
      </c>
      <c r="M23" t="s">
        <v>14</v>
      </c>
      <c r="N23" t="str">
        <f>_xlfn.CONCAT("https://api.bcb.gov.br/dados/serie/bcdata.sgs.",B23,"/dados?formato=json")</f>
        <v>https://api.bcb.gov.br/dados/serie/bcdata.sgs.20181/dados?formato=json</v>
      </c>
      <c r="O23">
        <v>4</v>
      </c>
      <c r="P23" t="s">
        <v>23</v>
      </c>
      <c r="Q23" t="s">
        <v>24</v>
      </c>
      <c r="R23" t="s">
        <v>35</v>
      </c>
      <c r="S23" t="s">
        <v>43</v>
      </c>
    </row>
    <row r="24" spans="1:19" x14ac:dyDescent="0.25">
      <c r="A24" s="18"/>
      <c r="B24" s="18">
        <v>20179</v>
      </c>
      <c r="C24" s="19" t="s">
        <v>68</v>
      </c>
      <c r="D24" s="1" t="s">
        <v>34</v>
      </c>
      <c r="E24" s="20" t="s">
        <v>0</v>
      </c>
      <c r="F24" s="21">
        <v>32874</v>
      </c>
      <c r="G24" s="22">
        <v>45689</v>
      </c>
      <c r="H24" s="23" t="s">
        <v>31</v>
      </c>
      <c r="I24" s="18" t="s">
        <v>1</v>
      </c>
      <c r="J24" s="24"/>
      <c r="K24" s="17" t="s">
        <v>42</v>
      </c>
      <c r="L24" t="s">
        <v>39</v>
      </c>
      <c r="M24" t="s">
        <v>14</v>
      </c>
      <c r="N24" t="str">
        <f t="shared" ref="N24:N25" si="7">_xlfn.CONCAT("https://api.bcb.gov.br/dados/serie/bcdata.sgs.",B24,"/dados?formato=json")</f>
        <v>https://api.bcb.gov.br/dados/serie/bcdata.sgs.20179/dados?formato=json</v>
      </c>
      <c r="O24">
        <v>4</v>
      </c>
      <c r="P24" t="s">
        <v>23</v>
      </c>
      <c r="Q24" t="s">
        <v>24</v>
      </c>
      <c r="R24" t="s">
        <v>36</v>
      </c>
      <c r="S24" t="s">
        <v>43</v>
      </c>
    </row>
    <row r="25" spans="1:19" x14ac:dyDescent="0.25">
      <c r="A25" s="25"/>
      <c r="B25" s="25">
        <v>20180</v>
      </c>
      <c r="C25" s="26" t="s">
        <v>69</v>
      </c>
      <c r="D25" s="1" t="s">
        <v>34</v>
      </c>
      <c r="E25" s="27" t="s">
        <v>0</v>
      </c>
      <c r="F25" s="28">
        <v>32874</v>
      </c>
      <c r="G25" s="29">
        <v>45689</v>
      </c>
      <c r="H25" s="30" t="s">
        <v>31</v>
      </c>
      <c r="I25" s="25" t="s">
        <v>1</v>
      </c>
      <c r="J25" s="31"/>
      <c r="K25" s="17" t="s">
        <v>42</v>
      </c>
      <c r="L25" t="s">
        <v>40</v>
      </c>
      <c r="M25" t="s">
        <v>14</v>
      </c>
      <c r="N25" t="str">
        <f t="shared" si="7"/>
        <v>https://api.bcb.gov.br/dados/serie/bcdata.sgs.20180/dados?formato=json</v>
      </c>
      <c r="O25">
        <v>4</v>
      </c>
      <c r="P25" t="s">
        <v>23</v>
      </c>
      <c r="Q25" t="s">
        <v>24</v>
      </c>
      <c r="R25" t="s">
        <v>37</v>
      </c>
      <c r="S25" t="s">
        <v>43</v>
      </c>
    </row>
    <row r="26" spans="1:19" x14ac:dyDescent="0.25">
      <c r="A26" s="18"/>
      <c r="B26" s="18">
        <v>13343</v>
      </c>
      <c r="C26" s="19" t="s">
        <v>71</v>
      </c>
      <c r="D26" s="1" t="s">
        <v>34</v>
      </c>
      <c r="E26" s="20" t="s">
        <v>0</v>
      </c>
      <c r="F26" s="21">
        <v>32509</v>
      </c>
      <c r="G26" s="22">
        <v>45689</v>
      </c>
      <c r="H26" s="23" t="s">
        <v>31</v>
      </c>
      <c r="I26" s="18" t="s">
        <v>1</v>
      </c>
      <c r="J26" s="24"/>
      <c r="K26" s="17" t="s">
        <v>42</v>
      </c>
      <c r="L26" t="s">
        <v>39</v>
      </c>
      <c r="M26" t="s">
        <v>14</v>
      </c>
      <c r="N26" t="str">
        <f t="shared" ref="N26:N27" si="8">_xlfn.CONCAT("https://api.bcb.gov.br/dados/serie/bcdata.sgs.",B26,"/dados?formato=json")</f>
        <v>https://api.bcb.gov.br/dados/serie/bcdata.sgs.13343/dados?formato=json</v>
      </c>
      <c r="O26">
        <v>4</v>
      </c>
      <c r="P26" t="s">
        <v>22</v>
      </c>
      <c r="Q26" t="s">
        <v>77</v>
      </c>
      <c r="R26" t="s">
        <v>36</v>
      </c>
      <c r="S26" t="s">
        <v>43</v>
      </c>
    </row>
    <row r="27" spans="1:19" x14ac:dyDescent="0.25">
      <c r="A27" s="25"/>
      <c r="B27" s="25">
        <v>13348</v>
      </c>
      <c r="C27" s="26" t="s">
        <v>72</v>
      </c>
      <c r="D27" s="1" t="s">
        <v>34</v>
      </c>
      <c r="E27" s="27" t="s">
        <v>0</v>
      </c>
      <c r="F27" s="28">
        <v>32509</v>
      </c>
      <c r="G27" s="29">
        <v>45689</v>
      </c>
      <c r="H27" s="30" t="s">
        <v>31</v>
      </c>
      <c r="I27" s="25" t="s">
        <v>1</v>
      </c>
      <c r="J27" s="31"/>
      <c r="K27" s="17" t="s">
        <v>42</v>
      </c>
      <c r="L27" t="s">
        <v>40</v>
      </c>
      <c r="M27" t="s">
        <v>14</v>
      </c>
      <c r="N27" t="str">
        <f t="shared" si="8"/>
        <v>https://api.bcb.gov.br/dados/serie/bcdata.sgs.13348/dados?formato=json</v>
      </c>
      <c r="O27">
        <v>4</v>
      </c>
      <c r="P27" t="s">
        <v>22</v>
      </c>
      <c r="Q27" t="s">
        <v>77</v>
      </c>
      <c r="R27" t="s">
        <v>37</v>
      </c>
      <c r="S27" t="s">
        <v>43</v>
      </c>
    </row>
    <row r="28" spans="1:19" x14ac:dyDescent="0.25">
      <c r="A28" s="18"/>
      <c r="B28" s="18">
        <v>13353</v>
      </c>
      <c r="C28" s="19" t="s">
        <v>73</v>
      </c>
      <c r="D28" s="1" t="s">
        <v>34</v>
      </c>
      <c r="E28" s="20" t="s">
        <v>0</v>
      </c>
      <c r="F28" s="21">
        <v>32509</v>
      </c>
      <c r="G28" s="22">
        <v>45689</v>
      </c>
      <c r="H28" s="23" t="s">
        <v>31</v>
      </c>
      <c r="I28" s="18" t="s">
        <v>1</v>
      </c>
      <c r="J28" s="24"/>
      <c r="K28" s="17" t="s">
        <v>42</v>
      </c>
      <c r="L28" t="s">
        <v>38</v>
      </c>
      <c r="M28" t="s">
        <v>14</v>
      </c>
      <c r="N28" t="str">
        <f>_xlfn.CONCAT("https://api.bcb.gov.br/dados/serie/bcdata.sgs.",B28,"/dados?formato=json")</f>
        <v>https://api.bcb.gov.br/dados/serie/bcdata.sgs.13353/dados?formato=json</v>
      </c>
      <c r="O28">
        <v>4</v>
      </c>
      <c r="P28" t="s">
        <v>22</v>
      </c>
      <c r="Q28" t="s">
        <v>77</v>
      </c>
      <c r="R28" t="s">
        <v>35</v>
      </c>
      <c r="S28" t="s">
        <v>43</v>
      </c>
    </row>
    <row r="29" spans="1:19" x14ac:dyDescent="0.25">
      <c r="A29" s="18"/>
      <c r="B29" s="18">
        <v>13137</v>
      </c>
      <c r="C29" s="19" t="s">
        <v>74</v>
      </c>
      <c r="D29" s="1" t="s">
        <v>34</v>
      </c>
      <c r="E29" s="20" t="s">
        <v>0</v>
      </c>
      <c r="F29" s="21">
        <v>32509</v>
      </c>
      <c r="G29" s="22">
        <v>45689</v>
      </c>
      <c r="H29" s="23" t="s">
        <v>31</v>
      </c>
      <c r="I29" s="18" t="s">
        <v>1</v>
      </c>
      <c r="J29" s="24"/>
      <c r="K29" s="17" t="s">
        <v>42</v>
      </c>
      <c r="L29" t="s">
        <v>39</v>
      </c>
      <c r="M29" t="s">
        <v>14</v>
      </c>
      <c r="N29" t="str">
        <f t="shared" ref="N29:N30" si="9">_xlfn.CONCAT("https://api.bcb.gov.br/dados/serie/bcdata.sgs.",B29,"/dados?formato=json")</f>
        <v>https://api.bcb.gov.br/dados/serie/bcdata.sgs.13137/dados?formato=json</v>
      </c>
      <c r="O29">
        <v>4</v>
      </c>
      <c r="P29" t="s">
        <v>22</v>
      </c>
      <c r="Q29" t="s">
        <v>78</v>
      </c>
      <c r="R29" t="s">
        <v>36</v>
      </c>
      <c r="S29" t="s">
        <v>43</v>
      </c>
    </row>
    <row r="30" spans="1:19" x14ac:dyDescent="0.25">
      <c r="A30" s="25"/>
      <c r="B30" s="25">
        <v>13138</v>
      </c>
      <c r="C30" s="26" t="s">
        <v>75</v>
      </c>
      <c r="D30" s="1" t="s">
        <v>34</v>
      </c>
      <c r="E30" s="27" t="s">
        <v>0</v>
      </c>
      <c r="F30" s="28">
        <v>32509</v>
      </c>
      <c r="G30" s="29">
        <v>45689</v>
      </c>
      <c r="H30" s="30" t="s">
        <v>31</v>
      </c>
      <c r="I30" s="25" t="s">
        <v>1</v>
      </c>
      <c r="J30" s="31"/>
      <c r="K30" s="17" t="s">
        <v>42</v>
      </c>
      <c r="L30" t="s">
        <v>40</v>
      </c>
      <c r="M30" t="s">
        <v>14</v>
      </c>
      <c r="N30" t="str">
        <f t="shared" si="9"/>
        <v>https://api.bcb.gov.br/dados/serie/bcdata.sgs.13138/dados?formato=json</v>
      </c>
      <c r="O30">
        <v>4</v>
      </c>
      <c r="P30" t="s">
        <v>22</v>
      </c>
      <c r="Q30" t="s">
        <v>78</v>
      </c>
      <c r="R30" t="s">
        <v>37</v>
      </c>
      <c r="S30" t="s">
        <v>43</v>
      </c>
    </row>
    <row r="31" spans="1:19" x14ac:dyDescent="0.25">
      <c r="A31" s="18"/>
      <c r="B31" s="18">
        <v>13139</v>
      </c>
      <c r="C31" s="19" t="s">
        <v>76</v>
      </c>
      <c r="D31" s="1" t="s">
        <v>34</v>
      </c>
      <c r="E31" s="20" t="s">
        <v>0</v>
      </c>
      <c r="F31" s="21">
        <v>32509</v>
      </c>
      <c r="G31" s="22">
        <v>45689</v>
      </c>
      <c r="H31" s="23" t="s">
        <v>31</v>
      </c>
      <c r="I31" s="18" t="s">
        <v>1</v>
      </c>
      <c r="J31" s="24"/>
      <c r="K31" s="17" t="s">
        <v>42</v>
      </c>
      <c r="L31" t="s">
        <v>38</v>
      </c>
      <c r="M31" t="s">
        <v>14</v>
      </c>
      <c r="N31" t="str">
        <f>_xlfn.CONCAT("https://api.bcb.gov.br/dados/serie/bcdata.sgs.",B31,"/dados?formato=json")</f>
        <v>https://api.bcb.gov.br/dados/serie/bcdata.sgs.13139/dados?formato=json</v>
      </c>
      <c r="O31">
        <v>4</v>
      </c>
      <c r="P31" t="s">
        <v>22</v>
      </c>
      <c r="Q31" t="s">
        <v>78</v>
      </c>
      <c r="R31" t="s">
        <v>35</v>
      </c>
      <c r="S31" t="s">
        <v>43</v>
      </c>
    </row>
    <row r="32" spans="1:19" x14ac:dyDescent="0.25">
      <c r="A32" s="18"/>
      <c r="B32" s="18">
        <v>13093</v>
      </c>
      <c r="C32" s="19" t="s">
        <v>79</v>
      </c>
      <c r="D32" s="1" t="s">
        <v>34</v>
      </c>
      <c r="E32" s="20" t="s">
        <v>0</v>
      </c>
      <c r="F32" s="21">
        <v>32509</v>
      </c>
      <c r="G32" s="22">
        <v>45689</v>
      </c>
      <c r="H32" s="23" t="s">
        <v>31</v>
      </c>
      <c r="I32" s="18" t="s">
        <v>1</v>
      </c>
      <c r="J32" s="24"/>
      <c r="K32" s="17" t="s">
        <v>42</v>
      </c>
      <c r="L32" t="s">
        <v>39</v>
      </c>
      <c r="M32" t="s">
        <v>14</v>
      </c>
      <c r="N32" t="str">
        <f t="shared" ref="N32:N33" si="10">_xlfn.CONCAT("https://api.bcb.gov.br/dados/serie/bcdata.sgs.",B32,"/dados?formato=json")</f>
        <v>https://api.bcb.gov.br/dados/serie/bcdata.sgs.13093/dados?formato=json</v>
      </c>
      <c r="O32">
        <v>4</v>
      </c>
      <c r="P32" t="s">
        <v>22</v>
      </c>
      <c r="Q32" t="s">
        <v>82</v>
      </c>
      <c r="R32" t="s">
        <v>36</v>
      </c>
      <c r="S32" t="s">
        <v>43</v>
      </c>
    </row>
    <row r="33" spans="1:19" x14ac:dyDescent="0.25">
      <c r="A33" s="25"/>
      <c r="B33" s="25">
        <v>13094</v>
      </c>
      <c r="C33" s="26" t="s">
        <v>80</v>
      </c>
      <c r="D33" s="1" t="s">
        <v>34</v>
      </c>
      <c r="E33" s="27" t="s">
        <v>0</v>
      </c>
      <c r="F33" s="28">
        <v>32509</v>
      </c>
      <c r="G33" s="29">
        <v>45689</v>
      </c>
      <c r="H33" s="30" t="s">
        <v>31</v>
      </c>
      <c r="I33" s="25" t="s">
        <v>1</v>
      </c>
      <c r="J33" s="31"/>
      <c r="K33" s="17" t="s">
        <v>42</v>
      </c>
      <c r="L33" t="s">
        <v>40</v>
      </c>
      <c r="M33" t="s">
        <v>14</v>
      </c>
      <c r="N33" t="str">
        <f t="shared" si="10"/>
        <v>https://api.bcb.gov.br/dados/serie/bcdata.sgs.13094/dados?formato=json</v>
      </c>
      <c r="O33">
        <v>4</v>
      </c>
      <c r="P33" t="s">
        <v>22</v>
      </c>
      <c r="Q33" t="s">
        <v>82</v>
      </c>
      <c r="R33" t="s">
        <v>37</v>
      </c>
      <c r="S33" t="s">
        <v>43</v>
      </c>
    </row>
    <row r="34" spans="1:19" x14ac:dyDescent="0.25">
      <c r="A34" s="18"/>
      <c r="B34" s="18">
        <v>13166</v>
      </c>
      <c r="C34" s="19" t="s">
        <v>81</v>
      </c>
      <c r="D34" s="1" t="s">
        <v>34</v>
      </c>
      <c r="E34" s="20" t="s">
        <v>0</v>
      </c>
      <c r="F34" s="21">
        <v>32509</v>
      </c>
      <c r="G34" s="22">
        <v>45689</v>
      </c>
      <c r="H34" s="23" t="s">
        <v>31</v>
      </c>
      <c r="I34" s="18" t="s">
        <v>1</v>
      </c>
      <c r="J34" s="24"/>
      <c r="K34" s="17" t="s">
        <v>42</v>
      </c>
      <c r="L34" t="s">
        <v>38</v>
      </c>
      <c r="M34" t="s">
        <v>14</v>
      </c>
      <c r="N34" t="str">
        <f>_xlfn.CONCAT("https://api.bcb.gov.br/dados/serie/bcdata.sgs.",B34,"/dados?formato=json")</f>
        <v>https://api.bcb.gov.br/dados/serie/bcdata.sgs.13166/dados?formato=json</v>
      </c>
      <c r="O34">
        <v>4</v>
      </c>
      <c r="P34" t="s">
        <v>22</v>
      </c>
      <c r="Q34" t="s">
        <v>82</v>
      </c>
      <c r="R34" t="s">
        <v>35</v>
      </c>
      <c r="S34" t="s">
        <v>43</v>
      </c>
    </row>
    <row r="35" spans="1:19" x14ac:dyDescent="0.25">
      <c r="A35" s="18"/>
      <c r="B35" s="18">
        <v>13244</v>
      </c>
      <c r="C35" s="19" t="s">
        <v>83</v>
      </c>
      <c r="D35" s="1" t="s">
        <v>34</v>
      </c>
      <c r="E35" s="20" t="s">
        <v>0</v>
      </c>
      <c r="F35" s="21">
        <v>32509</v>
      </c>
      <c r="G35" s="22">
        <v>45689</v>
      </c>
      <c r="H35" s="23" t="s">
        <v>31</v>
      </c>
      <c r="I35" s="18" t="s">
        <v>1</v>
      </c>
      <c r="J35" s="24"/>
      <c r="K35" s="17" t="s">
        <v>42</v>
      </c>
      <c r="L35" t="s">
        <v>39</v>
      </c>
      <c r="M35" t="s">
        <v>14</v>
      </c>
      <c r="N35" t="str">
        <f t="shared" ref="N35:N36" si="11">_xlfn.CONCAT("https://api.bcb.gov.br/dados/serie/bcdata.sgs.",B35,"/dados?formato=json")</f>
        <v>https://api.bcb.gov.br/dados/serie/bcdata.sgs.13244/dados?formato=json</v>
      </c>
      <c r="O35">
        <v>4</v>
      </c>
      <c r="P35" t="s">
        <v>22</v>
      </c>
      <c r="Q35" t="s">
        <v>86</v>
      </c>
      <c r="R35" t="s">
        <v>36</v>
      </c>
      <c r="S35" t="s">
        <v>43</v>
      </c>
    </row>
    <row r="36" spans="1:19" x14ac:dyDescent="0.25">
      <c r="A36" s="25"/>
      <c r="B36" s="25">
        <v>13245</v>
      </c>
      <c r="C36" s="26" t="s">
        <v>84</v>
      </c>
      <c r="D36" s="1" t="s">
        <v>34</v>
      </c>
      <c r="E36" s="27" t="s">
        <v>0</v>
      </c>
      <c r="F36" s="28">
        <v>32509</v>
      </c>
      <c r="G36" s="29">
        <v>45689</v>
      </c>
      <c r="H36" s="30" t="s">
        <v>31</v>
      </c>
      <c r="I36" s="25" t="s">
        <v>1</v>
      </c>
      <c r="J36" s="31"/>
      <c r="K36" s="17" t="s">
        <v>42</v>
      </c>
      <c r="L36" t="s">
        <v>40</v>
      </c>
      <c r="M36" t="s">
        <v>14</v>
      </c>
      <c r="N36" t="str">
        <f t="shared" si="11"/>
        <v>https://api.bcb.gov.br/dados/serie/bcdata.sgs.13245/dados?formato=json</v>
      </c>
      <c r="O36">
        <v>4</v>
      </c>
      <c r="P36" t="s">
        <v>22</v>
      </c>
      <c r="Q36" t="s">
        <v>86</v>
      </c>
      <c r="R36" t="s">
        <v>37</v>
      </c>
      <c r="S36" t="s">
        <v>43</v>
      </c>
    </row>
    <row r="37" spans="1:19" x14ac:dyDescent="0.25">
      <c r="A37" s="18"/>
      <c r="B37" s="18">
        <v>13247</v>
      </c>
      <c r="C37" s="19" t="s">
        <v>85</v>
      </c>
      <c r="D37" s="1" t="s">
        <v>34</v>
      </c>
      <c r="E37" s="20" t="s">
        <v>0</v>
      </c>
      <c r="F37" s="21">
        <v>32509</v>
      </c>
      <c r="G37" s="22">
        <v>45689</v>
      </c>
      <c r="H37" s="23" t="s">
        <v>31</v>
      </c>
      <c r="I37" s="18" t="s">
        <v>1</v>
      </c>
      <c r="J37" s="24"/>
      <c r="K37" s="17" t="s">
        <v>42</v>
      </c>
      <c r="L37" t="s">
        <v>38</v>
      </c>
      <c r="M37" t="s">
        <v>14</v>
      </c>
      <c r="N37" t="str">
        <f>_xlfn.CONCAT("https://api.bcb.gov.br/dados/serie/bcdata.sgs.",B37,"/dados?formato=json")</f>
        <v>https://api.bcb.gov.br/dados/serie/bcdata.sgs.13247/dados?formato=json</v>
      </c>
      <c r="O37">
        <v>4</v>
      </c>
      <c r="P37" t="s">
        <v>22</v>
      </c>
      <c r="Q37" t="s">
        <v>86</v>
      </c>
      <c r="R37" t="s">
        <v>35</v>
      </c>
      <c r="S37" t="s">
        <v>43</v>
      </c>
    </row>
    <row r="38" spans="1:19" x14ac:dyDescent="0.25">
      <c r="A38" s="18"/>
      <c r="B38" s="18">
        <v>13342</v>
      </c>
      <c r="C38" s="19" t="s">
        <v>87</v>
      </c>
      <c r="D38" s="1" t="s">
        <v>34</v>
      </c>
      <c r="E38" s="20" t="s">
        <v>0</v>
      </c>
      <c r="F38" s="21">
        <v>32509</v>
      </c>
      <c r="G38" s="22">
        <v>45689</v>
      </c>
      <c r="H38" s="23" t="s">
        <v>31</v>
      </c>
      <c r="I38" s="18" t="s">
        <v>1</v>
      </c>
      <c r="J38" s="24"/>
      <c r="K38" s="17" t="s">
        <v>42</v>
      </c>
      <c r="L38" t="s">
        <v>39</v>
      </c>
      <c r="M38" t="s">
        <v>14</v>
      </c>
      <c r="N38" t="str">
        <f t="shared" ref="N38:N39" si="12">_xlfn.CONCAT("https://api.bcb.gov.br/dados/serie/bcdata.sgs.",B38,"/dados?formato=json")</f>
        <v>https://api.bcb.gov.br/dados/serie/bcdata.sgs.13342/dados?formato=json</v>
      </c>
      <c r="O38">
        <v>4</v>
      </c>
      <c r="P38" t="s">
        <v>22</v>
      </c>
      <c r="Q38" t="s">
        <v>90</v>
      </c>
      <c r="R38" t="s">
        <v>36</v>
      </c>
      <c r="S38" t="s">
        <v>43</v>
      </c>
    </row>
    <row r="39" spans="1:19" x14ac:dyDescent="0.25">
      <c r="A39" s="25"/>
      <c r="B39" s="25">
        <v>13347</v>
      </c>
      <c r="C39" s="26" t="s">
        <v>88</v>
      </c>
      <c r="D39" s="1" t="s">
        <v>34</v>
      </c>
      <c r="E39" s="27" t="s">
        <v>0</v>
      </c>
      <c r="F39" s="28">
        <v>32509</v>
      </c>
      <c r="G39" s="29">
        <v>45689</v>
      </c>
      <c r="H39" s="30" t="s">
        <v>31</v>
      </c>
      <c r="I39" s="25" t="s">
        <v>1</v>
      </c>
      <c r="J39" s="31"/>
      <c r="K39" s="17" t="s">
        <v>42</v>
      </c>
      <c r="L39" t="s">
        <v>40</v>
      </c>
      <c r="M39" t="s">
        <v>14</v>
      </c>
      <c r="N39" t="str">
        <f t="shared" si="12"/>
        <v>https://api.bcb.gov.br/dados/serie/bcdata.sgs.13347/dados?formato=json</v>
      </c>
      <c r="O39">
        <v>4</v>
      </c>
      <c r="P39" t="s">
        <v>22</v>
      </c>
      <c r="Q39" t="s">
        <v>90</v>
      </c>
      <c r="R39" t="s">
        <v>37</v>
      </c>
      <c r="S39" t="s">
        <v>43</v>
      </c>
    </row>
    <row r="40" spans="1:19" x14ac:dyDescent="0.25">
      <c r="A40" s="18"/>
      <c r="B40" s="18">
        <v>13352</v>
      </c>
      <c r="C40" s="19" t="s">
        <v>89</v>
      </c>
      <c r="D40" s="1" t="s">
        <v>34</v>
      </c>
      <c r="E40" s="20" t="s">
        <v>0</v>
      </c>
      <c r="F40" s="21">
        <v>32509</v>
      </c>
      <c r="G40" s="22">
        <v>45689</v>
      </c>
      <c r="H40" s="23" t="s">
        <v>31</v>
      </c>
      <c r="I40" s="18" t="s">
        <v>1</v>
      </c>
      <c r="J40" s="24"/>
      <c r="K40" s="17" t="s">
        <v>42</v>
      </c>
      <c r="L40" t="s">
        <v>38</v>
      </c>
      <c r="M40" t="s">
        <v>14</v>
      </c>
      <c r="N40" t="str">
        <f>_xlfn.CONCAT("https://api.bcb.gov.br/dados/serie/bcdata.sgs.",B40,"/dados?formato=json")</f>
        <v>https://api.bcb.gov.br/dados/serie/bcdata.sgs.13352/dados?formato=json</v>
      </c>
      <c r="O40">
        <v>4</v>
      </c>
      <c r="P40" t="s">
        <v>22</v>
      </c>
      <c r="Q40" t="s">
        <v>90</v>
      </c>
      <c r="R40" t="s">
        <v>35</v>
      </c>
      <c r="S40" t="s">
        <v>43</v>
      </c>
    </row>
    <row r="41" spans="1:19" x14ac:dyDescent="0.25">
      <c r="A41" s="18"/>
      <c r="B41" s="18">
        <v>13341</v>
      </c>
      <c r="C41" s="19" t="s">
        <v>91</v>
      </c>
      <c r="D41" s="1" t="s">
        <v>34</v>
      </c>
      <c r="E41" s="20" t="s">
        <v>0</v>
      </c>
      <c r="F41" s="21">
        <v>32509</v>
      </c>
      <c r="G41" s="22">
        <v>45689</v>
      </c>
      <c r="H41" s="23" t="s">
        <v>31</v>
      </c>
      <c r="I41" s="18" t="s">
        <v>1</v>
      </c>
      <c r="J41" s="24"/>
      <c r="K41" s="17" t="s">
        <v>42</v>
      </c>
      <c r="L41" t="s">
        <v>39</v>
      </c>
      <c r="M41" t="s">
        <v>14</v>
      </c>
      <c r="N41" t="str">
        <f t="shared" ref="N41:N42" si="13">_xlfn.CONCAT("https://api.bcb.gov.br/dados/serie/bcdata.sgs.",B41,"/dados?formato=json")</f>
        <v>https://api.bcb.gov.br/dados/serie/bcdata.sgs.13341/dados?formato=json</v>
      </c>
      <c r="O41">
        <v>4</v>
      </c>
      <c r="P41" t="s">
        <v>22</v>
      </c>
      <c r="Q41" t="s">
        <v>94</v>
      </c>
      <c r="R41" t="s">
        <v>36</v>
      </c>
      <c r="S41" t="s">
        <v>43</v>
      </c>
    </row>
    <row r="42" spans="1:19" x14ac:dyDescent="0.25">
      <c r="A42" s="25"/>
      <c r="B42" s="25">
        <v>13346</v>
      </c>
      <c r="C42" s="26" t="s">
        <v>92</v>
      </c>
      <c r="D42" s="1" t="s">
        <v>34</v>
      </c>
      <c r="E42" s="27" t="s">
        <v>0</v>
      </c>
      <c r="F42" s="28">
        <v>32509</v>
      </c>
      <c r="G42" s="29">
        <v>45689</v>
      </c>
      <c r="H42" s="30" t="s">
        <v>31</v>
      </c>
      <c r="I42" s="25" t="s">
        <v>1</v>
      </c>
      <c r="J42" s="31"/>
      <c r="K42" s="17" t="s">
        <v>42</v>
      </c>
      <c r="L42" t="s">
        <v>40</v>
      </c>
      <c r="M42" t="s">
        <v>14</v>
      </c>
      <c r="N42" t="str">
        <f t="shared" si="13"/>
        <v>https://api.bcb.gov.br/dados/serie/bcdata.sgs.13346/dados?formato=json</v>
      </c>
      <c r="O42">
        <v>4</v>
      </c>
      <c r="P42" t="s">
        <v>22</v>
      </c>
      <c r="Q42" t="s">
        <v>94</v>
      </c>
      <c r="R42" t="s">
        <v>37</v>
      </c>
      <c r="S42" t="s">
        <v>43</v>
      </c>
    </row>
    <row r="43" spans="1:19" x14ac:dyDescent="0.25">
      <c r="A43" s="18"/>
      <c r="B43" s="18">
        <v>13351</v>
      </c>
      <c r="C43" s="19" t="s">
        <v>93</v>
      </c>
      <c r="D43" s="1" t="s">
        <v>34</v>
      </c>
      <c r="E43" s="20" t="s">
        <v>0</v>
      </c>
      <c r="F43" s="21">
        <v>32509</v>
      </c>
      <c r="G43" s="22">
        <v>45689</v>
      </c>
      <c r="H43" s="23" t="s">
        <v>31</v>
      </c>
      <c r="I43" s="18" t="s">
        <v>1</v>
      </c>
      <c r="J43" s="24"/>
      <c r="K43" s="17" t="s">
        <v>42</v>
      </c>
      <c r="L43" t="s">
        <v>38</v>
      </c>
      <c r="M43" t="s">
        <v>14</v>
      </c>
      <c r="N43" t="str">
        <f>_xlfn.CONCAT("https://api.bcb.gov.br/dados/serie/bcdata.sgs.",B43,"/dados?formato=json")</f>
        <v>https://api.bcb.gov.br/dados/serie/bcdata.sgs.13351/dados?formato=json</v>
      </c>
      <c r="O43">
        <v>4</v>
      </c>
      <c r="P43" t="s">
        <v>22</v>
      </c>
      <c r="Q43" t="s">
        <v>94</v>
      </c>
      <c r="R43" t="s">
        <v>35</v>
      </c>
      <c r="S43" t="s">
        <v>43</v>
      </c>
    </row>
    <row r="44" spans="1:19" x14ac:dyDescent="0.25">
      <c r="A44" s="18"/>
      <c r="B44" s="18">
        <v>13167</v>
      </c>
      <c r="C44" s="19" t="s">
        <v>95</v>
      </c>
      <c r="D44" s="1" t="s">
        <v>34</v>
      </c>
      <c r="E44" s="20" t="s">
        <v>0</v>
      </c>
      <c r="F44" s="21">
        <v>32509</v>
      </c>
      <c r="G44" s="22">
        <v>45689</v>
      </c>
      <c r="H44" s="23" t="s">
        <v>31</v>
      </c>
      <c r="I44" s="18" t="s">
        <v>1</v>
      </c>
      <c r="J44" s="24"/>
      <c r="K44" s="17" t="s">
        <v>42</v>
      </c>
      <c r="L44" t="s">
        <v>39</v>
      </c>
      <c r="M44" t="s">
        <v>14</v>
      </c>
      <c r="N44" t="str">
        <f t="shared" ref="N44:N45" si="14">_xlfn.CONCAT("https://api.bcb.gov.br/dados/serie/bcdata.sgs.",B44,"/dados?formato=json")</f>
        <v>https://api.bcb.gov.br/dados/serie/bcdata.sgs.13167/dados?formato=json</v>
      </c>
      <c r="O44">
        <v>4</v>
      </c>
      <c r="P44" t="s">
        <v>22</v>
      </c>
      <c r="Q44" t="s">
        <v>98</v>
      </c>
      <c r="R44" t="s">
        <v>36</v>
      </c>
      <c r="S44" t="s">
        <v>43</v>
      </c>
    </row>
    <row r="45" spans="1:19" x14ac:dyDescent="0.25">
      <c r="A45" s="25"/>
      <c r="B45" s="25">
        <v>13168</v>
      </c>
      <c r="C45" s="26" t="s">
        <v>96</v>
      </c>
      <c r="D45" s="1" t="s">
        <v>34</v>
      </c>
      <c r="E45" s="27" t="s">
        <v>0</v>
      </c>
      <c r="F45" s="28">
        <v>32509</v>
      </c>
      <c r="G45" s="29">
        <v>45689</v>
      </c>
      <c r="H45" s="30" t="s">
        <v>31</v>
      </c>
      <c r="I45" s="25" t="s">
        <v>1</v>
      </c>
      <c r="J45" s="31"/>
      <c r="K45" s="17" t="s">
        <v>42</v>
      </c>
      <c r="L45" t="s">
        <v>40</v>
      </c>
      <c r="M45" t="s">
        <v>14</v>
      </c>
      <c r="N45" t="str">
        <f t="shared" si="14"/>
        <v>https://api.bcb.gov.br/dados/serie/bcdata.sgs.13168/dados?formato=json</v>
      </c>
      <c r="O45">
        <v>4</v>
      </c>
      <c r="P45" t="s">
        <v>22</v>
      </c>
      <c r="Q45" t="s">
        <v>98</v>
      </c>
      <c r="R45" t="s">
        <v>37</v>
      </c>
      <c r="S45" t="s">
        <v>43</v>
      </c>
    </row>
    <row r="46" spans="1:19" x14ac:dyDescent="0.25">
      <c r="A46" s="18"/>
      <c r="B46" s="18">
        <v>13169</v>
      </c>
      <c r="C46" s="19" t="s">
        <v>97</v>
      </c>
      <c r="D46" s="1" t="s">
        <v>34</v>
      </c>
      <c r="E46" s="20" t="s">
        <v>0</v>
      </c>
      <c r="F46" s="21">
        <v>32509</v>
      </c>
      <c r="G46" s="22">
        <v>45689</v>
      </c>
      <c r="H46" s="23" t="s">
        <v>31</v>
      </c>
      <c r="I46" s="18" t="s">
        <v>1</v>
      </c>
      <c r="J46" s="24"/>
      <c r="K46" s="17" t="s">
        <v>42</v>
      </c>
      <c r="L46" t="s">
        <v>38</v>
      </c>
      <c r="M46" t="s">
        <v>14</v>
      </c>
      <c r="N46" t="str">
        <f>_xlfn.CONCAT("https://api.bcb.gov.br/dados/serie/bcdata.sgs.",B46,"/dados?formato=json")</f>
        <v>https://api.bcb.gov.br/dados/serie/bcdata.sgs.13169/dados?formato=json</v>
      </c>
      <c r="O46">
        <v>4</v>
      </c>
      <c r="P46" t="s">
        <v>22</v>
      </c>
      <c r="Q46" t="s">
        <v>98</v>
      </c>
      <c r="R46" t="s">
        <v>35</v>
      </c>
      <c r="S46" t="s">
        <v>43</v>
      </c>
    </row>
    <row r="47" spans="1:19" x14ac:dyDescent="0.25">
      <c r="A47" s="18"/>
      <c r="B47" s="18">
        <v>13344</v>
      </c>
      <c r="C47" s="19" t="s">
        <v>99</v>
      </c>
      <c r="D47" s="1" t="s">
        <v>34</v>
      </c>
      <c r="E47" s="20" t="s">
        <v>0</v>
      </c>
      <c r="F47" s="21">
        <v>32509</v>
      </c>
      <c r="G47" s="22">
        <v>45689</v>
      </c>
      <c r="H47" s="23" t="s">
        <v>31</v>
      </c>
      <c r="I47" s="18" t="s">
        <v>1</v>
      </c>
      <c r="J47" s="24"/>
      <c r="K47" s="17" t="s">
        <v>42</v>
      </c>
      <c r="L47" t="s">
        <v>39</v>
      </c>
      <c r="M47" t="s">
        <v>14</v>
      </c>
      <c r="N47" t="str">
        <f t="shared" ref="N47:N48" si="15">_xlfn.CONCAT("https://api.bcb.gov.br/dados/serie/bcdata.sgs.",B47,"/dados?formato=json")</f>
        <v>https://api.bcb.gov.br/dados/serie/bcdata.sgs.13344/dados?formato=json</v>
      </c>
      <c r="O47">
        <v>4</v>
      </c>
      <c r="P47" t="s">
        <v>22</v>
      </c>
      <c r="Q47" t="s">
        <v>102</v>
      </c>
      <c r="R47" t="s">
        <v>36</v>
      </c>
      <c r="S47" t="s">
        <v>43</v>
      </c>
    </row>
    <row r="48" spans="1:19" x14ac:dyDescent="0.25">
      <c r="A48" s="25"/>
      <c r="B48" s="25">
        <v>13349</v>
      </c>
      <c r="C48" s="26" t="s">
        <v>100</v>
      </c>
      <c r="D48" s="1" t="s">
        <v>34</v>
      </c>
      <c r="E48" s="27" t="s">
        <v>0</v>
      </c>
      <c r="F48" s="28">
        <v>32509</v>
      </c>
      <c r="G48" s="29">
        <v>45689</v>
      </c>
      <c r="H48" s="30" t="s">
        <v>31</v>
      </c>
      <c r="I48" s="25" t="s">
        <v>1</v>
      </c>
      <c r="J48" s="31"/>
      <c r="K48" s="17" t="s">
        <v>42</v>
      </c>
      <c r="L48" t="s">
        <v>40</v>
      </c>
      <c r="M48" t="s">
        <v>14</v>
      </c>
      <c r="N48" t="str">
        <f t="shared" si="15"/>
        <v>https://api.bcb.gov.br/dados/serie/bcdata.sgs.13349/dados?formato=json</v>
      </c>
      <c r="O48">
        <v>4</v>
      </c>
      <c r="P48" t="s">
        <v>22</v>
      </c>
      <c r="Q48" t="s">
        <v>102</v>
      </c>
      <c r="R48" t="s">
        <v>37</v>
      </c>
      <c r="S48" t="s">
        <v>43</v>
      </c>
    </row>
    <row r="49" spans="1:19" x14ac:dyDescent="0.25">
      <c r="A49" s="18"/>
      <c r="B49" s="18">
        <v>13354</v>
      </c>
      <c r="C49" s="19" t="s">
        <v>101</v>
      </c>
      <c r="D49" s="1" t="s">
        <v>34</v>
      </c>
      <c r="E49" s="20" t="s">
        <v>0</v>
      </c>
      <c r="F49" s="21">
        <v>32509</v>
      </c>
      <c r="G49" s="22">
        <v>45689</v>
      </c>
      <c r="H49" s="23" t="s">
        <v>31</v>
      </c>
      <c r="I49" s="18" t="s">
        <v>1</v>
      </c>
      <c r="J49" s="24"/>
      <c r="K49" s="17" t="s">
        <v>42</v>
      </c>
      <c r="L49" t="s">
        <v>38</v>
      </c>
      <c r="M49" t="s">
        <v>14</v>
      </c>
      <c r="N49" t="str">
        <f>_xlfn.CONCAT("https://api.bcb.gov.br/dados/serie/bcdata.sgs.",B49,"/dados?formato=json")</f>
        <v>https://api.bcb.gov.br/dados/serie/bcdata.sgs.13354/dados?formato=json</v>
      </c>
      <c r="O49">
        <v>4</v>
      </c>
      <c r="P49" t="s">
        <v>22</v>
      </c>
      <c r="Q49" t="s">
        <v>102</v>
      </c>
      <c r="R49" t="s">
        <v>35</v>
      </c>
      <c r="S49" t="s">
        <v>43</v>
      </c>
    </row>
    <row r="50" spans="1:19" x14ac:dyDescent="0.25">
      <c r="A50" s="18"/>
      <c r="B50" s="18">
        <v>13345</v>
      </c>
      <c r="C50" s="19" t="s">
        <v>103</v>
      </c>
      <c r="D50" s="1" t="s">
        <v>34</v>
      </c>
      <c r="E50" s="20" t="s">
        <v>0</v>
      </c>
      <c r="F50" s="21">
        <v>32509</v>
      </c>
      <c r="G50" s="22">
        <v>45689</v>
      </c>
      <c r="H50" s="23" t="s">
        <v>31</v>
      </c>
      <c r="I50" s="18" t="s">
        <v>1</v>
      </c>
      <c r="J50" s="24"/>
      <c r="K50" s="17" t="s">
        <v>42</v>
      </c>
      <c r="L50" t="s">
        <v>39</v>
      </c>
      <c r="M50" t="s">
        <v>14</v>
      </c>
      <c r="N50" t="str">
        <f t="shared" ref="N50:N51" si="16">_xlfn.CONCAT("https://api.bcb.gov.br/dados/serie/bcdata.sgs.",B50,"/dados?formato=json")</f>
        <v>https://api.bcb.gov.br/dados/serie/bcdata.sgs.13345/dados?formato=json</v>
      </c>
      <c r="O50">
        <v>4</v>
      </c>
      <c r="P50" t="s">
        <v>22</v>
      </c>
      <c r="Q50" t="s">
        <v>106</v>
      </c>
      <c r="R50" t="s">
        <v>36</v>
      </c>
      <c r="S50" t="s">
        <v>43</v>
      </c>
    </row>
    <row r="51" spans="1:19" x14ac:dyDescent="0.25">
      <c r="A51" s="25"/>
      <c r="B51" s="25">
        <v>13350</v>
      </c>
      <c r="C51" s="26" t="s">
        <v>104</v>
      </c>
      <c r="D51" s="1" t="s">
        <v>34</v>
      </c>
      <c r="E51" s="27" t="s">
        <v>0</v>
      </c>
      <c r="F51" s="28">
        <v>32509</v>
      </c>
      <c r="G51" s="29">
        <v>45689</v>
      </c>
      <c r="H51" s="30" t="s">
        <v>31</v>
      </c>
      <c r="I51" s="25" t="s">
        <v>1</v>
      </c>
      <c r="J51" s="31"/>
      <c r="K51" s="17" t="s">
        <v>42</v>
      </c>
      <c r="L51" t="s">
        <v>40</v>
      </c>
      <c r="M51" t="s">
        <v>14</v>
      </c>
      <c r="N51" t="str">
        <f t="shared" si="16"/>
        <v>https://api.bcb.gov.br/dados/serie/bcdata.sgs.13350/dados?formato=json</v>
      </c>
      <c r="O51">
        <v>4</v>
      </c>
      <c r="P51" t="s">
        <v>22</v>
      </c>
      <c r="Q51" t="s">
        <v>106</v>
      </c>
      <c r="R51" t="s">
        <v>37</v>
      </c>
      <c r="S51" t="s">
        <v>43</v>
      </c>
    </row>
    <row r="52" spans="1:19" x14ac:dyDescent="0.25">
      <c r="A52" s="18"/>
      <c r="B52" s="18">
        <v>13356</v>
      </c>
      <c r="C52" s="19" t="s">
        <v>105</v>
      </c>
      <c r="D52" s="1" t="s">
        <v>34</v>
      </c>
      <c r="E52" s="20" t="s">
        <v>0</v>
      </c>
      <c r="F52" s="21">
        <v>32509</v>
      </c>
      <c r="G52" s="22">
        <v>45689</v>
      </c>
      <c r="H52" s="23" t="s">
        <v>31</v>
      </c>
      <c r="I52" s="18" t="s">
        <v>1</v>
      </c>
      <c r="J52" s="24"/>
      <c r="K52" s="17" t="s">
        <v>42</v>
      </c>
      <c r="L52" t="s">
        <v>38</v>
      </c>
      <c r="M52" t="s">
        <v>14</v>
      </c>
      <c r="N52" t="str">
        <f>_xlfn.CONCAT("https://api.bcb.gov.br/dados/serie/bcdata.sgs.",B52,"/dados?formato=json")</f>
        <v>https://api.bcb.gov.br/dados/serie/bcdata.sgs.13356/dados?formato=json</v>
      </c>
      <c r="O52">
        <v>4</v>
      </c>
      <c r="P52" t="s">
        <v>22</v>
      </c>
      <c r="Q52" t="s">
        <v>106</v>
      </c>
      <c r="R52" t="s">
        <v>35</v>
      </c>
      <c r="S52" t="s">
        <v>43</v>
      </c>
    </row>
    <row r="53" spans="1:19" x14ac:dyDescent="0.25">
      <c r="A53" s="18"/>
      <c r="B53" s="18">
        <v>13943</v>
      </c>
      <c r="C53" s="19" t="s">
        <v>107</v>
      </c>
      <c r="D53" s="1" t="s">
        <v>34</v>
      </c>
      <c r="E53" s="20" t="s">
        <v>0</v>
      </c>
      <c r="F53" s="21">
        <v>32509</v>
      </c>
      <c r="G53" s="22">
        <v>45689</v>
      </c>
      <c r="H53" s="23" t="s">
        <v>31</v>
      </c>
      <c r="I53" s="18" t="s">
        <v>1</v>
      </c>
      <c r="J53" s="24"/>
      <c r="K53" s="17" t="s">
        <v>42</v>
      </c>
      <c r="L53" t="s">
        <v>39</v>
      </c>
      <c r="M53" t="s">
        <v>14</v>
      </c>
      <c r="N53" t="str">
        <f t="shared" ref="N53:N54" si="17">_xlfn.CONCAT("https://api.bcb.gov.br/dados/serie/bcdata.sgs.",B53,"/dados?formato=json")</f>
        <v>https://api.bcb.gov.br/dados/serie/bcdata.sgs.13943/dados?formato=json</v>
      </c>
      <c r="O53">
        <v>4</v>
      </c>
      <c r="P53" t="s">
        <v>23</v>
      </c>
      <c r="Q53" t="s">
        <v>25</v>
      </c>
      <c r="R53" t="s">
        <v>36</v>
      </c>
      <c r="S53" t="s">
        <v>43</v>
      </c>
    </row>
    <row r="54" spans="1:19" x14ac:dyDescent="0.25">
      <c r="A54" s="25"/>
      <c r="B54" s="25">
        <v>13944</v>
      </c>
      <c r="C54" s="26" t="s">
        <v>108</v>
      </c>
      <c r="D54" s="1" t="s">
        <v>34</v>
      </c>
      <c r="E54" s="27" t="s">
        <v>0</v>
      </c>
      <c r="F54" s="28">
        <v>32509</v>
      </c>
      <c r="G54" s="29">
        <v>45689</v>
      </c>
      <c r="H54" s="30" t="s">
        <v>31</v>
      </c>
      <c r="I54" s="25" t="s">
        <v>1</v>
      </c>
      <c r="J54" s="31"/>
      <c r="K54" s="17" t="s">
        <v>42</v>
      </c>
      <c r="L54" t="s">
        <v>40</v>
      </c>
      <c r="M54" t="s">
        <v>14</v>
      </c>
      <c r="N54" t="str">
        <f t="shared" si="17"/>
        <v>https://api.bcb.gov.br/dados/serie/bcdata.sgs.13944/dados?formato=json</v>
      </c>
      <c r="O54">
        <v>4</v>
      </c>
      <c r="P54" t="s">
        <v>23</v>
      </c>
      <c r="Q54" t="s">
        <v>25</v>
      </c>
      <c r="R54" t="s">
        <v>37</v>
      </c>
      <c r="S54" t="s">
        <v>43</v>
      </c>
    </row>
    <row r="55" spans="1:19" x14ac:dyDescent="0.25">
      <c r="A55" s="18"/>
      <c r="B55" s="18">
        <v>13945</v>
      </c>
      <c r="C55" s="19" t="s">
        <v>109</v>
      </c>
      <c r="D55" s="1" t="s">
        <v>34</v>
      </c>
      <c r="E55" s="20" t="s">
        <v>0</v>
      </c>
      <c r="F55" s="21">
        <v>32509</v>
      </c>
      <c r="G55" s="22">
        <v>45689</v>
      </c>
      <c r="H55" s="23" t="s">
        <v>31</v>
      </c>
      <c r="I55" s="18" t="s">
        <v>1</v>
      </c>
      <c r="J55" s="24"/>
      <c r="K55" s="17" t="s">
        <v>42</v>
      </c>
      <c r="L55" t="s">
        <v>38</v>
      </c>
      <c r="M55" t="s">
        <v>14</v>
      </c>
      <c r="N55" t="str">
        <f>_xlfn.CONCAT("https://api.bcb.gov.br/dados/serie/bcdata.sgs.",B55,"/dados?formato=json")</f>
        <v>https://api.bcb.gov.br/dados/serie/bcdata.sgs.13945/dados?formato=json</v>
      </c>
      <c r="O55">
        <v>4</v>
      </c>
      <c r="P55" t="s">
        <v>23</v>
      </c>
      <c r="Q55" t="s">
        <v>25</v>
      </c>
      <c r="R55" t="s">
        <v>35</v>
      </c>
      <c r="S55" t="s">
        <v>43</v>
      </c>
    </row>
    <row r="56" spans="1:19" x14ac:dyDescent="0.25">
      <c r="A56" s="18"/>
      <c r="B56" s="18">
        <v>13030</v>
      </c>
      <c r="C56" s="19" t="s">
        <v>110</v>
      </c>
      <c r="D56" s="1" t="s">
        <v>34</v>
      </c>
      <c r="E56" s="20" t="s">
        <v>0</v>
      </c>
      <c r="F56" s="21">
        <v>32509</v>
      </c>
      <c r="G56" s="22">
        <v>45689</v>
      </c>
      <c r="H56" s="23" t="s">
        <v>31</v>
      </c>
      <c r="I56" s="18" t="s">
        <v>1</v>
      </c>
      <c r="J56" s="24"/>
      <c r="K56" s="17" t="s">
        <v>42</v>
      </c>
      <c r="L56" t="s">
        <v>39</v>
      </c>
      <c r="M56" t="s">
        <v>14</v>
      </c>
      <c r="N56" t="str">
        <f t="shared" ref="N56:N57" si="18">_xlfn.CONCAT("https://api.bcb.gov.br/dados/serie/bcdata.sgs.",B56,"/dados?formato=json")</f>
        <v>https://api.bcb.gov.br/dados/serie/bcdata.sgs.13030/dados?formato=json</v>
      </c>
      <c r="O56">
        <v>4</v>
      </c>
      <c r="P56" t="s">
        <v>22</v>
      </c>
      <c r="Q56" t="s">
        <v>113</v>
      </c>
      <c r="R56" t="s">
        <v>36</v>
      </c>
      <c r="S56" t="s">
        <v>43</v>
      </c>
    </row>
    <row r="57" spans="1:19" x14ac:dyDescent="0.25">
      <c r="A57" s="25"/>
      <c r="B57" s="25">
        <v>13031</v>
      </c>
      <c r="C57" s="26" t="s">
        <v>111</v>
      </c>
      <c r="D57" s="1" t="s">
        <v>34</v>
      </c>
      <c r="E57" s="27" t="s">
        <v>0</v>
      </c>
      <c r="F57" s="28">
        <v>32509</v>
      </c>
      <c r="G57" s="29">
        <v>45689</v>
      </c>
      <c r="H57" s="30" t="s">
        <v>31</v>
      </c>
      <c r="I57" s="25" t="s">
        <v>1</v>
      </c>
      <c r="J57" s="31"/>
      <c r="K57" s="17" t="s">
        <v>42</v>
      </c>
      <c r="L57" t="s">
        <v>40</v>
      </c>
      <c r="M57" t="s">
        <v>14</v>
      </c>
      <c r="N57" t="str">
        <f t="shared" si="18"/>
        <v>https://api.bcb.gov.br/dados/serie/bcdata.sgs.13031/dados?formato=json</v>
      </c>
      <c r="O57">
        <v>4</v>
      </c>
      <c r="P57" t="s">
        <v>22</v>
      </c>
      <c r="Q57" t="s">
        <v>113</v>
      </c>
      <c r="R57" t="s">
        <v>37</v>
      </c>
      <c r="S57" t="s">
        <v>43</v>
      </c>
    </row>
    <row r="58" spans="1:19" x14ac:dyDescent="0.25">
      <c r="A58" s="18"/>
      <c r="B58" s="18">
        <v>13061</v>
      </c>
      <c r="C58" s="19" t="s">
        <v>112</v>
      </c>
      <c r="D58" s="1" t="s">
        <v>34</v>
      </c>
      <c r="E58" s="20" t="s">
        <v>0</v>
      </c>
      <c r="F58" s="21">
        <v>32509</v>
      </c>
      <c r="G58" s="22">
        <v>45689</v>
      </c>
      <c r="H58" s="23" t="s">
        <v>31</v>
      </c>
      <c r="I58" s="18" t="s">
        <v>1</v>
      </c>
      <c r="J58" s="24"/>
      <c r="K58" s="17" t="s">
        <v>42</v>
      </c>
      <c r="L58" t="s">
        <v>38</v>
      </c>
      <c r="M58" t="s">
        <v>14</v>
      </c>
      <c r="N58" t="str">
        <f>_xlfn.CONCAT("https://api.bcb.gov.br/dados/serie/bcdata.sgs.",B58,"/dados?formato=json")</f>
        <v>https://api.bcb.gov.br/dados/serie/bcdata.sgs.13061/dados?formato=json</v>
      </c>
      <c r="O58">
        <v>4</v>
      </c>
      <c r="P58" t="s">
        <v>22</v>
      </c>
      <c r="Q58" t="s">
        <v>113</v>
      </c>
      <c r="R58" t="s">
        <v>35</v>
      </c>
      <c r="S58" t="s">
        <v>43</v>
      </c>
    </row>
    <row r="59" spans="1:19" x14ac:dyDescent="0.25">
      <c r="A59" s="18"/>
      <c r="B59" s="18">
        <v>13069</v>
      </c>
      <c r="C59" s="19" t="s">
        <v>114</v>
      </c>
      <c r="D59" s="1" t="s">
        <v>34</v>
      </c>
      <c r="E59" s="20" t="s">
        <v>0</v>
      </c>
      <c r="F59" s="21">
        <v>32509</v>
      </c>
      <c r="G59" s="22">
        <v>45689</v>
      </c>
      <c r="H59" s="23" t="s">
        <v>31</v>
      </c>
      <c r="I59" s="18" t="s">
        <v>1</v>
      </c>
      <c r="J59" s="24"/>
      <c r="K59" s="17" t="s">
        <v>42</v>
      </c>
      <c r="L59" t="s">
        <v>39</v>
      </c>
      <c r="M59" t="s">
        <v>14</v>
      </c>
      <c r="N59" t="str">
        <f t="shared" ref="N59:N60" si="19">_xlfn.CONCAT("https://api.bcb.gov.br/dados/serie/bcdata.sgs.",B59,"/dados?formato=json")</f>
        <v>https://api.bcb.gov.br/dados/serie/bcdata.sgs.13069/dados?formato=json</v>
      </c>
      <c r="O59">
        <v>4</v>
      </c>
      <c r="P59" t="s">
        <v>22</v>
      </c>
      <c r="Q59" t="s">
        <v>117</v>
      </c>
      <c r="R59" t="s">
        <v>36</v>
      </c>
      <c r="S59" t="s">
        <v>43</v>
      </c>
    </row>
    <row r="60" spans="1:19" x14ac:dyDescent="0.25">
      <c r="A60" s="25"/>
      <c r="B60" s="25">
        <v>13071</v>
      </c>
      <c r="C60" s="26" t="s">
        <v>115</v>
      </c>
      <c r="D60" s="1" t="s">
        <v>34</v>
      </c>
      <c r="E60" s="27" t="s">
        <v>0</v>
      </c>
      <c r="F60" s="28">
        <v>32509</v>
      </c>
      <c r="G60" s="29">
        <v>45689</v>
      </c>
      <c r="H60" s="30" t="s">
        <v>31</v>
      </c>
      <c r="I60" s="25" t="s">
        <v>1</v>
      </c>
      <c r="J60" s="31"/>
      <c r="K60" s="17" t="s">
        <v>42</v>
      </c>
      <c r="L60" t="s">
        <v>40</v>
      </c>
      <c r="M60" t="s">
        <v>14</v>
      </c>
      <c r="N60" t="str">
        <f t="shared" si="19"/>
        <v>https://api.bcb.gov.br/dados/serie/bcdata.sgs.13071/dados?formato=json</v>
      </c>
      <c r="O60">
        <v>4</v>
      </c>
      <c r="P60" t="s">
        <v>22</v>
      </c>
      <c r="Q60" t="s">
        <v>117</v>
      </c>
      <c r="R60" t="s">
        <v>37</v>
      </c>
      <c r="S60" t="s">
        <v>43</v>
      </c>
    </row>
    <row r="61" spans="1:19" x14ac:dyDescent="0.25">
      <c r="A61" s="18"/>
      <c r="B61" s="18">
        <v>13072</v>
      </c>
      <c r="C61" s="19" t="s">
        <v>116</v>
      </c>
      <c r="D61" s="1" t="s">
        <v>34</v>
      </c>
      <c r="E61" s="20" t="s">
        <v>0</v>
      </c>
      <c r="F61" s="21">
        <v>32509</v>
      </c>
      <c r="G61" s="22">
        <v>45689</v>
      </c>
      <c r="H61" s="23" t="s">
        <v>31</v>
      </c>
      <c r="I61" s="18" t="s">
        <v>1</v>
      </c>
      <c r="J61" s="24"/>
      <c r="K61" s="17" t="s">
        <v>42</v>
      </c>
      <c r="L61" t="s">
        <v>38</v>
      </c>
      <c r="M61" t="s">
        <v>14</v>
      </c>
      <c r="N61" t="str">
        <f>_xlfn.CONCAT("https://api.bcb.gov.br/dados/serie/bcdata.sgs.",B61,"/dados?formato=json")</f>
        <v>https://api.bcb.gov.br/dados/serie/bcdata.sgs.13072/dados?formato=json</v>
      </c>
      <c r="O61">
        <v>4</v>
      </c>
      <c r="P61" t="s">
        <v>22</v>
      </c>
      <c r="Q61" t="s">
        <v>117</v>
      </c>
      <c r="R61" t="s">
        <v>35</v>
      </c>
      <c r="S61" t="s">
        <v>43</v>
      </c>
    </row>
    <row r="62" spans="1:19" x14ac:dyDescent="0.25">
      <c r="A62" s="18"/>
      <c r="B62" s="18">
        <v>13062</v>
      </c>
      <c r="C62" s="19" t="s">
        <v>118</v>
      </c>
      <c r="D62" s="1" t="s">
        <v>34</v>
      </c>
      <c r="E62" s="20" t="s">
        <v>0</v>
      </c>
      <c r="F62" s="21">
        <v>32509</v>
      </c>
      <c r="G62" s="22">
        <v>45689</v>
      </c>
      <c r="H62" s="23" t="s">
        <v>31</v>
      </c>
      <c r="I62" s="18" t="s">
        <v>1</v>
      </c>
      <c r="J62" s="24"/>
      <c r="K62" s="17" t="s">
        <v>42</v>
      </c>
      <c r="L62" t="s">
        <v>39</v>
      </c>
      <c r="M62" t="s">
        <v>14</v>
      </c>
      <c r="N62" t="str">
        <f t="shared" ref="N62:N63" si="20">_xlfn.CONCAT("https://api.bcb.gov.br/dados/serie/bcdata.sgs.",B62,"/dados?formato=json")</f>
        <v>https://api.bcb.gov.br/dados/serie/bcdata.sgs.13062/dados?formato=json</v>
      </c>
      <c r="O62">
        <v>4</v>
      </c>
      <c r="P62" t="s">
        <v>22</v>
      </c>
      <c r="Q62" t="s">
        <v>121</v>
      </c>
      <c r="R62" t="s">
        <v>36</v>
      </c>
      <c r="S62" t="s">
        <v>43</v>
      </c>
    </row>
    <row r="63" spans="1:19" x14ac:dyDescent="0.25">
      <c r="A63" s="25"/>
      <c r="B63" s="25">
        <v>13063</v>
      </c>
      <c r="C63" s="26" t="s">
        <v>119</v>
      </c>
      <c r="D63" s="1" t="s">
        <v>34</v>
      </c>
      <c r="E63" s="27" t="s">
        <v>0</v>
      </c>
      <c r="F63" s="28">
        <v>32509</v>
      </c>
      <c r="G63" s="29">
        <v>45689</v>
      </c>
      <c r="H63" s="30" t="s">
        <v>31</v>
      </c>
      <c r="I63" s="25" t="s">
        <v>1</v>
      </c>
      <c r="J63" s="31"/>
      <c r="K63" s="17" t="s">
        <v>42</v>
      </c>
      <c r="L63" t="s">
        <v>40</v>
      </c>
      <c r="M63" t="s">
        <v>14</v>
      </c>
      <c r="N63" t="str">
        <f t="shared" si="20"/>
        <v>https://api.bcb.gov.br/dados/serie/bcdata.sgs.13063/dados?formato=json</v>
      </c>
      <c r="O63">
        <v>4</v>
      </c>
      <c r="P63" t="s">
        <v>22</v>
      </c>
      <c r="Q63" t="s">
        <v>121</v>
      </c>
      <c r="R63" t="s">
        <v>37</v>
      </c>
      <c r="S63" t="s">
        <v>43</v>
      </c>
    </row>
    <row r="64" spans="1:19" x14ac:dyDescent="0.25">
      <c r="A64" s="18"/>
      <c r="B64" s="18">
        <v>13064</v>
      </c>
      <c r="C64" s="19" t="s">
        <v>120</v>
      </c>
      <c r="D64" s="1" t="s">
        <v>34</v>
      </c>
      <c r="E64" s="20" t="s">
        <v>0</v>
      </c>
      <c r="F64" s="21">
        <v>32509</v>
      </c>
      <c r="G64" s="22">
        <v>45689</v>
      </c>
      <c r="H64" s="23" t="s">
        <v>31</v>
      </c>
      <c r="I64" s="18" t="s">
        <v>1</v>
      </c>
      <c r="J64" s="24"/>
      <c r="K64" s="17" t="s">
        <v>42</v>
      </c>
      <c r="L64" t="s">
        <v>38</v>
      </c>
      <c r="M64" t="s">
        <v>14</v>
      </c>
      <c r="N64" t="str">
        <f>_xlfn.CONCAT("https://api.bcb.gov.br/dados/serie/bcdata.sgs.",B64,"/dados?formato=json")</f>
        <v>https://api.bcb.gov.br/dados/serie/bcdata.sgs.13064/dados?formato=json</v>
      </c>
      <c r="O64">
        <v>4</v>
      </c>
      <c r="P64" t="s">
        <v>22</v>
      </c>
      <c r="Q64" t="s">
        <v>121</v>
      </c>
      <c r="R64" t="s">
        <v>35</v>
      </c>
      <c r="S64" t="s">
        <v>43</v>
      </c>
    </row>
    <row r="65" spans="1:19" x14ac:dyDescent="0.25">
      <c r="A65" s="18"/>
      <c r="B65" s="18">
        <v>13065</v>
      </c>
      <c r="C65" s="19" t="s">
        <v>122</v>
      </c>
      <c r="D65" s="1" t="s">
        <v>34</v>
      </c>
      <c r="E65" s="20" t="s">
        <v>0</v>
      </c>
      <c r="F65" s="21">
        <v>32509</v>
      </c>
      <c r="G65" s="22">
        <v>45689</v>
      </c>
      <c r="H65" s="23" t="s">
        <v>31</v>
      </c>
      <c r="I65" s="18" t="s">
        <v>1</v>
      </c>
      <c r="J65" s="24"/>
      <c r="K65" s="17" t="s">
        <v>42</v>
      </c>
      <c r="L65" t="s">
        <v>39</v>
      </c>
      <c r="M65" t="s">
        <v>14</v>
      </c>
      <c r="N65" t="str">
        <f t="shared" ref="N65:N66" si="21">_xlfn.CONCAT("https://api.bcb.gov.br/dados/serie/bcdata.sgs.",B65,"/dados?formato=json")</f>
        <v>https://api.bcb.gov.br/dados/serie/bcdata.sgs.13065/dados?formato=json</v>
      </c>
      <c r="O65">
        <v>4</v>
      </c>
      <c r="P65" t="s">
        <v>22</v>
      </c>
      <c r="Q65" t="s">
        <v>125</v>
      </c>
      <c r="R65" t="s">
        <v>36</v>
      </c>
      <c r="S65" t="s">
        <v>43</v>
      </c>
    </row>
    <row r="66" spans="1:19" x14ac:dyDescent="0.25">
      <c r="A66" s="25"/>
      <c r="B66" s="25">
        <v>13067</v>
      </c>
      <c r="C66" s="26" t="s">
        <v>123</v>
      </c>
      <c r="D66" s="1" t="s">
        <v>34</v>
      </c>
      <c r="E66" s="27" t="s">
        <v>0</v>
      </c>
      <c r="F66" s="28">
        <v>32509</v>
      </c>
      <c r="G66" s="29">
        <v>45689</v>
      </c>
      <c r="H66" s="30" t="s">
        <v>31</v>
      </c>
      <c r="I66" s="25" t="s">
        <v>1</v>
      </c>
      <c r="J66" s="31"/>
      <c r="K66" s="17" t="s">
        <v>42</v>
      </c>
      <c r="L66" t="s">
        <v>40</v>
      </c>
      <c r="M66" t="s">
        <v>14</v>
      </c>
      <c r="N66" t="str">
        <f t="shared" si="21"/>
        <v>https://api.bcb.gov.br/dados/serie/bcdata.sgs.13067/dados?formato=json</v>
      </c>
      <c r="O66">
        <v>4</v>
      </c>
      <c r="P66" t="s">
        <v>22</v>
      </c>
      <c r="Q66" t="s">
        <v>125</v>
      </c>
      <c r="R66" t="s">
        <v>37</v>
      </c>
      <c r="S66" t="s">
        <v>43</v>
      </c>
    </row>
    <row r="67" spans="1:19" x14ac:dyDescent="0.25">
      <c r="A67" s="18"/>
      <c r="B67" s="18">
        <v>13068</v>
      </c>
      <c r="C67" s="19" t="s">
        <v>124</v>
      </c>
      <c r="D67" s="1" t="s">
        <v>34</v>
      </c>
      <c r="E67" s="20" t="s">
        <v>0</v>
      </c>
      <c r="F67" s="21">
        <v>32509</v>
      </c>
      <c r="G67" s="22">
        <v>45689</v>
      </c>
      <c r="H67" s="23" t="s">
        <v>31</v>
      </c>
      <c r="I67" s="18" t="s">
        <v>1</v>
      </c>
      <c r="J67" s="24"/>
      <c r="K67" s="17" t="s">
        <v>42</v>
      </c>
      <c r="L67" t="s">
        <v>38</v>
      </c>
      <c r="M67" t="s">
        <v>14</v>
      </c>
      <c r="N67" t="str">
        <f>_xlfn.CONCAT("https://api.bcb.gov.br/dados/serie/bcdata.sgs.",B67,"/dados?formato=json")</f>
        <v>https://api.bcb.gov.br/dados/serie/bcdata.sgs.13068/dados?formato=json</v>
      </c>
      <c r="O67">
        <v>4</v>
      </c>
      <c r="P67" t="s">
        <v>22</v>
      </c>
      <c r="Q67" t="s">
        <v>125</v>
      </c>
      <c r="R67" t="s">
        <v>35</v>
      </c>
      <c r="S67" t="s">
        <v>43</v>
      </c>
    </row>
    <row r="68" spans="1:19" x14ac:dyDescent="0.25">
      <c r="A68" s="18"/>
      <c r="B68" s="18">
        <v>13581</v>
      </c>
      <c r="C68" s="19" t="s">
        <v>126</v>
      </c>
      <c r="D68" s="1" t="s">
        <v>34</v>
      </c>
      <c r="E68" s="20" t="s">
        <v>0</v>
      </c>
      <c r="F68" s="21">
        <v>32509</v>
      </c>
      <c r="G68" s="22">
        <v>45689</v>
      </c>
      <c r="H68" s="23" t="s">
        <v>31</v>
      </c>
      <c r="I68" s="18" t="s">
        <v>1</v>
      </c>
      <c r="J68" s="24"/>
      <c r="K68" s="17" t="s">
        <v>42</v>
      </c>
      <c r="L68" t="s">
        <v>39</v>
      </c>
      <c r="M68" t="s">
        <v>14</v>
      </c>
      <c r="N68" t="str">
        <f t="shared" ref="N68:N69" si="22">_xlfn.CONCAT("https://api.bcb.gov.br/dados/serie/bcdata.sgs.",B68,"/dados?formato=json")</f>
        <v>https://api.bcb.gov.br/dados/serie/bcdata.sgs.13581/dados?formato=json</v>
      </c>
      <c r="O68">
        <v>4</v>
      </c>
      <c r="P68" t="s">
        <v>23</v>
      </c>
      <c r="Q68" t="s">
        <v>26</v>
      </c>
      <c r="R68" t="s">
        <v>36</v>
      </c>
      <c r="S68" t="s">
        <v>43</v>
      </c>
    </row>
    <row r="69" spans="1:19" x14ac:dyDescent="0.25">
      <c r="A69" s="25"/>
      <c r="B69" s="25">
        <v>13582</v>
      </c>
      <c r="C69" s="26" t="s">
        <v>127</v>
      </c>
      <c r="D69" s="1" t="s">
        <v>34</v>
      </c>
      <c r="E69" s="27" t="s">
        <v>0</v>
      </c>
      <c r="F69" s="28">
        <v>32509</v>
      </c>
      <c r="G69" s="29">
        <v>45689</v>
      </c>
      <c r="H69" s="30" t="s">
        <v>31</v>
      </c>
      <c r="I69" s="25" t="s">
        <v>1</v>
      </c>
      <c r="J69" s="31"/>
      <c r="K69" s="17" t="s">
        <v>42</v>
      </c>
      <c r="L69" t="s">
        <v>40</v>
      </c>
      <c r="M69" t="s">
        <v>14</v>
      </c>
      <c r="N69" t="str">
        <f t="shared" si="22"/>
        <v>https://api.bcb.gov.br/dados/serie/bcdata.sgs.13582/dados?formato=json</v>
      </c>
      <c r="O69">
        <v>4</v>
      </c>
      <c r="P69" t="s">
        <v>23</v>
      </c>
      <c r="Q69" t="s">
        <v>26</v>
      </c>
      <c r="R69" t="s">
        <v>37</v>
      </c>
      <c r="S69" t="s">
        <v>43</v>
      </c>
    </row>
    <row r="70" spans="1:19" x14ac:dyDescent="0.25">
      <c r="A70" s="18"/>
      <c r="B70" s="18">
        <v>13583</v>
      </c>
      <c r="C70" s="19" t="s">
        <v>128</v>
      </c>
      <c r="D70" s="1" t="s">
        <v>34</v>
      </c>
      <c r="E70" s="20" t="s">
        <v>0</v>
      </c>
      <c r="F70" s="21">
        <v>32509</v>
      </c>
      <c r="G70" s="22">
        <v>45689</v>
      </c>
      <c r="H70" s="23" t="s">
        <v>31</v>
      </c>
      <c r="I70" s="18" t="s">
        <v>1</v>
      </c>
      <c r="J70" s="24"/>
      <c r="K70" s="17" t="s">
        <v>42</v>
      </c>
      <c r="L70" t="s">
        <v>38</v>
      </c>
      <c r="M70" t="s">
        <v>14</v>
      </c>
      <c r="N70" t="str">
        <f>_xlfn.CONCAT("https://api.bcb.gov.br/dados/serie/bcdata.sgs.",B70,"/dados?formato=json")</f>
        <v>https://api.bcb.gov.br/dados/serie/bcdata.sgs.13583/dados?formato=json</v>
      </c>
      <c r="O70">
        <v>4</v>
      </c>
      <c r="P70" t="s">
        <v>23</v>
      </c>
      <c r="Q70" t="s">
        <v>26</v>
      </c>
      <c r="R70" t="s">
        <v>35</v>
      </c>
      <c r="S70" t="s">
        <v>43</v>
      </c>
    </row>
    <row r="71" spans="1:19" x14ac:dyDescent="0.25">
      <c r="A71" s="18"/>
      <c r="B71" s="18">
        <v>13386</v>
      </c>
      <c r="C71" s="19" t="s">
        <v>129</v>
      </c>
      <c r="D71" s="1" t="s">
        <v>34</v>
      </c>
      <c r="E71" s="20" t="s">
        <v>0</v>
      </c>
      <c r="F71" s="21">
        <v>32509</v>
      </c>
      <c r="G71" s="22">
        <v>45689</v>
      </c>
      <c r="H71" s="23" t="s">
        <v>31</v>
      </c>
      <c r="I71" s="18" t="s">
        <v>1</v>
      </c>
      <c r="J71" s="24"/>
      <c r="K71" s="17" t="s">
        <v>42</v>
      </c>
      <c r="L71" t="s">
        <v>39</v>
      </c>
      <c r="M71" t="s">
        <v>14</v>
      </c>
      <c r="N71" t="str">
        <f t="shared" ref="N71:N72" si="23">_xlfn.CONCAT("https://api.bcb.gov.br/dados/serie/bcdata.sgs.",B71,"/dados?formato=json")</f>
        <v>https://api.bcb.gov.br/dados/serie/bcdata.sgs.13386/dados?formato=json</v>
      </c>
      <c r="O71">
        <v>4</v>
      </c>
      <c r="P71" t="s">
        <v>22</v>
      </c>
      <c r="Q71" t="s">
        <v>132</v>
      </c>
      <c r="R71" t="s">
        <v>36</v>
      </c>
      <c r="S71" t="s">
        <v>43</v>
      </c>
    </row>
    <row r="72" spans="1:19" x14ac:dyDescent="0.25">
      <c r="A72" s="25"/>
      <c r="B72" s="25">
        <v>13387</v>
      </c>
      <c r="C72" s="26" t="s">
        <v>130</v>
      </c>
      <c r="D72" s="1" t="s">
        <v>34</v>
      </c>
      <c r="E72" s="27" t="s">
        <v>0</v>
      </c>
      <c r="F72" s="28">
        <v>32509</v>
      </c>
      <c r="G72" s="29">
        <v>45689</v>
      </c>
      <c r="H72" s="30" t="s">
        <v>31</v>
      </c>
      <c r="I72" s="25" t="s">
        <v>1</v>
      </c>
      <c r="J72" s="31"/>
      <c r="K72" s="17" t="s">
        <v>42</v>
      </c>
      <c r="L72" t="s">
        <v>40</v>
      </c>
      <c r="M72" t="s">
        <v>14</v>
      </c>
      <c r="N72" t="str">
        <f t="shared" si="23"/>
        <v>https://api.bcb.gov.br/dados/serie/bcdata.sgs.13387/dados?formato=json</v>
      </c>
      <c r="O72">
        <v>4</v>
      </c>
      <c r="P72" t="s">
        <v>22</v>
      </c>
      <c r="Q72" t="s">
        <v>132</v>
      </c>
      <c r="R72" t="s">
        <v>37</v>
      </c>
      <c r="S72" t="s">
        <v>43</v>
      </c>
    </row>
    <row r="73" spans="1:19" x14ac:dyDescent="0.25">
      <c r="A73" s="18"/>
      <c r="B73" s="18">
        <v>13388</v>
      </c>
      <c r="C73" s="19" t="s">
        <v>131</v>
      </c>
      <c r="D73" s="1" t="s">
        <v>34</v>
      </c>
      <c r="E73" s="20" t="s">
        <v>0</v>
      </c>
      <c r="F73" s="21">
        <v>32509</v>
      </c>
      <c r="G73" s="22">
        <v>45689</v>
      </c>
      <c r="H73" s="23" t="s">
        <v>31</v>
      </c>
      <c r="I73" s="18" t="s">
        <v>1</v>
      </c>
      <c r="J73" s="24"/>
      <c r="K73" s="17" t="s">
        <v>42</v>
      </c>
      <c r="L73" t="s">
        <v>38</v>
      </c>
      <c r="M73" t="s">
        <v>14</v>
      </c>
      <c r="N73" t="str">
        <f>_xlfn.CONCAT("https://api.bcb.gov.br/dados/serie/bcdata.sgs.",B73,"/dados?formato=json")</f>
        <v>https://api.bcb.gov.br/dados/serie/bcdata.sgs.13388/dados?formato=json</v>
      </c>
      <c r="O73">
        <v>4</v>
      </c>
      <c r="P73" t="s">
        <v>22</v>
      </c>
      <c r="Q73" t="s">
        <v>132</v>
      </c>
      <c r="R73" t="s">
        <v>35</v>
      </c>
      <c r="S73" t="s">
        <v>43</v>
      </c>
    </row>
    <row r="74" spans="1:19" x14ac:dyDescent="0.25">
      <c r="A74" s="18"/>
      <c r="B74" s="18">
        <v>13026</v>
      </c>
      <c r="C74" s="19" t="s">
        <v>133</v>
      </c>
      <c r="D74" s="1" t="s">
        <v>34</v>
      </c>
      <c r="E74" s="20" t="s">
        <v>0</v>
      </c>
      <c r="F74" s="21">
        <v>32509</v>
      </c>
      <c r="G74" s="22">
        <v>45689</v>
      </c>
      <c r="H74" s="23" t="s">
        <v>31</v>
      </c>
      <c r="I74" s="18" t="s">
        <v>1</v>
      </c>
      <c r="J74" s="24"/>
      <c r="K74" s="17" t="s">
        <v>42</v>
      </c>
      <c r="L74" t="s">
        <v>39</v>
      </c>
      <c r="M74" t="s">
        <v>14</v>
      </c>
      <c r="N74" t="str">
        <f t="shared" ref="N74:N75" si="24">_xlfn.CONCAT("https://api.bcb.gov.br/dados/serie/bcdata.sgs.",B74,"/dados?formato=json")</f>
        <v>https://api.bcb.gov.br/dados/serie/bcdata.sgs.13026/dados?formato=json</v>
      </c>
      <c r="O74">
        <v>4</v>
      </c>
      <c r="P74" t="s">
        <v>22</v>
      </c>
      <c r="Q74" t="s">
        <v>136</v>
      </c>
      <c r="R74" t="s">
        <v>36</v>
      </c>
      <c r="S74" t="s">
        <v>43</v>
      </c>
    </row>
    <row r="75" spans="1:19" x14ac:dyDescent="0.25">
      <c r="A75" s="25"/>
      <c r="B75" s="25">
        <v>13028</v>
      </c>
      <c r="C75" s="26" t="s">
        <v>134</v>
      </c>
      <c r="D75" s="1" t="s">
        <v>34</v>
      </c>
      <c r="E75" s="27" t="s">
        <v>0</v>
      </c>
      <c r="F75" s="28">
        <v>32509</v>
      </c>
      <c r="G75" s="29">
        <v>45689</v>
      </c>
      <c r="H75" s="30" t="s">
        <v>31</v>
      </c>
      <c r="I75" s="25" t="s">
        <v>1</v>
      </c>
      <c r="J75" s="31"/>
      <c r="K75" s="17" t="s">
        <v>42</v>
      </c>
      <c r="L75" t="s">
        <v>40</v>
      </c>
      <c r="M75" t="s">
        <v>14</v>
      </c>
      <c r="N75" t="str">
        <f t="shared" si="24"/>
        <v>https://api.bcb.gov.br/dados/serie/bcdata.sgs.13028/dados?formato=json</v>
      </c>
      <c r="O75">
        <v>4</v>
      </c>
      <c r="P75" t="s">
        <v>22</v>
      </c>
      <c r="Q75" t="s">
        <v>136</v>
      </c>
      <c r="R75" t="s">
        <v>37</v>
      </c>
      <c r="S75" t="s">
        <v>43</v>
      </c>
    </row>
    <row r="76" spans="1:19" x14ac:dyDescent="0.25">
      <c r="A76" s="18"/>
      <c r="B76" s="18">
        <v>13029</v>
      </c>
      <c r="C76" s="19" t="s">
        <v>135</v>
      </c>
      <c r="D76" s="1" t="s">
        <v>34</v>
      </c>
      <c r="E76" s="20" t="s">
        <v>0</v>
      </c>
      <c r="F76" s="21">
        <v>32509</v>
      </c>
      <c r="G76" s="22">
        <v>45689</v>
      </c>
      <c r="H76" s="23" t="s">
        <v>31</v>
      </c>
      <c r="I76" s="18" t="s">
        <v>1</v>
      </c>
      <c r="J76" s="24"/>
      <c r="K76" s="17" t="s">
        <v>42</v>
      </c>
      <c r="L76" t="s">
        <v>38</v>
      </c>
      <c r="M76" t="s">
        <v>14</v>
      </c>
      <c r="N76" t="str">
        <f>_xlfn.CONCAT("https://api.bcb.gov.br/dados/serie/bcdata.sgs.",B76,"/dados?formato=json")</f>
        <v>https://api.bcb.gov.br/dados/serie/bcdata.sgs.13029/dados?formato=json</v>
      </c>
      <c r="O76">
        <v>4</v>
      </c>
      <c r="P76" t="s">
        <v>22</v>
      </c>
      <c r="Q76" t="s">
        <v>136</v>
      </c>
      <c r="R76" t="s">
        <v>35</v>
      </c>
      <c r="S76" t="s">
        <v>43</v>
      </c>
    </row>
    <row r="77" spans="1:19" x14ac:dyDescent="0.25">
      <c r="A77" s="18"/>
      <c r="B77" s="18">
        <v>13383</v>
      </c>
      <c r="C77" s="19" t="s">
        <v>137</v>
      </c>
      <c r="D77" s="1" t="s">
        <v>34</v>
      </c>
      <c r="E77" s="20" t="s">
        <v>0</v>
      </c>
      <c r="F77" s="21">
        <v>32509</v>
      </c>
      <c r="G77" s="22">
        <v>45689</v>
      </c>
      <c r="H77" s="23" t="s">
        <v>31</v>
      </c>
      <c r="I77" s="18" t="s">
        <v>1</v>
      </c>
      <c r="J77" s="24"/>
      <c r="K77" s="17" t="s">
        <v>42</v>
      </c>
      <c r="L77" t="s">
        <v>39</v>
      </c>
      <c r="M77" t="s">
        <v>14</v>
      </c>
      <c r="N77" t="str">
        <f t="shared" ref="N77:N78" si="25">_xlfn.CONCAT("https://api.bcb.gov.br/dados/serie/bcdata.sgs.",B77,"/dados?formato=json")</f>
        <v>https://api.bcb.gov.br/dados/serie/bcdata.sgs.13383/dados?formato=json</v>
      </c>
      <c r="O77">
        <v>4</v>
      </c>
      <c r="P77" t="s">
        <v>22</v>
      </c>
      <c r="Q77" t="s">
        <v>140</v>
      </c>
      <c r="R77" t="s">
        <v>36</v>
      </c>
      <c r="S77" t="s">
        <v>43</v>
      </c>
    </row>
    <row r="78" spans="1:19" x14ac:dyDescent="0.25">
      <c r="A78" s="25"/>
      <c r="B78" s="25">
        <v>13384</v>
      </c>
      <c r="C78" s="26" t="s">
        <v>138</v>
      </c>
      <c r="D78" s="1" t="s">
        <v>34</v>
      </c>
      <c r="E78" s="27" t="s">
        <v>0</v>
      </c>
      <c r="F78" s="28">
        <v>32509</v>
      </c>
      <c r="G78" s="29">
        <v>45689</v>
      </c>
      <c r="H78" s="30" t="s">
        <v>31</v>
      </c>
      <c r="I78" s="25" t="s">
        <v>1</v>
      </c>
      <c r="J78" s="31"/>
      <c r="K78" s="17" t="s">
        <v>42</v>
      </c>
      <c r="L78" t="s">
        <v>40</v>
      </c>
      <c r="M78" t="s">
        <v>14</v>
      </c>
      <c r="N78" t="str">
        <f t="shared" si="25"/>
        <v>https://api.bcb.gov.br/dados/serie/bcdata.sgs.13384/dados?formato=json</v>
      </c>
      <c r="O78">
        <v>4</v>
      </c>
      <c r="P78" t="s">
        <v>22</v>
      </c>
      <c r="Q78" t="s">
        <v>140</v>
      </c>
      <c r="R78" t="s">
        <v>37</v>
      </c>
      <c r="S78" t="s">
        <v>43</v>
      </c>
    </row>
    <row r="79" spans="1:19" x14ac:dyDescent="0.25">
      <c r="A79" s="18"/>
      <c r="B79" s="18">
        <v>13385</v>
      </c>
      <c r="C79" s="19" t="s">
        <v>139</v>
      </c>
      <c r="D79" s="1" t="s">
        <v>34</v>
      </c>
      <c r="E79" s="20" t="s">
        <v>0</v>
      </c>
      <c r="F79" s="21">
        <v>32509</v>
      </c>
      <c r="G79" s="22">
        <v>45689</v>
      </c>
      <c r="H79" s="23" t="s">
        <v>31</v>
      </c>
      <c r="I79" s="18" t="s">
        <v>1</v>
      </c>
      <c r="J79" s="24"/>
      <c r="K79" s="17" t="s">
        <v>42</v>
      </c>
      <c r="L79" t="s">
        <v>38</v>
      </c>
      <c r="M79" t="s">
        <v>14</v>
      </c>
      <c r="N79" t="str">
        <f>_xlfn.CONCAT("https://api.bcb.gov.br/dados/serie/bcdata.sgs.",B79,"/dados?formato=json")</f>
        <v>https://api.bcb.gov.br/dados/serie/bcdata.sgs.13385/dados?formato=json</v>
      </c>
      <c r="O79">
        <v>4</v>
      </c>
      <c r="P79" t="s">
        <v>22</v>
      </c>
      <c r="Q79" t="s">
        <v>140</v>
      </c>
      <c r="R79" t="s">
        <v>35</v>
      </c>
      <c r="S79" t="s">
        <v>43</v>
      </c>
    </row>
    <row r="80" spans="1:19" x14ac:dyDescent="0.25">
      <c r="A80" s="18"/>
      <c r="B80" s="18">
        <v>13021</v>
      </c>
      <c r="C80" s="19" t="s">
        <v>141</v>
      </c>
      <c r="D80" s="1" t="s">
        <v>34</v>
      </c>
      <c r="E80" s="20" t="s">
        <v>0</v>
      </c>
      <c r="F80" s="21">
        <v>32509</v>
      </c>
      <c r="G80" s="22">
        <v>45689</v>
      </c>
      <c r="H80" s="23" t="s">
        <v>31</v>
      </c>
      <c r="I80" s="18" t="s">
        <v>1</v>
      </c>
      <c r="J80" s="24"/>
      <c r="K80" s="17" t="s">
        <v>42</v>
      </c>
      <c r="L80" t="s">
        <v>39</v>
      </c>
      <c r="M80" t="s">
        <v>14</v>
      </c>
      <c r="N80" t="str">
        <f t="shared" ref="N80:N81" si="26">_xlfn.CONCAT("https://api.bcb.gov.br/dados/serie/bcdata.sgs.",B80,"/dados?formato=json")</f>
        <v>https://api.bcb.gov.br/dados/serie/bcdata.sgs.13021/dados?formato=json</v>
      </c>
      <c r="O80">
        <v>4</v>
      </c>
      <c r="P80" t="s">
        <v>22</v>
      </c>
      <c r="Q80" t="s">
        <v>144</v>
      </c>
      <c r="R80" t="s">
        <v>36</v>
      </c>
      <c r="S80" t="s">
        <v>43</v>
      </c>
    </row>
    <row r="81" spans="1:19" x14ac:dyDescent="0.25">
      <c r="A81" s="25"/>
      <c r="B81" s="25">
        <v>13022</v>
      </c>
      <c r="C81" s="26" t="s">
        <v>142</v>
      </c>
      <c r="D81" s="1" t="s">
        <v>34</v>
      </c>
      <c r="E81" s="27" t="s">
        <v>0</v>
      </c>
      <c r="F81" s="28">
        <v>32509</v>
      </c>
      <c r="G81" s="29">
        <v>45689</v>
      </c>
      <c r="H81" s="30" t="s">
        <v>31</v>
      </c>
      <c r="I81" s="25" t="s">
        <v>1</v>
      </c>
      <c r="J81" s="31"/>
      <c r="K81" s="17" t="s">
        <v>42</v>
      </c>
      <c r="L81" t="s">
        <v>40</v>
      </c>
      <c r="M81" t="s">
        <v>14</v>
      </c>
      <c r="N81" t="str">
        <f t="shared" si="26"/>
        <v>https://api.bcb.gov.br/dados/serie/bcdata.sgs.13022/dados?formato=json</v>
      </c>
      <c r="O81">
        <v>4</v>
      </c>
      <c r="P81" t="s">
        <v>22</v>
      </c>
      <c r="Q81" t="s">
        <v>144</v>
      </c>
      <c r="R81" t="s">
        <v>37</v>
      </c>
      <c r="S81" t="s">
        <v>43</v>
      </c>
    </row>
    <row r="82" spans="1:19" x14ac:dyDescent="0.25">
      <c r="A82" s="18"/>
      <c r="B82" s="18">
        <v>13023</v>
      </c>
      <c r="C82" s="19" t="s">
        <v>143</v>
      </c>
      <c r="D82" s="1" t="s">
        <v>34</v>
      </c>
      <c r="E82" s="20" t="s">
        <v>0</v>
      </c>
      <c r="F82" s="21">
        <v>32509</v>
      </c>
      <c r="G82" s="22">
        <v>45689</v>
      </c>
      <c r="H82" s="23" t="s">
        <v>31</v>
      </c>
      <c r="I82" s="18" t="s">
        <v>1</v>
      </c>
      <c r="J82" s="24"/>
      <c r="K82" s="17" t="s">
        <v>42</v>
      </c>
      <c r="L82" t="s">
        <v>38</v>
      </c>
      <c r="M82" t="s">
        <v>14</v>
      </c>
      <c r="N82" t="str">
        <f>_xlfn.CONCAT("https://api.bcb.gov.br/dados/serie/bcdata.sgs.",B82,"/dados?formato=json")</f>
        <v>https://api.bcb.gov.br/dados/serie/bcdata.sgs.13023/dados?formato=json</v>
      </c>
      <c r="O82">
        <v>4</v>
      </c>
      <c r="P82" t="s">
        <v>22</v>
      </c>
      <c r="Q82" t="s">
        <v>144</v>
      </c>
      <c r="R82" t="s">
        <v>35</v>
      </c>
      <c r="S82" t="s">
        <v>43</v>
      </c>
    </row>
    <row r="83" spans="1:19" x14ac:dyDescent="0.25">
      <c r="A83" s="18"/>
      <c r="B83" s="18">
        <v>13575</v>
      </c>
      <c r="C83" s="19" t="s">
        <v>145</v>
      </c>
      <c r="D83" s="1" t="s">
        <v>34</v>
      </c>
      <c r="E83" s="20" t="s">
        <v>0</v>
      </c>
      <c r="F83" s="21">
        <v>32509</v>
      </c>
      <c r="G83" s="22">
        <v>45689</v>
      </c>
      <c r="H83" s="23" t="s">
        <v>31</v>
      </c>
      <c r="I83" s="18" t="s">
        <v>1</v>
      </c>
      <c r="J83" s="24"/>
      <c r="K83" s="17" t="s">
        <v>42</v>
      </c>
      <c r="L83" t="s">
        <v>39</v>
      </c>
      <c r="M83" t="s">
        <v>14</v>
      </c>
      <c r="N83" t="str">
        <f t="shared" ref="N83:N84" si="27">_xlfn.CONCAT("https://api.bcb.gov.br/dados/serie/bcdata.sgs.",B83,"/dados?formato=json")</f>
        <v>https://api.bcb.gov.br/dados/serie/bcdata.sgs.13575/dados?formato=json</v>
      </c>
      <c r="O83">
        <v>4</v>
      </c>
      <c r="P83" t="s">
        <v>23</v>
      </c>
      <c r="Q83" t="s">
        <v>27</v>
      </c>
      <c r="R83" t="s">
        <v>36</v>
      </c>
      <c r="S83" t="s">
        <v>43</v>
      </c>
    </row>
    <row r="84" spans="1:19" x14ac:dyDescent="0.25">
      <c r="A84" s="25"/>
      <c r="B84" s="25">
        <v>13576</v>
      </c>
      <c r="C84" s="26" t="s">
        <v>146</v>
      </c>
      <c r="D84" s="1" t="s">
        <v>34</v>
      </c>
      <c r="E84" s="27" t="s">
        <v>0</v>
      </c>
      <c r="F84" s="28">
        <v>32509</v>
      </c>
      <c r="G84" s="29">
        <v>45689</v>
      </c>
      <c r="H84" s="30" t="s">
        <v>31</v>
      </c>
      <c r="I84" s="25" t="s">
        <v>1</v>
      </c>
      <c r="J84" s="31"/>
      <c r="K84" s="17" t="s">
        <v>42</v>
      </c>
      <c r="L84" t="s">
        <v>40</v>
      </c>
      <c r="M84" t="s">
        <v>14</v>
      </c>
      <c r="N84" t="str">
        <f t="shared" si="27"/>
        <v>https://api.bcb.gov.br/dados/serie/bcdata.sgs.13576/dados?formato=json</v>
      </c>
      <c r="O84">
        <v>4</v>
      </c>
      <c r="P84" t="s">
        <v>23</v>
      </c>
      <c r="Q84" t="s">
        <v>27</v>
      </c>
      <c r="R84" t="s">
        <v>37</v>
      </c>
      <c r="S84" t="s">
        <v>43</v>
      </c>
    </row>
    <row r="85" spans="1:19" x14ac:dyDescent="0.25">
      <c r="A85" s="18"/>
      <c r="B85" s="18">
        <v>13577</v>
      </c>
      <c r="C85" s="19" t="s">
        <v>147</v>
      </c>
      <c r="D85" s="1" t="s">
        <v>34</v>
      </c>
      <c r="E85" s="20" t="s">
        <v>0</v>
      </c>
      <c r="F85" s="21">
        <v>32509</v>
      </c>
      <c r="G85" s="22">
        <v>45689</v>
      </c>
      <c r="H85" s="23" t="s">
        <v>31</v>
      </c>
      <c r="I85" s="18" t="s">
        <v>1</v>
      </c>
      <c r="J85" s="24"/>
      <c r="K85" s="17" t="s">
        <v>42</v>
      </c>
      <c r="L85" t="s">
        <v>38</v>
      </c>
      <c r="M85" t="s">
        <v>14</v>
      </c>
      <c r="N85" t="str">
        <f>_xlfn.CONCAT("https://api.bcb.gov.br/dados/serie/bcdata.sgs.",B85,"/dados?formato=json")</f>
        <v>https://api.bcb.gov.br/dados/serie/bcdata.sgs.13577/dados?formato=json</v>
      </c>
      <c r="O85">
        <v>4</v>
      </c>
      <c r="P85" t="s">
        <v>23</v>
      </c>
      <c r="Q85" t="s">
        <v>27</v>
      </c>
      <c r="R85" t="s">
        <v>35</v>
      </c>
      <c r="S85" t="s">
        <v>43</v>
      </c>
    </row>
    <row r="86" spans="1:19" x14ac:dyDescent="0.25">
      <c r="A86" s="18"/>
      <c r="B86" s="18">
        <v>13081</v>
      </c>
      <c r="C86" s="19" t="s">
        <v>148</v>
      </c>
      <c r="D86" s="1" t="s">
        <v>34</v>
      </c>
      <c r="E86" s="20" t="s">
        <v>0</v>
      </c>
      <c r="F86" s="21">
        <v>32509</v>
      </c>
      <c r="G86" s="22">
        <v>45689</v>
      </c>
      <c r="H86" s="23" t="s">
        <v>31</v>
      </c>
      <c r="I86" s="18" t="s">
        <v>1</v>
      </c>
      <c r="J86" s="24"/>
      <c r="K86" s="17" t="s">
        <v>42</v>
      </c>
      <c r="L86" t="s">
        <v>39</v>
      </c>
      <c r="M86" t="s">
        <v>14</v>
      </c>
      <c r="N86" t="str">
        <f t="shared" ref="N86:N87" si="28">_xlfn.CONCAT("https://api.bcb.gov.br/dados/serie/bcdata.sgs.",B86,"/dados?formato=json")</f>
        <v>https://api.bcb.gov.br/dados/serie/bcdata.sgs.13081/dados?formato=json</v>
      </c>
      <c r="O86">
        <v>4</v>
      </c>
      <c r="P86" t="s">
        <v>22</v>
      </c>
      <c r="Q86" t="s">
        <v>151</v>
      </c>
      <c r="R86" t="s">
        <v>36</v>
      </c>
      <c r="S86" t="s">
        <v>43</v>
      </c>
    </row>
    <row r="87" spans="1:19" x14ac:dyDescent="0.25">
      <c r="A87" s="25"/>
      <c r="B87" s="25">
        <v>13082</v>
      </c>
      <c r="C87" s="26" t="s">
        <v>149</v>
      </c>
      <c r="D87" s="1" t="s">
        <v>34</v>
      </c>
      <c r="E87" s="27" t="s">
        <v>0</v>
      </c>
      <c r="F87" s="28">
        <v>32509</v>
      </c>
      <c r="G87" s="29">
        <v>45689</v>
      </c>
      <c r="H87" s="30" t="s">
        <v>31</v>
      </c>
      <c r="I87" s="25" t="s">
        <v>1</v>
      </c>
      <c r="J87" s="31"/>
      <c r="K87" s="17" t="s">
        <v>42</v>
      </c>
      <c r="L87" t="s">
        <v>40</v>
      </c>
      <c r="M87" t="s">
        <v>14</v>
      </c>
      <c r="N87" t="str">
        <f t="shared" si="28"/>
        <v>https://api.bcb.gov.br/dados/serie/bcdata.sgs.13082/dados?formato=json</v>
      </c>
      <c r="O87">
        <v>4</v>
      </c>
      <c r="P87" t="s">
        <v>22</v>
      </c>
      <c r="Q87" t="s">
        <v>151</v>
      </c>
      <c r="R87" t="s">
        <v>37</v>
      </c>
      <c r="S87" t="s">
        <v>43</v>
      </c>
    </row>
    <row r="88" spans="1:19" x14ac:dyDescent="0.25">
      <c r="A88" s="18"/>
      <c r="B88" s="18">
        <v>13083</v>
      </c>
      <c r="C88" s="19" t="s">
        <v>150</v>
      </c>
      <c r="D88" s="1" t="s">
        <v>34</v>
      </c>
      <c r="E88" s="20" t="s">
        <v>0</v>
      </c>
      <c r="F88" s="21">
        <v>32509</v>
      </c>
      <c r="G88" s="22">
        <v>45689</v>
      </c>
      <c r="H88" s="23" t="s">
        <v>31</v>
      </c>
      <c r="I88" s="18" t="s">
        <v>1</v>
      </c>
      <c r="J88" s="24"/>
      <c r="K88" s="17" t="s">
        <v>42</v>
      </c>
      <c r="L88" t="s">
        <v>38</v>
      </c>
      <c r="M88" t="s">
        <v>14</v>
      </c>
      <c r="N88" t="str">
        <f>_xlfn.CONCAT("https://api.bcb.gov.br/dados/serie/bcdata.sgs.",B88,"/dados?formato=json")</f>
        <v>https://api.bcb.gov.br/dados/serie/bcdata.sgs.13083/dados?formato=json</v>
      </c>
      <c r="O88">
        <v>4</v>
      </c>
      <c r="P88" t="s">
        <v>22</v>
      </c>
      <c r="Q88" t="s">
        <v>151</v>
      </c>
      <c r="R88" t="s">
        <v>35</v>
      </c>
      <c r="S88" t="s">
        <v>43</v>
      </c>
    </row>
    <row r="89" spans="1:19" x14ac:dyDescent="0.25">
      <c r="A89" s="18"/>
      <c r="B89" s="18">
        <v>13073</v>
      </c>
      <c r="C89" s="19" t="s">
        <v>152</v>
      </c>
      <c r="D89" s="1" t="s">
        <v>34</v>
      </c>
      <c r="E89" s="20" t="s">
        <v>0</v>
      </c>
      <c r="F89" s="21">
        <v>32509</v>
      </c>
      <c r="G89" s="22">
        <v>45689</v>
      </c>
      <c r="H89" s="23" t="s">
        <v>31</v>
      </c>
      <c r="I89" s="18" t="s">
        <v>1</v>
      </c>
      <c r="J89" s="24"/>
      <c r="K89" s="17" t="s">
        <v>42</v>
      </c>
      <c r="L89" t="s">
        <v>39</v>
      </c>
      <c r="M89" t="s">
        <v>14</v>
      </c>
      <c r="N89" t="str">
        <f t="shared" ref="N89:N90" si="29">_xlfn.CONCAT("https://api.bcb.gov.br/dados/serie/bcdata.sgs.",B89,"/dados?formato=json")</f>
        <v>https://api.bcb.gov.br/dados/serie/bcdata.sgs.13073/dados?formato=json</v>
      </c>
      <c r="O89">
        <v>4</v>
      </c>
      <c r="P89" t="s">
        <v>22</v>
      </c>
      <c r="Q89" t="s">
        <v>155</v>
      </c>
      <c r="R89" t="s">
        <v>36</v>
      </c>
      <c r="S89" t="s">
        <v>43</v>
      </c>
    </row>
    <row r="90" spans="1:19" x14ac:dyDescent="0.25">
      <c r="A90" s="25"/>
      <c r="B90" s="25">
        <v>13074</v>
      </c>
      <c r="C90" s="26" t="s">
        <v>153</v>
      </c>
      <c r="D90" s="1" t="s">
        <v>34</v>
      </c>
      <c r="E90" s="27" t="s">
        <v>0</v>
      </c>
      <c r="F90" s="28">
        <v>32509</v>
      </c>
      <c r="G90" s="29">
        <v>45689</v>
      </c>
      <c r="H90" s="30" t="s">
        <v>31</v>
      </c>
      <c r="I90" s="25" t="s">
        <v>1</v>
      </c>
      <c r="J90" s="31"/>
      <c r="K90" s="17" t="s">
        <v>42</v>
      </c>
      <c r="L90" t="s">
        <v>40</v>
      </c>
      <c r="M90" t="s">
        <v>14</v>
      </c>
      <c r="N90" t="str">
        <f t="shared" si="29"/>
        <v>https://api.bcb.gov.br/dados/serie/bcdata.sgs.13074/dados?formato=json</v>
      </c>
      <c r="O90">
        <v>4</v>
      </c>
      <c r="P90" t="s">
        <v>22</v>
      </c>
      <c r="Q90" t="s">
        <v>155</v>
      </c>
      <c r="R90" t="s">
        <v>37</v>
      </c>
      <c r="S90" t="s">
        <v>43</v>
      </c>
    </row>
    <row r="91" spans="1:19" x14ac:dyDescent="0.25">
      <c r="A91" s="18"/>
      <c r="B91" s="18">
        <v>13075</v>
      </c>
      <c r="C91" s="19" t="s">
        <v>154</v>
      </c>
      <c r="D91" s="1" t="s">
        <v>34</v>
      </c>
      <c r="E91" s="20" t="s">
        <v>0</v>
      </c>
      <c r="F91" s="21">
        <v>32509</v>
      </c>
      <c r="G91" s="22">
        <v>45689</v>
      </c>
      <c r="H91" s="23" t="s">
        <v>31</v>
      </c>
      <c r="I91" s="18" t="s">
        <v>1</v>
      </c>
      <c r="J91" s="24"/>
      <c r="K91" s="17" t="s">
        <v>42</v>
      </c>
      <c r="L91" t="s">
        <v>38</v>
      </c>
      <c r="M91" t="s">
        <v>14</v>
      </c>
      <c r="N91" t="str">
        <f>_xlfn.CONCAT("https://api.bcb.gov.br/dados/serie/bcdata.sgs.",B91,"/dados?formato=json")</f>
        <v>https://api.bcb.gov.br/dados/serie/bcdata.sgs.13075/dados?formato=json</v>
      </c>
      <c r="O91">
        <v>4</v>
      </c>
      <c r="P91" t="s">
        <v>22</v>
      </c>
      <c r="Q91" t="s">
        <v>155</v>
      </c>
      <c r="R91" t="s">
        <v>35</v>
      </c>
      <c r="S91" t="s">
        <v>43</v>
      </c>
    </row>
    <row r="92" spans="1:19" x14ac:dyDescent="0.25">
      <c r="A92" s="18"/>
      <c r="B92" s="18">
        <v>13078</v>
      </c>
      <c r="C92" s="19" t="s">
        <v>156</v>
      </c>
      <c r="D92" s="1" t="s">
        <v>34</v>
      </c>
      <c r="E92" s="20" t="s">
        <v>0</v>
      </c>
      <c r="F92" s="21">
        <v>32509</v>
      </c>
      <c r="G92" s="22">
        <v>45689</v>
      </c>
      <c r="H92" s="23" t="s">
        <v>31</v>
      </c>
      <c r="I92" s="18" t="s">
        <v>1</v>
      </c>
      <c r="J92" s="24"/>
      <c r="K92" s="17" t="s">
        <v>42</v>
      </c>
      <c r="L92" t="s">
        <v>39</v>
      </c>
      <c r="M92" t="s">
        <v>14</v>
      </c>
      <c r="N92" t="str">
        <f t="shared" ref="N92:N93" si="30">_xlfn.CONCAT("https://api.bcb.gov.br/dados/serie/bcdata.sgs.",B92,"/dados?formato=json")</f>
        <v>https://api.bcb.gov.br/dados/serie/bcdata.sgs.13078/dados?formato=json</v>
      </c>
      <c r="O92">
        <v>4</v>
      </c>
      <c r="P92" t="s">
        <v>22</v>
      </c>
      <c r="Q92" t="s">
        <v>159</v>
      </c>
      <c r="R92" t="s">
        <v>36</v>
      </c>
      <c r="S92" t="s">
        <v>43</v>
      </c>
    </row>
    <row r="93" spans="1:19" x14ac:dyDescent="0.25">
      <c r="A93" s="25"/>
      <c r="B93" s="25">
        <v>13079</v>
      </c>
      <c r="C93" s="26" t="s">
        <v>157</v>
      </c>
      <c r="D93" s="1" t="s">
        <v>34</v>
      </c>
      <c r="E93" s="27" t="s">
        <v>0</v>
      </c>
      <c r="F93" s="28">
        <v>32509</v>
      </c>
      <c r="G93" s="29">
        <v>45689</v>
      </c>
      <c r="H93" s="30" t="s">
        <v>31</v>
      </c>
      <c r="I93" s="25" t="s">
        <v>1</v>
      </c>
      <c r="J93" s="31"/>
      <c r="K93" s="17" t="s">
        <v>42</v>
      </c>
      <c r="L93" t="s">
        <v>40</v>
      </c>
      <c r="M93" t="s">
        <v>14</v>
      </c>
      <c r="N93" t="str">
        <f t="shared" si="30"/>
        <v>https://api.bcb.gov.br/dados/serie/bcdata.sgs.13079/dados?formato=json</v>
      </c>
      <c r="O93">
        <v>4</v>
      </c>
      <c r="P93" t="s">
        <v>22</v>
      </c>
      <c r="Q93" t="s">
        <v>159</v>
      </c>
      <c r="R93" t="s">
        <v>37</v>
      </c>
      <c r="S93" t="s">
        <v>43</v>
      </c>
    </row>
    <row r="94" spans="1:19" x14ac:dyDescent="0.25">
      <c r="A94" s="18"/>
      <c r="B94" s="18">
        <v>13080</v>
      </c>
      <c r="C94" s="19" t="s">
        <v>158</v>
      </c>
      <c r="D94" s="1" t="s">
        <v>34</v>
      </c>
      <c r="E94" s="20" t="s">
        <v>0</v>
      </c>
      <c r="F94" s="21">
        <v>32509</v>
      </c>
      <c r="G94" s="22">
        <v>45689</v>
      </c>
      <c r="H94" s="23" t="s">
        <v>31</v>
      </c>
      <c r="I94" s="18" t="s">
        <v>1</v>
      </c>
      <c r="J94" s="24"/>
      <c r="K94" s="17" t="s">
        <v>42</v>
      </c>
      <c r="L94" t="s">
        <v>38</v>
      </c>
      <c r="M94" t="s">
        <v>14</v>
      </c>
      <c r="N94" t="str">
        <f>_xlfn.CONCAT("https://api.bcb.gov.br/dados/serie/bcdata.sgs.",B94,"/dados?formato=json")</f>
        <v>https://api.bcb.gov.br/dados/serie/bcdata.sgs.13080/dados?formato=json</v>
      </c>
      <c r="O94">
        <v>4</v>
      </c>
      <c r="P94" t="s">
        <v>22</v>
      </c>
      <c r="Q94" t="s">
        <v>159</v>
      </c>
      <c r="R94" t="s">
        <v>35</v>
      </c>
      <c r="S94" t="s">
        <v>43</v>
      </c>
    </row>
    <row r="95" spans="1:19" x14ac:dyDescent="0.25">
      <c r="A95" s="18"/>
      <c r="B95" s="18">
        <v>13561</v>
      </c>
      <c r="C95" s="19" t="s">
        <v>160</v>
      </c>
      <c r="D95" s="18" t="s">
        <v>30</v>
      </c>
      <c r="E95" s="20" t="s">
        <v>0</v>
      </c>
      <c r="F95" s="21">
        <v>32509</v>
      </c>
      <c r="G95" s="22">
        <v>45689</v>
      </c>
      <c r="H95" s="23" t="s">
        <v>31</v>
      </c>
      <c r="I95" s="18" t="s">
        <v>1</v>
      </c>
      <c r="J95" s="24"/>
      <c r="K95" s="17" t="s">
        <v>42</v>
      </c>
      <c r="L95" t="s">
        <v>39</v>
      </c>
      <c r="M95" t="s">
        <v>14</v>
      </c>
      <c r="N95" t="str">
        <f t="shared" ref="N95:N96" si="31">_xlfn.CONCAT("https://api.bcb.gov.br/dados/serie/bcdata.sgs.",B95,"/dados?formato=json")</f>
        <v>https://api.bcb.gov.br/dados/serie/bcdata.sgs.13561/dados?formato=json</v>
      </c>
      <c r="O95">
        <v>4</v>
      </c>
      <c r="P95" t="s">
        <v>23</v>
      </c>
      <c r="Q95" t="s">
        <v>28</v>
      </c>
      <c r="R95" t="s">
        <v>36</v>
      </c>
      <c r="S95" t="s">
        <v>43</v>
      </c>
    </row>
    <row r="96" spans="1:19" x14ac:dyDescent="0.25">
      <c r="A96" s="25"/>
      <c r="B96" s="25">
        <v>13562</v>
      </c>
      <c r="C96" s="26" t="s">
        <v>161</v>
      </c>
      <c r="D96" s="25" t="s">
        <v>30</v>
      </c>
      <c r="E96" s="27" t="s">
        <v>0</v>
      </c>
      <c r="F96" s="28">
        <v>32509</v>
      </c>
      <c r="G96" s="29">
        <v>45689</v>
      </c>
      <c r="H96" s="30" t="s">
        <v>31</v>
      </c>
      <c r="I96" s="25" t="s">
        <v>1</v>
      </c>
      <c r="J96" s="31"/>
      <c r="K96" s="17" t="s">
        <v>42</v>
      </c>
      <c r="L96" t="s">
        <v>40</v>
      </c>
      <c r="M96" t="s">
        <v>14</v>
      </c>
      <c r="N96" t="str">
        <f t="shared" si="31"/>
        <v>https://api.bcb.gov.br/dados/serie/bcdata.sgs.13562/dados?formato=json</v>
      </c>
      <c r="O96">
        <v>4</v>
      </c>
      <c r="P96" t="s">
        <v>23</v>
      </c>
      <c r="Q96" t="s">
        <v>28</v>
      </c>
      <c r="R96" t="s">
        <v>37</v>
      </c>
      <c r="S96" t="s">
        <v>43</v>
      </c>
    </row>
    <row r="97" spans="1:19" x14ac:dyDescent="0.25">
      <c r="A97" s="18"/>
      <c r="B97" s="18">
        <v>13563</v>
      </c>
      <c r="C97" s="19" t="s">
        <v>162</v>
      </c>
      <c r="D97" s="18" t="s">
        <v>30</v>
      </c>
      <c r="E97" s="20" t="s">
        <v>0</v>
      </c>
      <c r="F97" s="21">
        <v>32509</v>
      </c>
      <c r="G97" s="22">
        <v>45689</v>
      </c>
      <c r="H97" s="23" t="s">
        <v>31</v>
      </c>
      <c r="I97" s="18" t="s">
        <v>1</v>
      </c>
      <c r="J97" s="24"/>
      <c r="K97" s="17" t="s">
        <v>42</v>
      </c>
      <c r="L97" t="s">
        <v>38</v>
      </c>
      <c r="M97" t="s">
        <v>14</v>
      </c>
      <c r="N97" t="str">
        <f>_xlfn.CONCAT("https://api.bcb.gov.br/dados/serie/bcdata.sgs.",B97,"/dados?formato=json")</f>
        <v>https://api.bcb.gov.br/dados/serie/bcdata.sgs.13563/dados?formato=json</v>
      </c>
      <c r="O97">
        <v>4</v>
      </c>
      <c r="P97" t="s">
        <v>23</v>
      </c>
      <c r="Q97" t="s">
        <v>28</v>
      </c>
      <c r="R97" t="s">
        <v>35</v>
      </c>
      <c r="S97" t="s">
        <v>43</v>
      </c>
    </row>
    <row r="98" spans="1:19" x14ac:dyDescent="0.25">
      <c r="C98" t="s">
        <v>163</v>
      </c>
      <c r="D98" t="s">
        <v>176</v>
      </c>
      <c r="E98" t="s">
        <v>164</v>
      </c>
      <c r="K98" t="s">
        <v>175</v>
      </c>
      <c r="L98" t="s">
        <v>165</v>
      </c>
      <c r="M98" t="s">
        <v>166</v>
      </c>
      <c r="N98" t="s">
        <v>167</v>
      </c>
      <c r="O98">
        <v>4</v>
      </c>
      <c r="P98" t="s">
        <v>168</v>
      </c>
      <c r="Q98" t="s">
        <v>168</v>
      </c>
      <c r="R98" t="s">
        <v>177</v>
      </c>
      <c r="S98" t="s">
        <v>177</v>
      </c>
    </row>
    <row r="99" spans="1:19" x14ac:dyDescent="0.25">
      <c r="C99" t="s">
        <v>169</v>
      </c>
      <c r="D99" t="s">
        <v>176</v>
      </c>
      <c r="E99" t="s">
        <v>170</v>
      </c>
      <c r="K99" t="s">
        <v>174</v>
      </c>
      <c r="L99" t="s">
        <v>181</v>
      </c>
      <c r="M99" t="s">
        <v>166</v>
      </c>
      <c r="N99" t="s">
        <v>171</v>
      </c>
      <c r="O99">
        <v>4</v>
      </c>
      <c r="P99" t="s">
        <v>168</v>
      </c>
      <c r="Q99" t="s">
        <v>168</v>
      </c>
      <c r="R99" t="s">
        <v>180</v>
      </c>
      <c r="S99" t="s">
        <v>179</v>
      </c>
    </row>
    <row r="100" spans="1:19" x14ac:dyDescent="0.25">
      <c r="C100" t="s">
        <v>172</v>
      </c>
      <c r="D100" t="s">
        <v>176</v>
      </c>
      <c r="E100" t="s">
        <v>0</v>
      </c>
      <c r="K100" t="s">
        <v>175</v>
      </c>
      <c r="L100" t="s">
        <v>182</v>
      </c>
      <c r="M100" t="s">
        <v>166</v>
      </c>
      <c r="N100" t="s">
        <v>173</v>
      </c>
      <c r="O100">
        <v>4</v>
      </c>
      <c r="P100" t="s">
        <v>168</v>
      </c>
      <c r="Q100" t="s">
        <v>168</v>
      </c>
      <c r="R100" t="s">
        <v>178</v>
      </c>
      <c r="S100" t="s">
        <v>178</v>
      </c>
    </row>
    <row r="101" spans="1:19" x14ac:dyDescent="0.25">
      <c r="C101" t="s">
        <v>183</v>
      </c>
      <c r="D101" t="s">
        <v>176</v>
      </c>
      <c r="E101" t="s">
        <v>170</v>
      </c>
      <c r="K101" t="s">
        <v>174</v>
      </c>
      <c r="L101" t="s">
        <v>186</v>
      </c>
      <c r="M101" t="s">
        <v>166</v>
      </c>
      <c r="N101" t="s">
        <v>184</v>
      </c>
      <c r="O101">
        <v>4</v>
      </c>
      <c r="P101" t="s">
        <v>168</v>
      </c>
      <c r="Q101" t="s">
        <v>168</v>
      </c>
      <c r="R101" t="s">
        <v>185</v>
      </c>
      <c r="S101" t="s">
        <v>179</v>
      </c>
    </row>
    <row r="102" spans="1:19" x14ac:dyDescent="0.25">
      <c r="C102" t="s">
        <v>187</v>
      </c>
      <c r="D102" t="s">
        <v>188</v>
      </c>
      <c r="E102" t="s">
        <v>164</v>
      </c>
      <c r="K102" t="s">
        <v>42</v>
      </c>
      <c r="L102" t="s">
        <v>189</v>
      </c>
      <c r="M102" t="s">
        <v>166</v>
      </c>
      <c r="N102" t="s">
        <v>190</v>
      </c>
      <c r="O102">
        <v>4</v>
      </c>
      <c r="P102" t="s">
        <v>168</v>
      </c>
      <c r="Q102" t="s">
        <v>168</v>
      </c>
      <c r="R102" t="s">
        <v>191</v>
      </c>
      <c r="S102" t="s">
        <v>192</v>
      </c>
    </row>
    <row r="103" spans="1:19" x14ac:dyDescent="0.25">
      <c r="C103" t="s">
        <v>187</v>
      </c>
      <c r="D103" t="s">
        <v>188</v>
      </c>
      <c r="E103" t="s">
        <v>0</v>
      </c>
      <c r="K103" t="s">
        <v>42</v>
      </c>
      <c r="L103" t="s">
        <v>193</v>
      </c>
      <c r="M103" t="s">
        <v>166</v>
      </c>
      <c r="N103" t="s">
        <v>194</v>
      </c>
      <c r="O103">
        <v>4</v>
      </c>
      <c r="P103" t="s">
        <v>168</v>
      </c>
      <c r="Q103" t="s">
        <v>168</v>
      </c>
      <c r="R103" t="s">
        <v>191</v>
      </c>
      <c r="S103" t="s">
        <v>195</v>
      </c>
    </row>
    <row r="104" spans="1:19" x14ac:dyDescent="0.25">
      <c r="C104" t="s">
        <v>196</v>
      </c>
      <c r="D104" t="s">
        <v>197</v>
      </c>
      <c r="E104" t="s">
        <v>0</v>
      </c>
      <c r="K104" t="s">
        <v>42</v>
      </c>
      <c r="L104" t="s">
        <v>198</v>
      </c>
      <c r="M104" t="s">
        <v>166</v>
      </c>
      <c r="N104" t="s">
        <v>199</v>
      </c>
      <c r="O104">
        <v>4</v>
      </c>
      <c r="P104" t="s">
        <v>168</v>
      </c>
      <c r="Q104" t="s">
        <v>168</v>
      </c>
      <c r="R104" t="s">
        <v>200</v>
      </c>
      <c r="S104" t="s">
        <v>195</v>
      </c>
    </row>
    <row r="105" spans="1:19" x14ac:dyDescent="0.25">
      <c r="C105" t="s">
        <v>201</v>
      </c>
      <c r="D105" t="s">
        <v>197</v>
      </c>
      <c r="E105" t="s">
        <v>0</v>
      </c>
      <c r="K105" t="s">
        <v>42</v>
      </c>
      <c r="L105" t="s">
        <v>202</v>
      </c>
      <c r="M105" t="s">
        <v>166</v>
      </c>
      <c r="N105" t="s">
        <v>203</v>
      </c>
      <c r="O105">
        <v>4</v>
      </c>
      <c r="P105" t="s">
        <v>168</v>
      </c>
      <c r="Q105" t="s">
        <v>168</v>
      </c>
      <c r="R105" t="s">
        <v>204</v>
      </c>
      <c r="S105" t="s">
        <v>195</v>
      </c>
    </row>
    <row r="106" spans="1:19" x14ac:dyDescent="0.25">
      <c r="C106" t="s">
        <v>205</v>
      </c>
      <c r="D106" t="s">
        <v>197</v>
      </c>
      <c r="E106" t="s">
        <v>0</v>
      </c>
      <c r="K106" t="s">
        <v>42</v>
      </c>
      <c r="L106" t="s">
        <v>206</v>
      </c>
      <c r="M106" t="s">
        <v>166</v>
      </c>
      <c r="N106" t="s">
        <v>207</v>
      </c>
      <c r="O106">
        <v>4</v>
      </c>
      <c r="P106" t="s">
        <v>168</v>
      </c>
      <c r="Q106" t="s">
        <v>168</v>
      </c>
      <c r="R106" t="s">
        <v>208</v>
      </c>
      <c r="S106" t="s">
        <v>195</v>
      </c>
    </row>
    <row r="107" spans="1:19" x14ac:dyDescent="0.25">
      <c r="C107" t="s">
        <v>209</v>
      </c>
      <c r="D107" t="s">
        <v>197</v>
      </c>
      <c r="E107" t="s">
        <v>0</v>
      </c>
      <c r="K107" t="s">
        <v>42</v>
      </c>
      <c r="L107" t="s">
        <v>210</v>
      </c>
      <c r="M107" t="s">
        <v>166</v>
      </c>
      <c r="N107" t="s">
        <v>211</v>
      </c>
      <c r="O107">
        <v>4</v>
      </c>
      <c r="P107" t="s">
        <v>168</v>
      </c>
      <c r="Q107" t="s">
        <v>168</v>
      </c>
      <c r="R107" t="s">
        <v>212</v>
      </c>
      <c r="S107" t="s">
        <v>195</v>
      </c>
    </row>
    <row r="108" spans="1:19" x14ac:dyDescent="0.25">
      <c r="C108" t="s">
        <v>213</v>
      </c>
      <c r="D108" t="s">
        <v>197</v>
      </c>
      <c r="E108" t="s">
        <v>0</v>
      </c>
      <c r="K108" t="s">
        <v>42</v>
      </c>
      <c r="L108" t="s">
        <v>214</v>
      </c>
      <c r="M108" t="s">
        <v>166</v>
      </c>
      <c r="N108" t="s">
        <v>215</v>
      </c>
      <c r="O108">
        <v>4</v>
      </c>
      <c r="P108" t="s">
        <v>168</v>
      </c>
      <c r="Q108" t="s">
        <v>168</v>
      </c>
      <c r="R108" t="s">
        <v>216</v>
      </c>
      <c r="S108" t="s">
        <v>195</v>
      </c>
    </row>
    <row r="109" spans="1:19" x14ac:dyDescent="0.25">
      <c r="C109" t="s">
        <v>217</v>
      </c>
      <c r="D109" t="s">
        <v>188</v>
      </c>
      <c r="E109" t="s">
        <v>0</v>
      </c>
      <c r="K109" t="s">
        <v>42</v>
      </c>
      <c r="L109" t="s">
        <v>218</v>
      </c>
      <c r="M109" t="s">
        <v>166</v>
      </c>
      <c r="N109" t="s">
        <v>219</v>
      </c>
      <c r="O109">
        <v>4</v>
      </c>
      <c r="P109" t="s">
        <v>168</v>
      </c>
      <c r="Q109" t="s">
        <v>168</v>
      </c>
      <c r="R109" t="s">
        <v>220</v>
      </c>
      <c r="S109" t="s">
        <v>195</v>
      </c>
    </row>
    <row r="110" spans="1:19" x14ac:dyDescent="0.25">
      <c r="C110" t="s">
        <v>221</v>
      </c>
      <c r="D110" t="s">
        <v>188</v>
      </c>
      <c r="E110" t="s">
        <v>0</v>
      </c>
      <c r="K110" t="s">
        <v>42</v>
      </c>
      <c r="L110" t="s">
        <v>222</v>
      </c>
      <c r="M110" t="s">
        <v>166</v>
      </c>
      <c r="N110" t="s">
        <v>223</v>
      </c>
      <c r="O110">
        <v>4</v>
      </c>
      <c r="P110" t="s">
        <v>168</v>
      </c>
      <c r="Q110" t="s">
        <v>168</v>
      </c>
      <c r="R110" t="s">
        <v>224</v>
      </c>
      <c r="S110" t="s">
        <v>195</v>
      </c>
    </row>
    <row r="111" spans="1:19" x14ac:dyDescent="0.25">
      <c r="C111" t="s">
        <v>225</v>
      </c>
      <c r="D111" t="s">
        <v>188</v>
      </c>
      <c r="E111" t="s">
        <v>0</v>
      </c>
      <c r="K111" t="s">
        <v>42</v>
      </c>
      <c r="L111" t="s">
        <v>226</v>
      </c>
      <c r="M111" t="s">
        <v>166</v>
      </c>
      <c r="N111" t="s">
        <v>227</v>
      </c>
      <c r="O111">
        <v>4</v>
      </c>
      <c r="P111" t="s">
        <v>168</v>
      </c>
      <c r="Q111" t="s">
        <v>168</v>
      </c>
      <c r="R111" t="s">
        <v>228</v>
      </c>
      <c r="S111" t="s">
        <v>195</v>
      </c>
    </row>
    <row r="112" spans="1:19" x14ac:dyDescent="0.25">
      <c r="C112" t="s">
        <v>196</v>
      </c>
      <c r="D112" t="s">
        <v>197</v>
      </c>
      <c r="E112" t="s">
        <v>164</v>
      </c>
      <c r="K112" t="s">
        <v>42</v>
      </c>
      <c r="L112" t="s">
        <v>229</v>
      </c>
      <c r="M112" t="s">
        <v>166</v>
      </c>
      <c r="N112" t="s">
        <v>230</v>
      </c>
      <c r="O112">
        <v>4</v>
      </c>
      <c r="P112" t="s">
        <v>168</v>
      </c>
      <c r="Q112" t="s">
        <v>168</v>
      </c>
      <c r="R112" t="s">
        <v>200</v>
      </c>
      <c r="S112" t="s">
        <v>192</v>
      </c>
    </row>
    <row r="113" spans="3:19" x14ac:dyDescent="0.25">
      <c r="C113" t="s">
        <v>201</v>
      </c>
      <c r="D113" t="s">
        <v>197</v>
      </c>
      <c r="E113" t="s">
        <v>164</v>
      </c>
      <c r="K113" t="s">
        <v>42</v>
      </c>
      <c r="L113" t="s">
        <v>231</v>
      </c>
      <c r="M113" t="s">
        <v>166</v>
      </c>
      <c r="N113" t="s">
        <v>232</v>
      </c>
      <c r="O113">
        <v>4</v>
      </c>
      <c r="P113" t="s">
        <v>168</v>
      </c>
      <c r="Q113" t="s">
        <v>168</v>
      </c>
      <c r="R113" t="s">
        <v>204</v>
      </c>
      <c r="S113" t="s">
        <v>192</v>
      </c>
    </row>
    <row r="114" spans="3:19" x14ac:dyDescent="0.25">
      <c r="C114" t="s">
        <v>205</v>
      </c>
      <c r="D114" t="s">
        <v>197</v>
      </c>
      <c r="E114" t="s">
        <v>164</v>
      </c>
      <c r="K114" t="s">
        <v>42</v>
      </c>
      <c r="L114" t="s">
        <v>233</v>
      </c>
      <c r="M114" t="s">
        <v>166</v>
      </c>
      <c r="N114" t="s">
        <v>234</v>
      </c>
      <c r="O114">
        <v>4</v>
      </c>
      <c r="P114" t="s">
        <v>168</v>
      </c>
      <c r="Q114" t="s">
        <v>168</v>
      </c>
      <c r="R114" t="s">
        <v>208</v>
      </c>
      <c r="S114" t="s">
        <v>192</v>
      </c>
    </row>
    <row r="115" spans="3:19" x14ac:dyDescent="0.25">
      <c r="C115" t="s">
        <v>217</v>
      </c>
      <c r="D115" t="s">
        <v>188</v>
      </c>
      <c r="E115" t="s">
        <v>164</v>
      </c>
      <c r="K115" t="s">
        <v>42</v>
      </c>
      <c r="L115" t="s">
        <v>235</v>
      </c>
      <c r="M115" t="s">
        <v>166</v>
      </c>
      <c r="N115" t="s">
        <v>236</v>
      </c>
      <c r="O115">
        <v>4</v>
      </c>
      <c r="P115" t="s">
        <v>168</v>
      </c>
      <c r="Q115" t="s">
        <v>168</v>
      </c>
      <c r="R115" t="s">
        <v>220</v>
      </c>
      <c r="S115" t="s">
        <v>192</v>
      </c>
    </row>
    <row r="116" spans="3:19" x14ac:dyDescent="0.25">
      <c r="C116" t="s">
        <v>221</v>
      </c>
      <c r="D116" t="s">
        <v>188</v>
      </c>
      <c r="E116" t="s">
        <v>164</v>
      </c>
      <c r="K116" t="s">
        <v>42</v>
      </c>
      <c r="L116" t="s">
        <v>237</v>
      </c>
      <c r="M116" t="s">
        <v>166</v>
      </c>
      <c r="N116" t="s">
        <v>238</v>
      </c>
      <c r="O116">
        <v>4</v>
      </c>
      <c r="P116" t="s">
        <v>168</v>
      </c>
      <c r="Q116" t="s">
        <v>168</v>
      </c>
      <c r="R116" t="s">
        <v>224</v>
      </c>
      <c r="S116" t="s">
        <v>192</v>
      </c>
    </row>
    <row r="117" spans="3:19" x14ac:dyDescent="0.25">
      <c r="C117" t="s">
        <v>225</v>
      </c>
      <c r="D117" t="s">
        <v>188</v>
      </c>
      <c r="E117" t="s">
        <v>164</v>
      </c>
      <c r="K117" t="s">
        <v>42</v>
      </c>
      <c r="L117" t="s">
        <v>239</v>
      </c>
      <c r="M117" t="s">
        <v>166</v>
      </c>
      <c r="N117" t="s">
        <v>240</v>
      </c>
      <c r="O117">
        <v>4</v>
      </c>
      <c r="P117" t="s">
        <v>168</v>
      </c>
      <c r="Q117" t="s">
        <v>168</v>
      </c>
      <c r="R117" t="s">
        <v>228</v>
      </c>
      <c r="S117" t="s">
        <v>192</v>
      </c>
    </row>
    <row r="118" spans="3:19" x14ac:dyDescent="0.25">
      <c r="C118" t="s">
        <v>241</v>
      </c>
      <c r="D118" t="s">
        <v>188</v>
      </c>
      <c r="E118" t="s">
        <v>164</v>
      </c>
      <c r="K118" t="s">
        <v>42</v>
      </c>
      <c r="L118" t="s">
        <v>242</v>
      </c>
      <c r="M118" t="s">
        <v>166</v>
      </c>
      <c r="N118" t="s">
        <v>243</v>
      </c>
      <c r="O118">
        <v>4</v>
      </c>
      <c r="P118" t="s">
        <v>168</v>
      </c>
      <c r="Q118" t="s">
        <v>168</v>
      </c>
      <c r="R118" t="s">
        <v>244</v>
      </c>
      <c r="S118" t="s">
        <v>192</v>
      </c>
    </row>
    <row r="119" spans="3:19" x14ac:dyDescent="0.25">
      <c r="C119" t="s">
        <v>245</v>
      </c>
      <c r="D119" t="s">
        <v>197</v>
      </c>
      <c r="E119" t="s">
        <v>0</v>
      </c>
      <c r="K119" t="s">
        <v>42</v>
      </c>
      <c r="L119" t="s">
        <v>246</v>
      </c>
      <c r="M119" t="s">
        <v>166</v>
      </c>
      <c r="N119" t="s">
        <v>247</v>
      </c>
      <c r="O119">
        <v>4</v>
      </c>
      <c r="P119" t="s">
        <v>168</v>
      </c>
      <c r="Q119" t="s">
        <v>168</v>
      </c>
      <c r="R119" t="s">
        <v>248</v>
      </c>
      <c r="S119" t="s">
        <v>195</v>
      </c>
    </row>
    <row r="120" spans="3:19" x14ac:dyDescent="0.25">
      <c r="C120" t="s">
        <v>249</v>
      </c>
      <c r="D120" t="s">
        <v>197</v>
      </c>
      <c r="E120" t="s">
        <v>0</v>
      </c>
      <c r="K120" t="s">
        <v>42</v>
      </c>
      <c r="L120" t="s">
        <v>250</v>
      </c>
      <c r="M120" t="s">
        <v>166</v>
      </c>
      <c r="N120" t="s">
        <v>251</v>
      </c>
      <c r="O120">
        <v>4</v>
      </c>
      <c r="P120" t="s">
        <v>168</v>
      </c>
      <c r="Q120" t="s">
        <v>168</v>
      </c>
      <c r="R120" t="s">
        <v>252</v>
      </c>
      <c r="S120" t="s">
        <v>195</v>
      </c>
    </row>
    <row r="121" spans="3:19" x14ac:dyDescent="0.25">
      <c r="C121" t="s">
        <v>253</v>
      </c>
      <c r="D121" t="s">
        <v>197</v>
      </c>
      <c r="E121" t="s">
        <v>0</v>
      </c>
      <c r="K121" t="s">
        <v>42</v>
      </c>
      <c r="L121" t="s">
        <v>254</v>
      </c>
      <c r="M121" t="s">
        <v>166</v>
      </c>
      <c r="N121" t="s">
        <v>255</v>
      </c>
      <c r="O121">
        <v>4</v>
      </c>
      <c r="P121" t="s">
        <v>168</v>
      </c>
      <c r="Q121" t="s">
        <v>168</v>
      </c>
      <c r="R121" t="s">
        <v>256</v>
      </c>
      <c r="S121" t="s">
        <v>195</v>
      </c>
    </row>
    <row r="122" spans="3:19" x14ac:dyDescent="0.25">
      <c r="C122" t="s">
        <v>257</v>
      </c>
      <c r="D122" t="s">
        <v>197</v>
      </c>
      <c r="E122" t="s">
        <v>0</v>
      </c>
      <c r="K122" t="s">
        <v>42</v>
      </c>
      <c r="L122" t="s">
        <v>258</v>
      </c>
      <c r="M122" t="s">
        <v>166</v>
      </c>
      <c r="N122" t="s">
        <v>259</v>
      </c>
      <c r="O122">
        <v>4</v>
      </c>
      <c r="P122" t="s">
        <v>168</v>
      </c>
      <c r="Q122" t="s">
        <v>168</v>
      </c>
      <c r="R122" t="s">
        <v>260</v>
      </c>
      <c r="S122" t="s">
        <v>195</v>
      </c>
    </row>
    <row r="123" spans="3:19" x14ac:dyDescent="0.25">
      <c r="C123" t="s">
        <v>261</v>
      </c>
      <c r="D123" t="s">
        <v>197</v>
      </c>
      <c r="E123" t="s">
        <v>0</v>
      </c>
      <c r="K123" t="s">
        <v>42</v>
      </c>
      <c r="L123" t="s">
        <v>262</v>
      </c>
      <c r="M123" t="s">
        <v>166</v>
      </c>
      <c r="N123" t="s">
        <v>263</v>
      </c>
      <c r="O123">
        <v>4</v>
      </c>
      <c r="P123" t="s">
        <v>168</v>
      </c>
      <c r="Q123" t="s">
        <v>168</v>
      </c>
      <c r="R123" t="s">
        <v>264</v>
      </c>
      <c r="S123" t="s">
        <v>195</v>
      </c>
    </row>
    <row r="124" spans="3:19" x14ac:dyDescent="0.25">
      <c r="C124" t="s">
        <v>265</v>
      </c>
      <c r="D124" t="s">
        <v>188</v>
      </c>
      <c r="E124" t="s">
        <v>0</v>
      </c>
      <c r="K124" t="s">
        <v>42</v>
      </c>
      <c r="L124" t="s">
        <v>266</v>
      </c>
      <c r="M124" t="s">
        <v>166</v>
      </c>
      <c r="N124" t="s">
        <v>267</v>
      </c>
      <c r="O124">
        <v>4</v>
      </c>
      <c r="P124" t="s">
        <v>168</v>
      </c>
      <c r="Q124" t="s">
        <v>168</v>
      </c>
      <c r="R124" t="s">
        <v>268</v>
      </c>
      <c r="S124" t="s">
        <v>195</v>
      </c>
    </row>
    <row r="125" spans="3:19" x14ac:dyDescent="0.25">
      <c r="C125" t="s">
        <v>269</v>
      </c>
      <c r="D125" t="s">
        <v>188</v>
      </c>
      <c r="E125" t="s">
        <v>0</v>
      </c>
      <c r="K125" t="s">
        <v>42</v>
      </c>
      <c r="L125" t="s">
        <v>270</v>
      </c>
      <c r="M125" t="s">
        <v>166</v>
      </c>
      <c r="N125" t="s">
        <v>271</v>
      </c>
      <c r="O125">
        <v>4</v>
      </c>
      <c r="P125" t="s">
        <v>168</v>
      </c>
      <c r="Q125" t="s">
        <v>168</v>
      </c>
      <c r="R125" t="s">
        <v>272</v>
      </c>
      <c r="S125" t="s">
        <v>195</v>
      </c>
    </row>
    <row r="126" spans="3:19" x14ac:dyDescent="0.25">
      <c r="C126" t="s">
        <v>273</v>
      </c>
      <c r="D126" t="s">
        <v>188</v>
      </c>
      <c r="E126" t="s">
        <v>0</v>
      </c>
      <c r="K126" t="s">
        <v>42</v>
      </c>
      <c r="L126" t="s">
        <v>274</v>
      </c>
      <c r="M126" t="s">
        <v>166</v>
      </c>
      <c r="N126" t="s">
        <v>275</v>
      </c>
      <c r="O126">
        <v>4</v>
      </c>
      <c r="P126" t="s">
        <v>168</v>
      </c>
      <c r="Q126" t="s">
        <v>168</v>
      </c>
      <c r="R126" t="s">
        <v>276</v>
      </c>
      <c r="S126" t="s">
        <v>195</v>
      </c>
    </row>
    <row r="127" spans="3:19" x14ac:dyDescent="0.25">
      <c r="C127" t="s">
        <v>277</v>
      </c>
      <c r="D127" t="s">
        <v>188</v>
      </c>
      <c r="E127" t="s">
        <v>0</v>
      </c>
      <c r="K127" t="s">
        <v>42</v>
      </c>
      <c r="L127" t="s">
        <v>278</v>
      </c>
      <c r="M127" t="s">
        <v>166</v>
      </c>
      <c r="N127" t="s">
        <v>279</v>
      </c>
      <c r="O127">
        <v>4</v>
      </c>
      <c r="P127" t="s">
        <v>168</v>
      </c>
      <c r="Q127" t="s">
        <v>168</v>
      </c>
      <c r="R127" t="s">
        <v>280</v>
      </c>
      <c r="S127" t="s">
        <v>195</v>
      </c>
    </row>
    <row r="128" spans="3:19" x14ac:dyDescent="0.25">
      <c r="C128" t="s">
        <v>281</v>
      </c>
      <c r="D128" t="s">
        <v>197</v>
      </c>
      <c r="E128" t="s">
        <v>164</v>
      </c>
      <c r="K128" t="s">
        <v>42</v>
      </c>
      <c r="L128" t="s">
        <v>282</v>
      </c>
      <c r="M128" t="s">
        <v>166</v>
      </c>
      <c r="N128" t="s">
        <v>283</v>
      </c>
      <c r="O128">
        <v>4</v>
      </c>
      <c r="P128" t="s">
        <v>168</v>
      </c>
      <c r="Q128" t="s">
        <v>168</v>
      </c>
      <c r="R128" t="s">
        <v>284</v>
      </c>
      <c r="S128" t="s">
        <v>192</v>
      </c>
    </row>
    <row r="129" spans="3:19" x14ac:dyDescent="0.25">
      <c r="C129" t="s">
        <v>285</v>
      </c>
      <c r="D129" t="s">
        <v>197</v>
      </c>
      <c r="E129" t="s">
        <v>164</v>
      </c>
      <c r="K129" t="s">
        <v>42</v>
      </c>
      <c r="L129" t="s">
        <v>286</v>
      </c>
      <c r="M129" t="s">
        <v>166</v>
      </c>
      <c r="N129" t="s">
        <v>287</v>
      </c>
      <c r="O129">
        <v>4</v>
      </c>
      <c r="P129" t="s">
        <v>168</v>
      </c>
      <c r="Q129" t="s">
        <v>168</v>
      </c>
      <c r="R129" t="s">
        <v>288</v>
      </c>
      <c r="S129" t="s">
        <v>192</v>
      </c>
    </row>
    <row r="130" spans="3:19" x14ac:dyDescent="0.25">
      <c r="C130" t="s">
        <v>289</v>
      </c>
      <c r="D130" t="s">
        <v>197</v>
      </c>
      <c r="E130" t="s">
        <v>164</v>
      </c>
      <c r="K130" t="s">
        <v>42</v>
      </c>
      <c r="L130" t="s">
        <v>290</v>
      </c>
      <c r="M130" t="s">
        <v>166</v>
      </c>
      <c r="N130" t="s">
        <v>291</v>
      </c>
      <c r="O130">
        <v>4</v>
      </c>
      <c r="P130" t="s">
        <v>168</v>
      </c>
      <c r="Q130" t="s">
        <v>168</v>
      </c>
      <c r="R130" t="s">
        <v>292</v>
      </c>
      <c r="S130" t="s">
        <v>192</v>
      </c>
    </row>
    <row r="131" spans="3:19" x14ac:dyDescent="0.25">
      <c r="C131" t="s">
        <v>293</v>
      </c>
      <c r="D131" t="s">
        <v>197</v>
      </c>
      <c r="E131" t="s">
        <v>164</v>
      </c>
      <c r="K131" t="s">
        <v>42</v>
      </c>
      <c r="L131" t="s">
        <v>294</v>
      </c>
      <c r="M131" t="s">
        <v>166</v>
      </c>
      <c r="N131" t="s">
        <v>295</v>
      </c>
      <c r="O131">
        <v>4</v>
      </c>
      <c r="P131" t="s">
        <v>168</v>
      </c>
      <c r="Q131" t="s">
        <v>168</v>
      </c>
      <c r="R131" t="s">
        <v>296</v>
      </c>
      <c r="S131" t="s">
        <v>192</v>
      </c>
    </row>
    <row r="132" spans="3:19" x14ac:dyDescent="0.25">
      <c r="C132" t="s">
        <v>297</v>
      </c>
      <c r="D132" t="s">
        <v>197</v>
      </c>
      <c r="E132" t="s">
        <v>164</v>
      </c>
      <c r="K132" t="s">
        <v>42</v>
      </c>
      <c r="L132" t="s">
        <v>298</v>
      </c>
      <c r="M132" t="s">
        <v>166</v>
      </c>
      <c r="N132" t="s">
        <v>299</v>
      </c>
      <c r="O132">
        <v>4</v>
      </c>
      <c r="P132" t="s">
        <v>168</v>
      </c>
      <c r="Q132" t="s">
        <v>168</v>
      </c>
      <c r="R132" t="s">
        <v>300</v>
      </c>
      <c r="S132" t="s">
        <v>192</v>
      </c>
    </row>
    <row r="133" spans="3:19" x14ac:dyDescent="0.25">
      <c r="C133" t="s">
        <v>301</v>
      </c>
      <c r="D133" t="s">
        <v>188</v>
      </c>
      <c r="E133" t="s">
        <v>164</v>
      </c>
      <c r="K133" t="s">
        <v>42</v>
      </c>
      <c r="L133" t="s">
        <v>302</v>
      </c>
      <c r="M133" t="s">
        <v>166</v>
      </c>
      <c r="N133" t="s">
        <v>303</v>
      </c>
      <c r="O133">
        <v>4</v>
      </c>
      <c r="P133" t="s">
        <v>168</v>
      </c>
      <c r="Q133" t="s">
        <v>168</v>
      </c>
      <c r="R133" t="s">
        <v>304</v>
      </c>
      <c r="S133" t="s">
        <v>192</v>
      </c>
    </row>
    <row r="134" spans="3:19" x14ac:dyDescent="0.25">
      <c r="C134" t="s">
        <v>305</v>
      </c>
      <c r="D134" t="s">
        <v>188</v>
      </c>
      <c r="E134" t="s">
        <v>164</v>
      </c>
      <c r="K134" t="s">
        <v>42</v>
      </c>
      <c r="L134" t="s">
        <v>306</v>
      </c>
      <c r="M134" t="s">
        <v>166</v>
      </c>
      <c r="N134" t="s">
        <v>307</v>
      </c>
      <c r="O134">
        <v>4</v>
      </c>
      <c r="P134" t="s">
        <v>168</v>
      </c>
      <c r="Q134" t="s">
        <v>168</v>
      </c>
      <c r="R134" t="s">
        <v>308</v>
      </c>
      <c r="S134" t="s">
        <v>192</v>
      </c>
    </row>
    <row r="135" spans="3:19" x14ac:dyDescent="0.25">
      <c r="C135" t="s">
        <v>309</v>
      </c>
      <c r="D135" t="s">
        <v>188</v>
      </c>
      <c r="E135" t="s">
        <v>164</v>
      </c>
      <c r="K135" t="s">
        <v>42</v>
      </c>
      <c r="L135" t="s">
        <v>310</v>
      </c>
      <c r="M135" t="s">
        <v>166</v>
      </c>
      <c r="N135" t="s">
        <v>311</v>
      </c>
      <c r="O135">
        <v>4</v>
      </c>
      <c r="P135" t="s">
        <v>168</v>
      </c>
      <c r="Q135" t="s">
        <v>168</v>
      </c>
      <c r="R135" t="s">
        <v>312</v>
      </c>
      <c r="S135" t="s">
        <v>192</v>
      </c>
    </row>
    <row r="136" spans="3:19" x14ac:dyDescent="0.25">
      <c r="C136" t="s">
        <v>313</v>
      </c>
      <c r="D136" t="s">
        <v>197</v>
      </c>
      <c r="E136" t="s">
        <v>0</v>
      </c>
      <c r="K136" t="s">
        <v>42</v>
      </c>
      <c r="L136" t="s">
        <v>314</v>
      </c>
      <c r="M136" t="s">
        <v>166</v>
      </c>
      <c r="N136" t="s">
        <v>315</v>
      </c>
      <c r="O136">
        <v>4</v>
      </c>
      <c r="P136" t="s">
        <v>168</v>
      </c>
      <c r="Q136" t="s">
        <v>168</v>
      </c>
      <c r="R136" t="s">
        <v>316</v>
      </c>
      <c r="S136" t="s">
        <v>195</v>
      </c>
    </row>
    <row r="137" spans="3:19" x14ac:dyDescent="0.25">
      <c r="C137" t="s">
        <v>317</v>
      </c>
      <c r="D137" t="s">
        <v>197</v>
      </c>
      <c r="E137" t="s">
        <v>0</v>
      </c>
      <c r="K137" t="s">
        <v>42</v>
      </c>
      <c r="L137" t="s">
        <v>318</v>
      </c>
      <c r="M137" t="s">
        <v>166</v>
      </c>
      <c r="N137" t="s">
        <v>319</v>
      </c>
      <c r="O137">
        <v>4</v>
      </c>
      <c r="P137" t="s">
        <v>168</v>
      </c>
      <c r="Q137" t="s">
        <v>168</v>
      </c>
      <c r="R137" t="s">
        <v>320</v>
      </c>
      <c r="S137" t="s">
        <v>195</v>
      </c>
    </row>
    <row r="138" spans="3:19" x14ac:dyDescent="0.25">
      <c r="C138" t="s">
        <v>321</v>
      </c>
      <c r="D138" t="s">
        <v>188</v>
      </c>
      <c r="E138" t="s">
        <v>0</v>
      </c>
      <c r="K138" t="s">
        <v>42</v>
      </c>
      <c r="L138" t="s">
        <v>322</v>
      </c>
      <c r="M138" t="s">
        <v>166</v>
      </c>
      <c r="N138" t="s">
        <v>323</v>
      </c>
      <c r="O138">
        <v>4</v>
      </c>
      <c r="P138" t="s">
        <v>168</v>
      </c>
      <c r="Q138" t="s">
        <v>168</v>
      </c>
      <c r="R138" t="s">
        <v>324</v>
      </c>
      <c r="S138" t="s">
        <v>195</v>
      </c>
    </row>
    <row r="139" spans="3:19" x14ac:dyDescent="0.25">
      <c r="C139" t="s">
        <v>325</v>
      </c>
      <c r="D139" t="s">
        <v>197</v>
      </c>
      <c r="E139" t="s">
        <v>164</v>
      </c>
      <c r="K139" t="s">
        <v>42</v>
      </c>
      <c r="L139" t="s">
        <v>1038</v>
      </c>
      <c r="M139" t="s">
        <v>166</v>
      </c>
      <c r="N139" t="s">
        <v>326</v>
      </c>
      <c r="O139">
        <v>4</v>
      </c>
      <c r="P139" t="s">
        <v>168</v>
      </c>
      <c r="Q139" t="s">
        <v>168</v>
      </c>
      <c r="R139" t="s">
        <v>327</v>
      </c>
      <c r="S139" t="s">
        <v>192</v>
      </c>
    </row>
    <row r="140" spans="3:19" x14ac:dyDescent="0.25">
      <c r="C140" t="s">
        <v>328</v>
      </c>
      <c r="D140" t="s">
        <v>188</v>
      </c>
      <c r="E140" t="s">
        <v>164</v>
      </c>
      <c r="K140" t="s">
        <v>42</v>
      </c>
      <c r="L140" t="s">
        <v>1039</v>
      </c>
      <c r="M140" t="s">
        <v>166</v>
      </c>
      <c r="N140" t="s">
        <v>329</v>
      </c>
      <c r="O140">
        <v>4</v>
      </c>
      <c r="P140" t="s">
        <v>168</v>
      </c>
      <c r="Q140" t="s">
        <v>168</v>
      </c>
      <c r="R140" t="s">
        <v>330</v>
      </c>
      <c r="S140" t="s">
        <v>192</v>
      </c>
    </row>
    <row r="141" spans="3:19" x14ac:dyDescent="0.25">
      <c r="C141" t="s">
        <v>331</v>
      </c>
      <c r="D141" t="s">
        <v>197</v>
      </c>
      <c r="E141" t="s">
        <v>0</v>
      </c>
      <c r="K141" t="s">
        <v>42</v>
      </c>
      <c r="L141" t="s">
        <v>332</v>
      </c>
      <c r="M141" t="s">
        <v>166</v>
      </c>
      <c r="N141" t="s">
        <v>333</v>
      </c>
      <c r="O141">
        <v>4</v>
      </c>
      <c r="P141" t="s">
        <v>168</v>
      </c>
      <c r="Q141" t="s">
        <v>168</v>
      </c>
      <c r="R141" t="s">
        <v>334</v>
      </c>
      <c r="S141" t="s">
        <v>195</v>
      </c>
    </row>
    <row r="142" spans="3:19" x14ac:dyDescent="0.25">
      <c r="C142" t="s">
        <v>335</v>
      </c>
      <c r="D142" t="s">
        <v>197</v>
      </c>
      <c r="E142" t="s">
        <v>0</v>
      </c>
      <c r="K142" t="s">
        <v>42</v>
      </c>
      <c r="L142" t="s">
        <v>336</v>
      </c>
      <c r="M142" t="s">
        <v>166</v>
      </c>
      <c r="N142" t="s">
        <v>337</v>
      </c>
      <c r="O142">
        <v>4</v>
      </c>
      <c r="P142" t="s">
        <v>168</v>
      </c>
      <c r="Q142" t="s">
        <v>168</v>
      </c>
      <c r="R142" t="s">
        <v>338</v>
      </c>
      <c r="S142" t="s">
        <v>195</v>
      </c>
    </row>
    <row r="143" spans="3:19" x14ac:dyDescent="0.25">
      <c r="C143" t="s">
        <v>339</v>
      </c>
      <c r="D143" t="s">
        <v>197</v>
      </c>
      <c r="E143" t="s">
        <v>0</v>
      </c>
      <c r="K143" t="s">
        <v>42</v>
      </c>
      <c r="L143" t="s">
        <v>340</v>
      </c>
      <c r="M143" t="s">
        <v>166</v>
      </c>
      <c r="N143" t="s">
        <v>341</v>
      </c>
      <c r="O143">
        <v>4</v>
      </c>
      <c r="P143" t="s">
        <v>168</v>
      </c>
      <c r="Q143" t="s">
        <v>168</v>
      </c>
      <c r="R143" t="s">
        <v>342</v>
      </c>
      <c r="S143" t="s">
        <v>195</v>
      </c>
    </row>
    <row r="144" spans="3:19" x14ac:dyDescent="0.25">
      <c r="C144" t="s">
        <v>343</v>
      </c>
      <c r="D144" t="s">
        <v>197</v>
      </c>
      <c r="E144" t="s">
        <v>0</v>
      </c>
      <c r="K144" t="s">
        <v>42</v>
      </c>
      <c r="L144" t="s">
        <v>344</v>
      </c>
      <c r="M144" t="s">
        <v>166</v>
      </c>
      <c r="N144" t="s">
        <v>345</v>
      </c>
      <c r="O144">
        <v>4</v>
      </c>
      <c r="P144" t="s">
        <v>168</v>
      </c>
      <c r="Q144" t="s">
        <v>168</v>
      </c>
      <c r="R144" t="s">
        <v>346</v>
      </c>
      <c r="S144" t="s">
        <v>195</v>
      </c>
    </row>
    <row r="145" spans="3:19" x14ac:dyDescent="0.25">
      <c r="C145" t="s">
        <v>347</v>
      </c>
      <c r="D145" t="s">
        <v>197</v>
      </c>
      <c r="E145" t="s">
        <v>0</v>
      </c>
      <c r="K145" t="s">
        <v>42</v>
      </c>
      <c r="L145" t="s">
        <v>348</v>
      </c>
      <c r="M145" t="s">
        <v>166</v>
      </c>
      <c r="N145" t="s">
        <v>349</v>
      </c>
      <c r="O145">
        <v>4</v>
      </c>
      <c r="P145" t="s">
        <v>168</v>
      </c>
      <c r="Q145" t="s">
        <v>168</v>
      </c>
      <c r="R145" t="s">
        <v>350</v>
      </c>
      <c r="S145" t="s">
        <v>195</v>
      </c>
    </row>
    <row r="146" spans="3:19" x14ac:dyDescent="0.25">
      <c r="C146" t="s">
        <v>351</v>
      </c>
      <c r="D146" t="s">
        <v>197</v>
      </c>
      <c r="E146" t="s">
        <v>0</v>
      </c>
      <c r="K146" t="s">
        <v>42</v>
      </c>
      <c r="L146" t="s">
        <v>352</v>
      </c>
      <c r="M146" t="s">
        <v>166</v>
      </c>
      <c r="N146" t="s">
        <v>353</v>
      </c>
      <c r="O146">
        <v>4</v>
      </c>
      <c r="P146" t="s">
        <v>168</v>
      </c>
      <c r="Q146" t="s">
        <v>168</v>
      </c>
      <c r="R146" t="s">
        <v>354</v>
      </c>
      <c r="S146" t="s">
        <v>195</v>
      </c>
    </row>
    <row r="147" spans="3:19" x14ac:dyDescent="0.25">
      <c r="C147" t="s">
        <v>355</v>
      </c>
      <c r="D147" t="s">
        <v>188</v>
      </c>
      <c r="E147" t="s">
        <v>0</v>
      </c>
      <c r="K147" t="s">
        <v>42</v>
      </c>
      <c r="L147" t="s">
        <v>356</v>
      </c>
      <c r="M147" t="s">
        <v>166</v>
      </c>
      <c r="N147" t="s">
        <v>357</v>
      </c>
      <c r="O147">
        <v>4</v>
      </c>
      <c r="P147" t="s">
        <v>168</v>
      </c>
      <c r="Q147" t="s">
        <v>168</v>
      </c>
      <c r="R147" t="s">
        <v>358</v>
      </c>
      <c r="S147" t="s">
        <v>195</v>
      </c>
    </row>
    <row r="148" spans="3:19" x14ac:dyDescent="0.25">
      <c r="C148" t="s">
        <v>359</v>
      </c>
      <c r="D148" t="s">
        <v>188</v>
      </c>
      <c r="E148" t="s">
        <v>0</v>
      </c>
      <c r="K148" t="s">
        <v>42</v>
      </c>
      <c r="L148" t="s">
        <v>222</v>
      </c>
      <c r="M148" t="s">
        <v>166</v>
      </c>
      <c r="N148" t="s">
        <v>360</v>
      </c>
      <c r="O148">
        <v>4</v>
      </c>
      <c r="P148" t="s">
        <v>168</v>
      </c>
      <c r="Q148" t="s">
        <v>168</v>
      </c>
      <c r="R148" t="s">
        <v>361</v>
      </c>
      <c r="S148" t="s">
        <v>195</v>
      </c>
    </row>
    <row r="149" spans="3:19" x14ac:dyDescent="0.25">
      <c r="C149" t="s">
        <v>362</v>
      </c>
      <c r="D149" t="s">
        <v>188</v>
      </c>
      <c r="E149" t="s">
        <v>0</v>
      </c>
      <c r="K149" t="s">
        <v>42</v>
      </c>
      <c r="L149" t="s">
        <v>363</v>
      </c>
      <c r="M149" t="s">
        <v>166</v>
      </c>
      <c r="N149" t="s">
        <v>364</v>
      </c>
      <c r="O149">
        <v>4</v>
      </c>
      <c r="P149" t="s">
        <v>168</v>
      </c>
      <c r="Q149" t="s">
        <v>168</v>
      </c>
      <c r="R149" t="s">
        <v>365</v>
      </c>
      <c r="S149" t="s">
        <v>195</v>
      </c>
    </row>
    <row r="150" spans="3:19" x14ac:dyDescent="0.25">
      <c r="C150" t="s">
        <v>335</v>
      </c>
      <c r="D150" t="s">
        <v>197</v>
      </c>
      <c r="E150" t="s">
        <v>164</v>
      </c>
      <c r="K150" t="s">
        <v>42</v>
      </c>
      <c r="L150" t="s">
        <v>366</v>
      </c>
      <c r="M150" t="s">
        <v>166</v>
      </c>
      <c r="N150" t="s">
        <v>367</v>
      </c>
      <c r="O150">
        <v>4</v>
      </c>
      <c r="P150" t="s">
        <v>168</v>
      </c>
      <c r="Q150" t="s">
        <v>168</v>
      </c>
      <c r="R150" t="s">
        <v>338</v>
      </c>
      <c r="S150" t="s">
        <v>192</v>
      </c>
    </row>
    <row r="151" spans="3:19" x14ac:dyDescent="0.25">
      <c r="C151" t="s">
        <v>339</v>
      </c>
      <c r="D151" t="s">
        <v>197</v>
      </c>
      <c r="E151" t="s">
        <v>164</v>
      </c>
      <c r="K151" t="s">
        <v>42</v>
      </c>
      <c r="L151" t="s">
        <v>368</v>
      </c>
      <c r="M151" t="s">
        <v>166</v>
      </c>
      <c r="N151" t="s">
        <v>369</v>
      </c>
      <c r="O151">
        <v>4</v>
      </c>
      <c r="P151" t="s">
        <v>168</v>
      </c>
      <c r="Q151" t="s">
        <v>168</v>
      </c>
      <c r="R151" t="s">
        <v>342</v>
      </c>
      <c r="S151" t="s">
        <v>192</v>
      </c>
    </row>
    <row r="152" spans="3:19" x14ac:dyDescent="0.25">
      <c r="C152" t="s">
        <v>355</v>
      </c>
      <c r="D152" t="s">
        <v>188</v>
      </c>
      <c r="E152" t="s">
        <v>164</v>
      </c>
      <c r="K152" t="s">
        <v>42</v>
      </c>
      <c r="L152" t="s">
        <v>370</v>
      </c>
      <c r="M152" t="s">
        <v>166</v>
      </c>
      <c r="N152" t="s">
        <v>371</v>
      </c>
      <c r="O152">
        <v>4</v>
      </c>
      <c r="P152" t="s">
        <v>168</v>
      </c>
      <c r="Q152" t="s">
        <v>168</v>
      </c>
      <c r="R152" t="s">
        <v>358</v>
      </c>
      <c r="S152" t="s">
        <v>192</v>
      </c>
    </row>
    <row r="153" spans="3:19" x14ac:dyDescent="0.25">
      <c r="C153" t="s">
        <v>359</v>
      </c>
      <c r="D153" t="s">
        <v>188</v>
      </c>
      <c r="E153" t="s">
        <v>164</v>
      </c>
      <c r="K153" t="s">
        <v>42</v>
      </c>
      <c r="L153" t="s">
        <v>372</v>
      </c>
      <c r="M153" t="s">
        <v>166</v>
      </c>
      <c r="N153" t="s">
        <v>373</v>
      </c>
      <c r="O153">
        <v>4</v>
      </c>
      <c r="P153" t="s">
        <v>168</v>
      </c>
      <c r="Q153" t="s">
        <v>168</v>
      </c>
      <c r="R153" t="s">
        <v>361</v>
      </c>
      <c r="S153" t="s">
        <v>192</v>
      </c>
    </row>
    <row r="154" spans="3:19" x14ac:dyDescent="0.25">
      <c r="C154" t="s">
        <v>362</v>
      </c>
      <c r="D154" t="s">
        <v>188</v>
      </c>
      <c r="E154" t="s">
        <v>164</v>
      </c>
      <c r="K154" t="s">
        <v>42</v>
      </c>
      <c r="L154" t="s">
        <v>374</v>
      </c>
      <c r="M154" t="s">
        <v>166</v>
      </c>
      <c r="N154" t="s">
        <v>375</v>
      </c>
      <c r="O154">
        <v>4</v>
      </c>
      <c r="P154" t="s">
        <v>168</v>
      </c>
      <c r="Q154" t="s">
        <v>168</v>
      </c>
      <c r="R154" t="s">
        <v>365</v>
      </c>
      <c r="S154" t="s">
        <v>192</v>
      </c>
    </row>
    <row r="155" spans="3:19" x14ac:dyDescent="0.25">
      <c r="C155" t="s">
        <v>376</v>
      </c>
      <c r="D155" t="s">
        <v>197</v>
      </c>
      <c r="E155" t="s">
        <v>0</v>
      </c>
      <c r="K155" t="s">
        <v>42</v>
      </c>
      <c r="L155" t="s">
        <v>377</v>
      </c>
      <c r="M155" t="s">
        <v>166</v>
      </c>
      <c r="N155" t="s">
        <v>378</v>
      </c>
      <c r="O155">
        <v>4</v>
      </c>
      <c r="P155" t="s">
        <v>168</v>
      </c>
      <c r="Q155" t="s">
        <v>168</v>
      </c>
      <c r="R155" t="s">
        <v>379</v>
      </c>
      <c r="S155" t="s">
        <v>195</v>
      </c>
    </row>
    <row r="156" spans="3:19" x14ac:dyDescent="0.25">
      <c r="C156" t="s">
        <v>380</v>
      </c>
      <c r="D156" t="s">
        <v>197</v>
      </c>
      <c r="E156" t="s">
        <v>0</v>
      </c>
      <c r="K156" t="s">
        <v>42</v>
      </c>
      <c r="L156" t="s">
        <v>381</v>
      </c>
      <c r="M156" t="s">
        <v>166</v>
      </c>
      <c r="N156" t="s">
        <v>382</v>
      </c>
      <c r="O156">
        <v>4</v>
      </c>
      <c r="P156" t="s">
        <v>168</v>
      </c>
      <c r="Q156" t="s">
        <v>168</v>
      </c>
      <c r="R156" t="s">
        <v>383</v>
      </c>
      <c r="S156" t="s">
        <v>195</v>
      </c>
    </row>
    <row r="157" spans="3:19" x14ac:dyDescent="0.25">
      <c r="C157" t="s">
        <v>384</v>
      </c>
      <c r="D157" t="s">
        <v>197</v>
      </c>
      <c r="E157" t="s">
        <v>0</v>
      </c>
      <c r="K157" t="s">
        <v>42</v>
      </c>
      <c r="L157" t="s">
        <v>385</v>
      </c>
      <c r="M157" t="s">
        <v>166</v>
      </c>
      <c r="N157" t="s">
        <v>386</v>
      </c>
      <c r="O157">
        <v>4</v>
      </c>
      <c r="P157" t="s">
        <v>168</v>
      </c>
      <c r="Q157" t="s">
        <v>168</v>
      </c>
      <c r="R157" t="s">
        <v>387</v>
      </c>
      <c r="S157" t="s">
        <v>195</v>
      </c>
    </row>
    <row r="158" spans="3:19" x14ac:dyDescent="0.25">
      <c r="C158" t="s">
        <v>388</v>
      </c>
      <c r="D158" t="s">
        <v>197</v>
      </c>
      <c r="E158" t="s">
        <v>0</v>
      </c>
      <c r="K158" t="s">
        <v>42</v>
      </c>
      <c r="L158" t="s">
        <v>389</v>
      </c>
      <c r="M158" t="s">
        <v>166</v>
      </c>
      <c r="N158" t="s">
        <v>390</v>
      </c>
      <c r="O158">
        <v>4</v>
      </c>
      <c r="P158" t="s">
        <v>168</v>
      </c>
      <c r="Q158" t="s">
        <v>168</v>
      </c>
      <c r="R158" t="s">
        <v>391</v>
      </c>
      <c r="S158" t="s">
        <v>195</v>
      </c>
    </row>
    <row r="159" spans="3:19" x14ac:dyDescent="0.25">
      <c r="C159" t="s">
        <v>392</v>
      </c>
      <c r="D159" t="s">
        <v>197</v>
      </c>
      <c r="E159" t="s">
        <v>0</v>
      </c>
      <c r="K159" t="s">
        <v>42</v>
      </c>
      <c r="L159" t="s">
        <v>393</v>
      </c>
      <c r="M159" t="s">
        <v>166</v>
      </c>
      <c r="N159" t="s">
        <v>394</v>
      </c>
      <c r="O159">
        <v>4</v>
      </c>
      <c r="P159" t="s">
        <v>168</v>
      </c>
      <c r="Q159" t="s">
        <v>168</v>
      </c>
      <c r="R159" t="s">
        <v>395</v>
      </c>
      <c r="S159" t="s">
        <v>195</v>
      </c>
    </row>
    <row r="160" spans="3:19" x14ac:dyDescent="0.25">
      <c r="C160" t="s">
        <v>396</v>
      </c>
      <c r="D160" t="s">
        <v>197</v>
      </c>
      <c r="E160" t="s">
        <v>0</v>
      </c>
      <c r="K160" t="s">
        <v>42</v>
      </c>
      <c r="L160" t="s">
        <v>397</v>
      </c>
      <c r="M160" t="s">
        <v>166</v>
      </c>
      <c r="N160" t="s">
        <v>398</v>
      </c>
      <c r="O160">
        <v>4</v>
      </c>
      <c r="P160" t="s">
        <v>168</v>
      </c>
      <c r="Q160" t="s">
        <v>168</v>
      </c>
      <c r="R160" t="s">
        <v>399</v>
      </c>
      <c r="S160" t="s">
        <v>195</v>
      </c>
    </row>
    <row r="161" spans="3:19" x14ac:dyDescent="0.25">
      <c r="C161" t="s">
        <v>400</v>
      </c>
      <c r="D161" t="s">
        <v>197</v>
      </c>
      <c r="E161" t="s">
        <v>0</v>
      </c>
      <c r="K161" t="s">
        <v>42</v>
      </c>
      <c r="L161" t="s">
        <v>401</v>
      </c>
      <c r="M161" t="s">
        <v>166</v>
      </c>
      <c r="N161" t="s">
        <v>402</v>
      </c>
      <c r="O161">
        <v>4</v>
      </c>
      <c r="P161" t="s">
        <v>168</v>
      </c>
      <c r="Q161" t="s">
        <v>168</v>
      </c>
      <c r="R161" t="s">
        <v>403</v>
      </c>
      <c r="S161" t="s">
        <v>195</v>
      </c>
    </row>
    <row r="162" spans="3:19" x14ac:dyDescent="0.25">
      <c r="C162" t="s">
        <v>404</v>
      </c>
      <c r="D162" t="s">
        <v>188</v>
      </c>
      <c r="E162" t="s">
        <v>0</v>
      </c>
      <c r="K162" t="s">
        <v>42</v>
      </c>
      <c r="L162" t="s">
        <v>405</v>
      </c>
      <c r="M162" t="s">
        <v>166</v>
      </c>
      <c r="N162" t="s">
        <v>406</v>
      </c>
      <c r="O162">
        <v>4</v>
      </c>
      <c r="P162" t="s">
        <v>168</v>
      </c>
      <c r="Q162" t="s">
        <v>168</v>
      </c>
      <c r="R162" t="s">
        <v>407</v>
      </c>
      <c r="S162" t="s">
        <v>195</v>
      </c>
    </row>
    <row r="163" spans="3:19" x14ac:dyDescent="0.25">
      <c r="C163" t="s">
        <v>408</v>
      </c>
      <c r="D163" t="s">
        <v>188</v>
      </c>
      <c r="E163" t="s">
        <v>0</v>
      </c>
      <c r="K163" t="s">
        <v>42</v>
      </c>
      <c r="L163" t="s">
        <v>409</v>
      </c>
      <c r="M163" t="s">
        <v>166</v>
      </c>
      <c r="N163" t="s">
        <v>410</v>
      </c>
      <c r="O163">
        <v>4</v>
      </c>
      <c r="P163" t="s">
        <v>168</v>
      </c>
      <c r="Q163" t="s">
        <v>168</v>
      </c>
      <c r="R163" t="s">
        <v>411</v>
      </c>
      <c r="S163" t="s">
        <v>195</v>
      </c>
    </row>
    <row r="164" spans="3:19" x14ac:dyDescent="0.25">
      <c r="C164" t="s">
        <v>412</v>
      </c>
      <c r="D164" t="s">
        <v>188</v>
      </c>
      <c r="E164" t="s">
        <v>0</v>
      </c>
      <c r="K164" t="s">
        <v>42</v>
      </c>
      <c r="L164" t="s">
        <v>413</v>
      </c>
      <c r="M164" t="s">
        <v>166</v>
      </c>
      <c r="N164" t="s">
        <v>414</v>
      </c>
      <c r="O164">
        <v>4</v>
      </c>
      <c r="P164" t="s">
        <v>168</v>
      </c>
      <c r="Q164" t="s">
        <v>168</v>
      </c>
      <c r="R164" t="s">
        <v>415</v>
      </c>
      <c r="S164" t="s">
        <v>195</v>
      </c>
    </row>
    <row r="165" spans="3:19" x14ac:dyDescent="0.25">
      <c r="C165" t="s">
        <v>416</v>
      </c>
      <c r="D165" t="s">
        <v>197</v>
      </c>
      <c r="E165" t="s">
        <v>164</v>
      </c>
      <c r="K165" t="s">
        <v>42</v>
      </c>
      <c r="L165" t="s">
        <v>417</v>
      </c>
      <c r="M165" t="s">
        <v>166</v>
      </c>
      <c r="N165" t="s">
        <v>418</v>
      </c>
      <c r="O165">
        <v>4</v>
      </c>
      <c r="P165" t="s">
        <v>168</v>
      </c>
      <c r="Q165" t="s">
        <v>168</v>
      </c>
      <c r="R165" t="s">
        <v>419</v>
      </c>
      <c r="S165" t="s">
        <v>192</v>
      </c>
    </row>
    <row r="166" spans="3:19" x14ac:dyDescent="0.25">
      <c r="C166" t="s">
        <v>396</v>
      </c>
      <c r="D166" t="s">
        <v>197</v>
      </c>
      <c r="E166" t="s">
        <v>164</v>
      </c>
      <c r="K166" t="s">
        <v>42</v>
      </c>
      <c r="L166" t="s">
        <v>420</v>
      </c>
      <c r="M166" t="s">
        <v>166</v>
      </c>
      <c r="N166" t="s">
        <v>421</v>
      </c>
      <c r="O166">
        <v>4</v>
      </c>
      <c r="P166" t="s">
        <v>168</v>
      </c>
      <c r="Q166" t="s">
        <v>168</v>
      </c>
      <c r="R166" t="s">
        <v>399</v>
      </c>
      <c r="S166" t="s">
        <v>192</v>
      </c>
    </row>
    <row r="167" spans="3:19" x14ac:dyDescent="0.25">
      <c r="C167" t="s">
        <v>404</v>
      </c>
      <c r="D167" t="s">
        <v>188</v>
      </c>
      <c r="E167" t="s">
        <v>164</v>
      </c>
      <c r="K167" t="s">
        <v>42</v>
      </c>
      <c r="L167" t="s">
        <v>422</v>
      </c>
      <c r="M167" t="s">
        <v>166</v>
      </c>
      <c r="N167" t="s">
        <v>423</v>
      </c>
      <c r="O167">
        <v>4</v>
      </c>
      <c r="P167" t="s">
        <v>168</v>
      </c>
      <c r="Q167" t="s">
        <v>168</v>
      </c>
      <c r="R167" t="s">
        <v>407</v>
      </c>
      <c r="S167" t="s">
        <v>192</v>
      </c>
    </row>
    <row r="168" spans="3:19" x14ac:dyDescent="0.25">
      <c r="C168" t="s">
        <v>424</v>
      </c>
      <c r="D168" t="s">
        <v>188</v>
      </c>
      <c r="E168" t="s">
        <v>164</v>
      </c>
      <c r="K168" t="s">
        <v>42</v>
      </c>
      <c r="L168" t="s">
        <v>425</v>
      </c>
      <c r="M168" t="s">
        <v>166</v>
      </c>
      <c r="N168" t="s">
        <v>426</v>
      </c>
      <c r="O168">
        <v>4</v>
      </c>
      <c r="P168" t="s">
        <v>168</v>
      </c>
      <c r="Q168" t="s">
        <v>168</v>
      </c>
      <c r="R168" t="s">
        <v>427</v>
      </c>
      <c r="S168" t="s">
        <v>192</v>
      </c>
    </row>
    <row r="169" spans="3:19" x14ac:dyDescent="0.25">
      <c r="C169" t="s">
        <v>408</v>
      </c>
      <c r="D169" t="s">
        <v>188</v>
      </c>
      <c r="E169" t="s">
        <v>164</v>
      </c>
      <c r="K169" t="s">
        <v>42</v>
      </c>
      <c r="L169" t="s">
        <v>428</v>
      </c>
      <c r="M169" t="s">
        <v>166</v>
      </c>
      <c r="N169" t="s">
        <v>429</v>
      </c>
      <c r="O169">
        <v>4</v>
      </c>
      <c r="P169" t="s">
        <v>168</v>
      </c>
      <c r="Q169" t="s">
        <v>168</v>
      </c>
      <c r="R169" t="s">
        <v>411</v>
      </c>
      <c r="S169" t="s">
        <v>192</v>
      </c>
    </row>
    <row r="170" spans="3:19" x14ac:dyDescent="0.25">
      <c r="C170" t="s">
        <v>430</v>
      </c>
      <c r="D170" t="s">
        <v>188</v>
      </c>
      <c r="E170" t="s">
        <v>164</v>
      </c>
      <c r="K170" t="s">
        <v>42</v>
      </c>
      <c r="L170" t="s">
        <v>431</v>
      </c>
      <c r="M170" t="s">
        <v>166</v>
      </c>
      <c r="N170" t="s">
        <v>432</v>
      </c>
      <c r="O170">
        <v>4</v>
      </c>
      <c r="P170" t="s">
        <v>168</v>
      </c>
      <c r="Q170" t="s">
        <v>168</v>
      </c>
      <c r="R170" t="s">
        <v>433</v>
      </c>
      <c r="S170" t="s">
        <v>192</v>
      </c>
    </row>
    <row r="171" spans="3:19" x14ac:dyDescent="0.25">
      <c r="C171" t="s">
        <v>412</v>
      </c>
      <c r="D171" t="s">
        <v>188</v>
      </c>
      <c r="E171" t="s">
        <v>164</v>
      </c>
      <c r="K171" t="s">
        <v>42</v>
      </c>
      <c r="L171" t="s">
        <v>434</v>
      </c>
      <c r="M171" t="s">
        <v>166</v>
      </c>
      <c r="N171" t="s">
        <v>435</v>
      </c>
      <c r="O171">
        <v>4</v>
      </c>
      <c r="P171" t="s">
        <v>168</v>
      </c>
      <c r="Q171" t="s">
        <v>168</v>
      </c>
      <c r="R171" t="s">
        <v>415</v>
      </c>
      <c r="S171" t="s">
        <v>192</v>
      </c>
    </row>
    <row r="172" spans="3:19" x14ac:dyDescent="0.25">
      <c r="C172" t="s">
        <v>436</v>
      </c>
      <c r="D172" t="s">
        <v>188</v>
      </c>
      <c r="E172" t="s">
        <v>164</v>
      </c>
      <c r="K172" t="s">
        <v>42</v>
      </c>
      <c r="L172" t="s">
        <v>437</v>
      </c>
      <c r="M172" t="s">
        <v>166</v>
      </c>
      <c r="N172" t="s">
        <v>438</v>
      </c>
      <c r="O172">
        <v>4</v>
      </c>
      <c r="P172" t="s">
        <v>168</v>
      </c>
      <c r="Q172" t="s">
        <v>168</v>
      </c>
      <c r="R172" t="s">
        <v>439</v>
      </c>
      <c r="S172" t="s">
        <v>192</v>
      </c>
    </row>
    <row r="173" spans="3:19" x14ac:dyDescent="0.25">
      <c r="C173" t="s">
        <v>440</v>
      </c>
      <c r="D173" t="s">
        <v>188</v>
      </c>
      <c r="E173" t="s">
        <v>164</v>
      </c>
      <c r="K173" t="s">
        <v>42</v>
      </c>
      <c r="L173" t="s">
        <v>441</v>
      </c>
      <c r="M173" t="s">
        <v>166</v>
      </c>
      <c r="N173" t="s">
        <v>442</v>
      </c>
      <c r="O173">
        <v>4</v>
      </c>
      <c r="P173" t="s">
        <v>168</v>
      </c>
      <c r="Q173" t="s">
        <v>168</v>
      </c>
      <c r="R173" t="s">
        <v>443</v>
      </c>
      <c r="S173" t="s">
        <v>192</v>
      </c>
    </row>
    <row r="174" spans="3:19" x14ac:dyDescent="0.25">
      <c r="C174" t="s">
        <v>444</v>
      </c>
      <c r="D174" t="s">
        <v>197</v>
      </c>
      <c r="E174" t="s">
        <v>0</v>
      </c>
      <c r="K174" t="s">
        <v>42</v>
      </c>
      <c r="L174" t="s">
        <v>445</v>
      </c>
      <c r="M174" t="s">
        <v>166</v>
      </c>
      <c r="N174" t="s">
        <v>446</v>
      </c>
      <c r="O174">
        <v>4</v>
      </c>
      <c r="P174" t="s">
        <v>168</v>
      </c>
      <c r="Q174" t="s">
        <v>168</v>
      </c>
      <c r="R174" t="s">
        <v>447</v>
      </c>
      <c r="S174" t="s">
        <v>195</v>
      </c>
    </row>
    <row r="175" spans="3:19" x14ac:dyDescent="0.25">
      <c r="C175" t="s">
        <v>448</v>
      </c>
      <c r="D175" t="s">
        <v>197</v>
      </c>
      <c r="E175" t="s">
        <v>0</v>
      </c>
      <c r="K175" t="s">
        <v>42</v>
      </c>
      <c r="L175" t="s">
        <v>449</v>
      </c>
      <c r="M175" t="s">
        <v>166</v>
      </c>
      <c r="N175" t="s">
        <v>450</v>
      </c>
      <c r="O175">
        <v>4</v>
      </c>
      <c r="P175" t="s">
        <v>168</v>
      </c>
      <c r="Q175" t="s">
        <v>168</v>
      </c>
      <c r="R175" t="s">
        <v>451</v>
      </c>
      <c r="S175" t="s">
        <v>195</v>
      </c>
    </row>
    <row r="176" spans="3:19" x14ac:dyDescent="0.25">
      <c r="C176" t="s">
        <v>452</v>
      </c>
      <c r="D176" t="s">
        <v>197</v>
      </c>
      <c r="E176" t="s">
        <v>0</v>
      </c>
      <c r="K176" t="s">
        <v>42</v>
      </c>
      <c r="L176" t="s">
        <v>453</v>
      </c>
      <c r="M176" t="s">
        <v>166</v>
      </c>
      <c r="N176" t="s">
        <v>454</v>
      </c>
      <c r="O176">
        <v>4</v>
      </c>
      <c r="P176" t="s">
        <v>168</v>
      </c>
      <c r="Q176" t="s">
        <v>168</v>
      </c>
      <c r="R176" t="s">
        <v>455</v>
      </c>
      <c r="S176" t="s">
        <v>195</v>
      </c>
    </row>
    <row r="177" spans="3:19" x14ac:dyDescent="0.25">
      <c r="C177" t="s">
        <v>456</v>
      </c>
      <c r="D177" t="s">
        <v>197</v>
      </c>
      <c r="E177" t="s">
        <v>0</v>
      </c>
      <c r="K177" t="s">
        <v>42</v>
      </c>
      <c r="L177" t="s">
        <v>457</v>
      </c>
      <c r="M177" t="s">
        <v>166</v>
      </c>
      <c r="N177" t="s">
        <v>458</v>
      </c>
      <c r="O177">
        <v>4</v>
      </c>
      <c r="P177" t="s">
        <v>168</v>
      </c>
      <c r="Q177" t="s">
        <v>168</v>
      </c>
      <c r="R177" t="s">
        <v>459</v>
      </c>
      <c r="S177" t="s">
        <v>195</v>
      </c>
    </row>
    <row r="178" spans="3:19" x14ac:dyDescent="0.25">
      <c r="C178" t="s">
        <v>460</v>
      </c>
      <c r="D178" t="s">
        <v>197</v>
      </c>
      <c r="E178" t="s">
        <v>0</v>
      </c>
      <c r="K178" t="s">
        <v>42</v>
      </c>
      <c r="L178" t="s">
        <v>461</v>
      </c>
      <c r="M178" t="s">
        <v>166</v>
      </c>
      <c r="N178" t="s">
        <v>462</v>
      </c>
      <c r="O178">
        <v>4</v>
      </c>
      <c r="P178" t="s">
        <v>168</v>
      </c>
      <c r="Q178" t="s">
        <v>168</v>
      </c>
      <c r="R178" t="s">
        <v>463</v>
      </c>
      <c r="S178" t="s">
        <v>195</v>
      </c>
    </row>
    <row r="179" spans="3:19" x14ac:dyDescent="0.25">
      <c r="C179" t="s">
        <v>464</v>
      </c>
      <c r="D179" t="s">
        <v>197</v>
      </c>
      <c r="E179" t="s">
        <v>0</v>
      </c>
      <c r="K179" t="s">
        <v>42</v>
      </c>
      <c r="L179" t="s">
        <v>465</v>
      </c>
      <c r="M179" t="s">
        <v>166</v>
      </c>
      <c r="N179" t="s">
        <v>466</v>
      </c>
      <c r="O179">
        <v>4</v>
      </c>
      <c r="P179" t="s">
        <v>168</v>
      </c>
      <c r="Q179" t="s">
        <v>168</v>
      </c>
      <c r="R179" t="s">
        <v>467</v>
      </c>
      <c r="S179" t="s">
        <v>195</v>
      </c>
    </row>
    <row r="180" spans="3:19" x14ac:dyDescent="0.25">
      <c r="C180" t="s">
        <v>468</v>
      </c>
      <c r="D180" t="s">
        <v>197</v>
      </c>
      <c r="E180" t="s">
        <v>0</v>
      </c>
      <c r="K180" t="s">
        <v>42</v>
      </c>
      <c r="L180" t="s">
        <v>469</v>
      </c>
      <c r="M180" t="s">
        <v>166</v>
      </c>
      <c r="N180" t="s">
        <v>470</v>
      </c>
      <c r="O180">
        <v>4</v>
      </c>
      <c r="P180" t="s">
        <v>168</v>
      </c>
      <c r="Q180" t="s">
        <v>168</v>
      </c>
      <c r="R180" t="s">
        <v>471</v>
      </c>
      <c r="S180" t="s">
        <v>195</v>
      </c>
    </row>
    <row r="181" spans="3:19" x14ac:dyDescent="0.25">
      <c r="C181" t="s">
        <v>472</v>
      </c>
      <c r="D181" t="s">
        <v>197</v>
      </c>
      <c r="E181" t="s">
        <v>0</v>
      </c>
      <c r="K181" t="s">
        <v>42</v>
      </c>
      <c r="L181" t="s">
        <v>473</v>
      </c>
      <c r="M181" t="s">
        <v>166</v>
      </c>
      <c r="N181" t="s">
        <v>474</v>
      </c>
      <c r="O181">
        <v>4</v>
      </c>
      <c r="P181" t="s">
        <v>168</v>
      </c>
      <c r="Q181" t="s">
        <v>168</v>
      </c>
      <c r="R181" t="s">
        <v>475</v>
      </c>
      <c r="S181" t="s">
        <v>195</v>
      </c>
    </row>
    <row r="182" spans="3:19" x14ac:dyDescent="0.25">
      <c r="C182" t="s">
        <v>476</v>
      </c>
      <c r="D182" t="s">
        <v>197</v>
      </c>
      <c r="E182" t="s">
        <v>0</v>
      </c>
      <c r="K182" t="s">
        <v>42</v>
      </c>
      <c r="L182" t="s">
        <v>477</v>
      </c>
      <c r="M182" t="s">
        <v>166</v>
      </c>
      <c r="N182" t="s">
        <v>478</v>
      </c>
      <c r="O182">
        <v>4</v>
      </c>
      <c r="P182" t="s">
        <v>168</v>
      </c>
      <c r="Q182" t="s">
        <v>168</v>
      </c>
      <c r="R182" t="s">
        <v>479</v>
      </c>
      <c r="S182" t="s">
        <v>195</v>
      </c>
    </row>
    <row r="183" spans="3:19" x14ac:dyDescent="0.25">
      <c r="C183" t="s">
        <v>480</v>
      </c>
      <c r="D183" t="s">
        <v>197</v>
      </c>
      <c r="E183" t="s">
        <v>0</v>
      </c>
      <c r="K183" t="s">
        <v>42</v>
      </c>
      <c r="L183" t="s">
        <v>481</v>
      </c>
      <c r="M183" t="s">
        <v>166</v>
      </c>
      <c r="N183" t="s">
        <v>482</v>
      </c>
      <c r="O183">
        <v>4</v>
      </c>
      <c r="P183" t="s">
        <v>168</v>
      </c>
      <c r="Q183" t="s">
        <v>168</v>
      </c>
      <c r="R183" t="s">
        <v>483</v>
      </c>
      <c r="S183" t="s">
        <v>195</v>
      </c>
    </row>
    <row r="184" spans="3:19" x14ac:dyDescent="0.25">
      <c r="C184" t="s">
        <v>484</v>
      </c>
      <c r="D184" t="s">
        <v>188</v>
      </c>
      <c r="E184" t="s">
        <v>0</v>
      </c>
      <c r="K184" t="s">
        <v>42</v>
      </c>
      <c r="L184" t="s">
        <v>485</v>
      </c>
      <c r="M184" t="s">
        <v>166</v>
      </c>
      <c r="N184" t="s">
        <v>486</v>
      </c>
      <c r="O184">
        <v>4</v>
      </c>
      <c r="P184" t="s">
        <v>168</v>
      </c>
      <c r="Q184" t="s">
        <v>168</v>
      </c>
      <c r="R184" t="s">
        <v>487</v>
      </c>
      <c r="S184" t="s">
        <v>195</v>
      </c>
    </row>
    <row r="185" spans="3:19" x14ac:dyDescent="0.25">
      <c r="C185" t="s">
        <v>488</v>
      </c>
      <c r="D185" t="s">
        <v>188</v>
      </c>
      <c r="E185" t="s">
        <v>0</v>
      </c>
      <c r="K185" t="s">
        <v>42</v>
      </c>
      <c r="L185" t="s">
        <v>489</v>
      </c>
      <c r="M185" t="s">
        <v>166</v>
      </c>
      <c r="N185" t="s">
        <v>490</v>
      </c>
      <c r="O185">
        <v>4</v>
      </c>
      <c r="P185" t="s">
        <v>168</v>
      </c>
      <c r="Q185" t="s">
        <v>168</v>
      </c>
      <c r="R185" t="s">
        <v>491</v>
      </c>
      <c r="S185" t="s">
        <v>195</v>
      </c>
    </row>
    <row r="186" spans="3:19" x14ac:dyDescent="0.25">
      <c r="C186" t="s">
        <v>492</v>
      </c>
      <c r="D186" t="s">
        <v>188</v>
      </c>
      <c r="E186" t="s">
        <v>0</v>
      </c>
      <c r="K186" t="s">
        <v>42</v>
      </c>
      <c r="L186" t="s">
        <v>493</v>
      </c>
      <c r="M186" t="s">
        <v>166</v>
      </c>
      <c r="N186" t="s">
        <v>494</v>
      </c>
      <c r="O186">
        <v>4</v>
      </c>
      <c r="P186" t="s">
        <v>168</v>
      </c>
      <c r="Q186" t="s">
        <v>168</v>
      </c>
      <c r="R186" t="s">
        <v>495</v>
      </c>
      <c r="S186" t="s">
        <v>195</v>
      </c>
    </row>
    <row r="187" spans="3:19" x14ac:dyDescent="0.25">
      <c r="C187" t="s">
        <v>496</v>
      </c>
      <c r="D187" t="s">
        <v>188</v>
      </c>
      <c r="E187" t="s">
        <v>0</v>
      </c>
      <c r="K187" t="s">
        <v>42</v>
      </c>
      <c r="L187" t="s">
        <v>497</v>
      </c>
      <c r="M187" t="s">
        <v>166</v>
      </c>
      <c r="N187" t="s">
        <v>498</v>
      </c>
      <c r="O187">
        <v>4</v>
      </c>
      <c r="P187" t="s">
        <v>168</v>
      </c>
      <c r="Q187" t="s">
        <v>168</v>
      </c>
      <c r="R187" t="s">
        <v>499</v>
      </c>
      <c r="S187" t="s">
        <v>195</v>
      </c>
    </row>
    <row r="188" spans="3:19" x14ac:dyDescent="0.25">
      <c r="C188" t="s">
        <v>500</v>
      </c>
      <c r="D188" t="s">
        <v>188</v>
      </c>
      <c r="E188" t="s">
        <v>164</v>
      </c>
      <c r="K188" t="s">
        <v>42</v>
      </c>
      <c r="L188" t="s">
        <v>501</v>
      </c>
      <c r="M188" t="s">
        <v>166</v>
      </c>
      <c r="N188" t="s">
        <v>502</v>
      </c>
      <c r="O188">
        <v>4</v>
      </c>
      <c r="P188" t="s">
        <v>168</v>
      </c>
      <c r="Q188" t="s">
        <v>168</v>
      </c>
      <c r="R188" t="s">
        <v>503</v>
      </c>
      <c r="S188" t="s">
        <v>192</v>
      </c>
    </row>
    <row r="189" spans="3:19" x14ac:dyDescent="0.25">
      <c r="C189" t="s">
        <v>484</v>
      </c>
      <c r="D189" t="s">
        <v>188</v>
      </c>
      <c r="E189" t="s">
        <v>164</v>
      </c>
      <c r="K189" t="s">
        <v>42</v>
      </c>
      <c r="L189" t="s">
        <v>504</v>
      </c>
      <c r="M189" t="s">
        <v>166</v>
      </c>
      <c r="N189" t="s">
        <v>505</v>
      </c>
      <c r="O189">
        <v>4</v>
      </c>
      <c r="P189" t="s">
        <v>168</v>
      </c>
      <c r="Q189" t="s">
        <v>168</v>
      </c>
      <c r="R189" t="s">
        <v>487</v>
      </c>
      <c r="S189" t="s">
        <v>192</v>
      </c>
    </row>
    <row r="190" spans="3:19" x14ac:dyDescent="0.25">
      <c r="C190" t="s">
        <v>488</v>
      </c>
      <c r="D190" t="s">
        <v>188</v>
      </c>
      <c r="E190" t="s">
        <v>164</v>
      </c>
      <c r="K190" t="s">
        <v>42</v>
      </c>
      <c r="L190" t="s">
        <v>506</v>
      </c>
      <c r="M190" t="s">
        <v>166</v>
      </c>
      <c r="N190" t="s">
        <v>507</v>
      </c>
      <c r="O190">
        <v>4</v>
      </c>
      <c r="P190" t="s">
        <v>168</v>
      </c>
      <c r="Q190" t="s">
        <v>168</v>
      </c>
      <c r="R190" t="s">
        <v>491</v>
      </c>
      <c r="S190" t="s">
        <v>192</v>
      </c>
    </row>
    <row r="191" spans="3:19" x14ac:dyDescent="0.25">
      <c r="C191" t="s">
        <v>492</v>
      </c>
      <c r="D191" t="s">
        <v>188</v>
      </c>
      <c r="E191" t="s">
        <v>164</v>
      </c>
      <c r="K191" t="s">
        <v>42</v>
      </c>
      <c r="L191" t="s">
        <v>508</v>
      </c>
      <c r="M191" t="s">
        <v>166</v>
      </c>
      <c r="N191" t="s">
        <v>509</v>
      </c>
      <c r="O191">
        <v>4</v>
      </c>
      <c r="P191" t="s">
        <v>168</v>
      </c>
      <c r="Q191" t="s">
        <v>168</v>
      </c>
      <c r="R191" t="s">
        <v>495</v>
      </c>
      <c r="S191" t="s">
        <v>192</v>
      </c>
    </row>
    <row r="192" spans="3:19" x14ac:dyDescent="0.25">
      <c r="C192" t="s">
        <v>510</v>
      </c>
      <c r="D192" t="s">
        <v>188</v>
      </c>
      <c r="E192" t="s">
        <v>164</v>
      </c>
      <c r="K192" t="s">
        <v>42</v>
      </c>
      <c r="L192" t="s">
        <v>511</v>
      </c>
      <c r="M192" t="s">
        <v>166</v>
      </c>
      <c r="N192" t="s">
        <v>512</v>
      </c>
      <c r="O192">
        <v>4</v>
      </c>
      <c r="P192" t="s">
        <v>168</v>
      </c>
      <c r="Q192" t="s">
        <v>168</v>
      </c>
      <c r="R192" t="s">
        <v>513</v>
      </c>
      <c r="S192" t="s">
        <v>192</v>
      </c>
    </row>
    <row r="193" spans="3:19" x14ac:dyDescent="0.25">
      <c r="C193" t="s">
        <v>496</v>
      </c>
      <c r="D193" t="s">
        <v>188</v>
      </c>
      <c r="E193" t="s">
        <v>164</v>
      </c>
      <c r="K193" t="s">
        <v>42</v>
      </c>
      <c r="L193" t="s">
        <v>514</v>
      </c>
      <c r="M193" t="s">
        <v>166</v>
      </c>
      <c r="N193" t="s">
        <v>515</v>
      </c>
      <c r="O193">
        <v>4</v>
      </c>
      <c r="P193" t="s">
        <v>168</v>
      </c>
      <c r="Q193" t="s">
        <v>168</v>
      </c>
      <c r="R193" t="s">
        <v>499</v>
      </c>
      <c r="S193" t="s">
        <v>192</v>
      </c>
    </row>
    <row r="194" spans="3:19" x14ac:dyDescent="0.25">
      <c r="C194" t="s">
        <v>516</v>
      </c>
      <c r="D194" t="s">
        <v>197</v>
      </c>
      <c r="E194" t="s">
        <v>164</v>
      </c>
      <c r="K194" t="s">
        <v>42</v>
      </c>
      <c r="L194" t="s">
        <v>517</v>
      </c>
      <c r="M194" t="s">
        <v>166</v>
      </c>
      <c r="N194" t="s">
        <v>518</v>
      </c>
      <c r="O194">
        <v>4</v>
      </c>
      <c r="P194" t="s">
        <v>168</v>
      </c>
      <c r="Q194" t="s">
        <v>168</v>
      </c>
      <c r="R194" t="s">
        <v>519</v>
      </c>
      <c r="S194" t="s">
        <v>192</v>
      </c>
    </row>
    <row r="195" spans="3:19" x14ac:dyDescent="0.25">
      <c r="C195" t="s">
        <v>520</v>
      </c>
      <c r="D195" t="s">
        <v>188</v>
      </c>
      <c r="E195" t="s">
        <v>164</v>
      </c>
      <c r="K195" t="s">
        <v>42</v>
      </c>
      <c r="L195" t="s">
        <v>521</v>
      </c>
      <c r="M195" t="s">
        <v>166</v>
      </c>
      <c r="N195" t="s">
        <v>522</v>
      </c>
      <c r="O195">
        <v>4</v>
      </c>
      <c r="P195" t="s">
        <v>168</v>
      </c>
      <c r="Q195" t="s">
        <v>168</v>
      </c>
      <c r="R195" t="s">
        <v>523</v>
      </c>
      <c r="S195" t="s">
        <v>192</v>
      </c>
    </row>
    <row r="196" spans="3:19" x14ac:dyDescent="0.25">
      <c r="C196" t="s">
        <v>516</v>
      </c>
      <c r="D196" t="s">
        <v>197</v>
      </c>
      <c r="E196" t="s">
        <v>0</v>
      </c>
      <c r="K196" t="s">
        <v>42</v>
      </c>
      <c r="L196" t="s">
        <v>524</v>
      </c>
      <c r="M196" t="s">
        <v>166</v>
      </c>
      <c r="N196" t="s">
        <v>525</v>
      </c>
      <c r="O196">
        <v>4</v>
      </c>
      <c r="P196" t="s">
        <v>168</v>
      </c>
      <c r="Q196" t="s">
        <v>168</v>
      </c>
      <c r="R196" t="s">
        <v>519</v>
      </c>
      <c r="S196" t="s">
        <v>195</v>
      </c>
    </row>
    <row r="197" spans="3:19" x14ac:dyDescent="0.25">
      <c r="C197" t="s">
        <v>526</v>
      </c>
      <c r="D197" t="s">
        <v>197</v>
      </c>
      <c r="E197" t="s">
        <v>0</v>
      </c>
      <c r="K197" t="s">
        <v>42</v>
      </c>
      <c r="L197" t="s">
        <v>527</v>
      </c>
      <c r="M197" t="s">
        <v>166</v>
      </c>
      <c r="N197" t="s">
        <v>528</v>
      </c>
      <c r="O197">
        <v>4</v>
      </c>
      <c r="P197" t="s">
        <v>168</v>
      </c>
      <c r="Q197" t="s">
        <v>168</v>
      </c>
      <c r="R197" t="s">
        <v>529</v>
      </c>
      <c r="S197" t="s">
        <v>195</v>
      </c>
    </row>
    <row r="198" spans="3:19" x14ac:dyDescent="0.25">
      <c r="C198" t="s">
        <v>530</v>
      </c>
      <c r="D198" t="s">
        <v>197</v>
      </c>
      <c r="E198" t="s">
        <v>0</v>
      </c>
      <c r="K198" t="s">
        <v>42</v>
      </c>
      <c r="L198" t="s">
        <v>531</v>
      </c>
      <c r="M198" t="s">
        <v>166</v>
      </c>
      <c r="N198" t="s">
        <v>532</v>
      </c>
      <c r="O198">
        <v>4</v>
      </c>
      <c r="P198" t="s">
        <v>168</v>
      </c>
      <c r="Q198" t="s">
        <v>168</v>
      </c>
      <c r="R198" t="s">
        <v>533</v>
      </c>
      <c r="S198" t="s">
        <v>195</v>
      </c>
    </row>
    <row r="199" spans="3:19" x14ac:dyDescent="0.25">
      <c r="C199" t="s">
        <v>534</v>
      </c>
      <c r="D199" t="s">
        <v>188</v>
      </c>
      <c r="E199" t="s">
        <v>0</v>
      </c>
      <c r="K199" t="s">
        <v>42</v>
      </c>
      <c r="L199" t="s">
        <v>535</v>
      </c>
      <c r="M199" t="s">
        <v>166</v>
      </c>
      <c r="N199" t="s">
        <v>536</v>
      </c>
      <c r="O199">
        <v>4</v>
      </c>
      <c r="P199" t="s">
        <v>168</v>
      </c>
      <c r="Q199" t="s">
        <v>168</v>
      </c>
      <c r="R199" t="s">
        <v>537</v>
      </c>
      <c r="S199" t="s">
        <v>195</v>
      </c>
    </row>
    <row r="200" spans="3:19" x14ac:dyDescent="0.25">
      <c r="C200" t="s">
        <v>538</v>
      </c>
      <c r="D200" t="s">
        <v>188</v>
      </c>
      <c r="E200" t="s">
        <v>0</v>
      </c>
      <c r="K200" t="s">
        <v>42</v>
      </c>
      <c r="L200" t="s">
        <v>539</v>
      </c>
      <c r="M200" t="s">
        <v>166</v>
      </c>
      <c r="N200" t="s">
        <v>540</v>
      </c>
      <c r="O200">
        <v>4</v>
      </c>
      <c r="P200" t="s">
        <v>168</v>
      </c>
      <c r="Q200" t="s">
        <v>168</v>
      </c>
      <c r="R200" t="s">
        <v>541</v>
      </c>
      <c r="S200" t="s">
        <v>195</v>
      </c>
    </row>
    <row r="201" spans="3:19" x14ac:dyDescent="0.25">
      <c r="C201" t="s">
        <v>534</v>
      </c>
      <c r="D201" t="s">
        <v>188</v>
      </c>
      <c r="E201" t="s">
        <v>164</v>
      </c>
      <c r="K201" t="s">
        <v>42</v>
      </c>
      <c r="L201" t="s">
        <v>542</v>
      </c>
      <c r="M201" t="s">
        <v>166</v>
      </c>
      <c r="N201" t="s">
        <v>543</v>
      </c>
      <c r="O201">
        <v>4</v>
      </c>
      <c r="P201" t="s">
        <v>168</v>
      </c>
      <c r="Q201" t="s">
        <v>168</v>
      </c>
      <c r="R201" t="s">
        <v>537</v>
      </c>
      <c r="S201" t="s">
        <v>192</v>
      </c>
    </row>
    <row r="202" spans="3:19" x14ac:dyDescent="0.25">
      <c r="C202" t="s">
        <v>544</v>
      </c>
      <c r="D202" t="s">
        <v>197</v>
      </c>
      <c r="E202" t="s">
        <v>164</v>
      </c>
      <c r="K202" t="s">
        <v>42</v>
      </c>
      <c r="L202" t="s">
        <v>545</v>
      </c>
      <c r="M202" t="s">
        <v>166</v>
      </c>
      <c r="N202" t="s">
        <v>546</v>
      </c>
      <c r="O202">
        <v>4</v>
      </c>
      <c r="P202" t="s">
        <v>168</v>
      </c>
      <c r="Q202" t="s">
        <v>168</v>
      </c>
      <c r="R202" t="s">
        <v>547</v>
      </c>
      <c r="S202" t="s">
        <v>192</v>
      </c>
    </row>
    <row r="203" spans="3:19" x14ac:dyDescent="0.25">
      <c r="C203" t="s">
        <v>548</v>
      </c>
      <c r="D203" t="s">
        <v>197</v>
      </c>
      <c r="E203" t="s">
        <v>164</v>
      </c>
      <c r="K203" t="s">
        <v>42</v>
      </c>
      <c r="L203" t="s">
        <v>549</v>
      </c>
      <c r="M203" t="s">
        <v>166</v>
      </c>
      <c r="N203" t="s">
        <v>550</v>
      </c>
      <c r="O203">
        <v>4</v>
      </c>
      <c r="P203" t="s">
        <v>168</v>
      </c>
      <c r="Q203" t="s">
        <v>168</v>
      </c>
      <c r="R203" t="s">
        <v>551</v>
      </c>
      <c r="S203" t="s">
        <v>192</v>
      </c>
    </row>
    <row r="204" spans="3:19" x14ac:dyDescent="0.25">
      <c r="C204" t="s">
        <v>548</v>
      </c>
      <c r="D204" t="s">
        <v>197</v>
      </c>
      <c r="E204" t="s">
        <v>0</v>
      </c>
      <c r="K204" t="s">
        <v>42</v>
      </c>
      <c r="L204" t="s">
        <v>552</v>
      </c>
      <c r="M204" t="s">
        <v>166</v>
      </c>
      <c r="N204" t="s">
        <v>553</v>
      </c>
      <c r="O204">
        <v>4</v>
      </c>
      <c r="P204" t="s">
        <v>168</v>
      </c>
      <c r="Q204" t="s">
        <v>168</v>
      </c>
      <c r="R204" t="s">
        <v>551</v>
      </c>
      <c r="S204" t="s">
        <v>195</v>
      </c>
    </row>
    <row r="205" spans="3:19" x14ac:dyDescent="0.25">
      <c r="C205" t="s">
        <v>554</v>
      </c>
      <c r="D205" t="s">
        <v>197</v>
      </c>
      <c r="E205" t="s">
        <v>0</v>
      </c>
      <c r="K205" t="s">
        <v>42</v>
      </c>
      <c r="L205" t="s">
        <v>555</v>
      </c>
      <c r="M205" t="s">
        <v>166</v>
      </c>
      <c r="N205" t="s">
        <v>556</v>
      </c>
      <c r="O205">
        <v>4</v>
      </c>
      <c r="P205" t="s">
        <v>168</v>
      </c>
      <c r="Q205" t="s">
        <v>168</v>
      </c>
      <c r="R205" t="s">
        <v>557</v>
      </c>
      <c r="S205" t="s">
        <v>195</v>
      </c>
    </row>
    <row r="206" spans="3:19" x14ac:dyDescent="0.25">
      <c r="C206" t="s">
        <v>558</v>
      </c>
      <c r="D206" t="s">
        <v>197</v>
      </c>
      <c r="E206" t="s">
        <v>0</v>
      </c>
      <c r="K206" t="s">
        <v>42</v>
      </c>
      <c r="L206" t="s">
        <v>559</v>
      </c>
      <c r="M206" t="s">
        <v>166</v>
      </c>
      <c r="N206" t="s">
        <v>560</v>
      </c>
      <c r="O206">
        <v>4</v>
      </c>
      <c r="P206" t="s">
        <v>168</v>
      </c>
      <c r="Q206" t="s">
        <v>168</v>
      </c>
      <c r="R206" t="s">
        <v>561</v>
      </c>
      <c r="S206" t="s">
        <v>195</v>
      </c>
    </row>
    <row r="207" spans="3:19" x14ac:dyDescent="0.25">
      <c r="C207" t="s">
        <v>562</v>
      </c>
      <c r="D207" t="s">
        <v>197</v>
      </c>
      <c r="E207" t="s">
        <v>0</v>
      </c>
      <c r="K207" t="s">
        <v>42</v>
      </c>
      <c r="L207" t="s">
        <v>563</v>
      </c>
      <c r="M207" t="s">
        <v>166</v>
      </c>
      <c r="N207" t="s">
        <v>564</v>
      </c>
      <c r="O207">
        <v>4</v>
      </c>
      <c r="P207" t="s">
        <v>168</v>
      </c>
      <c r="Q207" t="s">
        <v>168</v>
      </c>
      <c r="R207" t="s">
        <v>565</v>
      </c>
      <c r="S207" t="s">
        <v>195</v>
      </c>
    </row>
    <row r="208" spans="3:19" x14ac:dyDescent="0.25">
      <c r="C208" t="s">
        <v>566</v>
      </c>
      <c r="D208" t="s">
        <v>197</v>
      </c>
      <c r="E208" t="s">
        <v>0</v>
      </c>
      <c r="K208" t="s">
        <v>42</v>
      </c>
      <c r="L208" t="s">
        <v>567</v>
      </c>
      <c r="M208" t="s">
        <v>166</v>
      </c>
      <c r="N208" t="s">
        <v>568</v>
      </c>
      <c r="O208">
        <v>4</v>
      </c>
      <c r="P208" t="s">
        <v>168</v>
      </c>
      <c r="Q208" t="s">
        <v>168</v>
      </c>
      <c r="R208" t="s">
        <v>569</v>
      </c>
      <c r="S208" t="s">
        <v>195</v>
      </c>
    </row>
    <row r="209" spans="1:19" x14ac:dyDescent="0.25">
      <c r="C209" t="s">
        <v>570</v>
      </c>
      <c r="D209" t="s">
        <v>197</v>
      </c>
      <c r="E209" t="s">
        <v>0</v>
      </c>
      <c r="K209" t="s">
        <v>42</v>
      </c>
      <c r="L209" t="s">
        <v>571</v>
      </c>
      <c r="M209" t="s">
        <v>166</v>
      </c>
      <c r="N209" t="s">
        <v>572</v>
      </c>
      <c r="O209">
        <v>4</v>
      </c>
      <c r="P209" t="s">
        <v>168</v>
      </c>
      <c r="Q209" t="s">
        <v>168</v>
      </c>
      <c r="R209" t="s">
        <v>573</v>
      </c>
      <c r="S209" t="s">
        <v>195</v>
      </c>
    </row>
    <row r="210" spans="1:19" x14ac:dyDescent="0.25">
      <c r="C210" t="s">
        <v>574</v>
      </c>
      <c r="D210" t="s">
        <v>188</v>
      </c>
      <c r="E210" t="s">
        <v>0</v>
      </c>
      <c r="K210" t="s">
        <v>42</v>
      </c>
      <c r="L210" t="s">
        <v>575</v>
      </c>
      <c r="M210" t="s">
        <v>166</v>
      </c>
      <c r="N210" t="s">
        <v>576</v>
      </c>
      <c r="O210">
        <v>4</v>
      </c>
      <c r="P210" t="s">
        <v>168</v>
      </c>
      <c r="Q210" t="s">
        <v>168</v>
      </c>
      <c r="R210" t="s">
        <v>577</v>
      </c>
      <c r="S210" t="s">
        <v>195</v>
      </c>
    </row>
    <row r="211" spans="1:19" x14ac:dyDescent="0.25">
      <c r="C211" t="s">
        <v>578</v>
      </c>
      <c r="D211" t="s">
        <v>188</v>
      </c>
      <c r="E211" t="s">
        <v>0</v>
      </c>
      <c r="K211" t="s">
        <v>42</v>
      </c>
      <c r="L211" t="s">
        <v>579</v>
      </c>
      <c r="M211" t="s">
        <v>166</v>
      </c>
      <c r="N211" t="s">
        <v>580</v>
      </c>
      <c r="O211">
        <v>4</v>
      </c>
      <c r="P211" t="s">
        <v>168</v>
      </c>
      <c r="Q211" t="s">
        <v>168</v>
      </c>
      <c r="R211" t="s">
        <v>581</v>
      </c>
      <c r="S211" t="s">
        <v>195</v>
      </c>
    </row>
    <row r="212" spans="1:19" x14ac:dyDescent="0.25">
      <c r="C212" t="s">
        <v>582</v>
      </c>
      <c r="D212" t="s">
        <v>188</v>
      </c>
      <c r="E212" t="s">
        <v>0</v>
      </c>
      <c r="K212" t="s">
        <v>42</v>
      </c>
      <c r="L212" t="s">
        <v>583</v>
      </c>
      <c r="M212" t="s">
        <v>166</v>
      </c>
      <c r="N212" t="s">
        <v>584</v>
      </c>
      <c r="O212">
        <v>4</v>
      </c>
      <c r="P212" t="s">
        <v>168</v>
      </c>
      <c r="Q212" t="s">
        <v>168</v>
      </c>
      <c r="R212" t="s">
        <v>585</v>
      </c>
      <c r="S212" t="s">
        <v>195</v>
      </c>
    </row>
    <row r="213" spans="1:19" x14ac:dyDescent="0.25">
      <c r="C213" t="s">
        <v>574</v>
      </c>
      <c r="D213" t="s">
        <v>188</v>
      </c>
      <c r="E213" t="s">
        <v>164</v>
      </c>
      <c r="K213" t="s">
        <v>42</v>
      </c>
      <c r="L213" t="s">
        <v>586</v>
      </c>
      <c r="M213" t="s">
        <v>166</v>
      </c>
      <c r="N213" t="s">
        <v>587</v>
      </c>
      <c r="O213">
        <v>4</v>
      </c>
      <c r="P213" t="s">
        <v>168</v>
      </c>
      <c r="Q213" t="s">
        <v>168</v>
      </c>
      <c r="R213" t="s">
        <v>577</v>
      </c>
      <c r="S213" t="s">
        <v>192</v>
      </c>
    </row>
    <row r="214" spans="1:19" x14ac:dyDescent="0.25">
      <c r="C214" t="s">
        <v>588</v>
      </c>
      <c r="D214" t="s">
        <v>188</v>
      </c>
      <c r="E214" t="s">
        <v>164</v>
      </c>
      <c r="K214" t="s">
        <v>42</v>
      </c>
      <c r="L214" t="s">
        <v>589</v>
      </c>
      <c r="M214" t="s">
        <v>166</v>
      </c>
      <c r="N214" t="s">
        <v>590</v>
      </c>
      <c r="O214">
        <v>4</v>
      </c>
      <c r="P214" t="s">
        <v>168</v>
      </c>
      <c r="Q214" t="s">
        <v>168</v>
      </c>
      <c r="R214" t="s">
        <v>591</v>
      </c>
      <c r="S214" t="s">
        <v>192</v>
      </c>
    </row>
    <row r="215" spans="1:19" x14ac:dyDescent="0.25">
      <c r="C215" t="s">
        <v>592</v>
      </c>
      <c r="D215" t="s">
        <v>188</v>
      </c>
      <c r="E215" t="s">
        <v>164</v>
      </c>
      <c r="K215" t="s">
        <v>42</v>
      </c>
      <c r="L215" t="s">
        <v>593</v>
      </c>
      <c r="M215" t="s">
        <v>166</v>
      </c>
      <c r="N215" t="s">
        <v>594</v>
      </c>
      <c r="O215">
        <v>4</v>
      </c>
      <c r="P215" t="s">
        <v>168</v>
      </c>
      <c r="Q215" t="s">
        <v>168</v>
      </c>
      <c r="R215" t="s">
        <v>595</v>
      </c>
      <c r="S215" t="s">
        <v>192</v>
      </c>
    </row>
    <row r="216" spans="1:19" x14ac:dyDescent="0.25">
      <c r="C216" t="s">
        <v>578</v>
      </c>
      <c r="D216" t="s">
        <v>188</v>
      </c>
      <c r="E216" t="s">
        <v>164</v>
      </c>
      <c r="K216" t="s">
        <v>42</v>
      </c>
      <c r="L216" t="s">
        <v>596</v>
      </c>
      <c r="M216" t="s">
        <v>166</v>
      </c>
      <c r="N216" t="s">
        <v>597</v>
      </c>
      <c r="O216">
        <v>4</v>
      </c>
      <c r="P216" t="s">
        <v>168</v>
      </c>
      <c r="Q216" t="s">
        <v>168</v>
      </c>
      <c r="R216" t="s">
        <v>581</v>
      </c>
      <c r="S216" t="s">
        <v>192</v>
      </c>
    </row>
    <row r="217" spans="1:19" x14ac:dyDescent="0.25">
      <c r="C217" t="s">
        <v>598</v>
      </c>
      <c r="D217" t="s">
        <v>188</v>
      </c>
      <c r="E217" t="s">
        <v>164</v>
      </c>
      <c r="K217" t="s">
        <v>42</v>
      </c>
      <c r="L217" t="s">
        <v>599</v>
      </c>
      <c r="M217" t="s">
        <v>166</v>
      </c>
      <c r="N217" t="s">
        <v>600</v>
      </c>
      <c r="O217">
        <v>4</v>
      </c>
      <c r="P217" t="s">
        <v>168</v>
      </c>
      <c r="Q217" t="s">
        <v>168</v>
      </c>
      <c r="R217" t="s">
        <v>601</v>
      </c>
      <c r="S217" t="s">
        <v>192</v>
      </c>
    </row>
    <row r="218" spans="1:19" x14ac:dyDescent="0.25">
      <c r="C218" t="s">
        <v>582</v>
      </c>
      <c r="D218" t="s">
        <v>188</v>
      </c>
      <c r="E218" t="s">
        <v>164</v>
      </c>
      <c r="K218" t="s">
        <v>42</v>
      </c>
      <c r="L218" t="s">
        <v>602</v>
      </c>
      <c r="M218" t="s">
        <v>166</v>
      </c>
      <c r="N218" t="s">
        <v>603</v>
      </c>
      <c r="O218">
        <v>4</v>
      </c>
      <c r="P218" t="s">
        <v>168</v>
      </c>
      <c r="Q218" t="s">
        <v>168</v>
      </c>
      <c r="R218" t="s">
        <v>585</v>
      </c>
      <c r="S218" t="s">
        <v>192</v>
      </c>
    </row>
    <row r="219" spans="1:19" x14ac:dyDescent="0.25">
      <c r="C219" t="s">
        <v>604</v>
      </c>
      <c r="D219" t="s">
        <v>197</v>
      </c>
      <c r="E219" t="s">
        <v>164</v>
      </c>
      <c r="K219" t="s">
        <v>42</v>
      </c>
      <c r="L219" t="s">
        <v>605</v>
      </c>
      <c r="M219" t="s">
        <v>166</v>
      </c>
      <c r="N219" t="s">
        <v>606</v>
      </c>
      <c r="O219">
        <v>4</v>
      </c>
      <c r="P219" t="s">
        <v>168</v>
      </c>
      <c r="Q219" t="s">
        <v>168</v>
      </c>
      <c r="R219" t="s">
        <v>607</v>
      </c>
      <c r="S219" t="s">
        <v>192</v>
      </c>
    </row>
    <row r="220" spans="1:19" x14ac:dyDescent="0.25">
      <c r="C220" t="s">
        <v>608</v>
      </c>
      <c r="D220" t="s">
        <v>197</v>
      </c>
      <c r="E220" t="s">
        <v>164</v>
      </c>
      <c r="K220" t="s">
        <v>42</v>
      </c>
      <c r="L220" t="s">
        <v>609</v>
      </c>
      <c r="M220" t="s">
        <v>166</v>
      </c>
      <c r="N220" t="s">
        <v>610</v>
      </c>
      <c r="O220">
        <v>4</v>
      </c>
      <c r="P220" t="s">
        <v>168</v>
      </c>
      <c r="Q220" t="s">
        <v>168</v>
      </c>
      <c r="R220" t="s">
        <v>611</v>
      </c>
      <c r="S220" t="s">
        <v>192</v>
      </c>
    </row>
    <row r="221" spans="1:19" x14ac:dyDescent="0.25">
      <c r="C221" t="s">
        <v>612</v>
      </c>
      <c r="D221" t="s">
        <v>197</v>
      </c>
      <c r="E221" t="s">
        <v>164</v>
      </c>
      <c r="K221" t="s">
        <v>42</v>
      </c>
      <c r="L221" t="s">
        <v>613</v>
      </c>
      <c r="M221" t="s">
        <v>166</v>
      </c>
      <c r="N221" t="s">
        <v>614</v>
      </c>
      <c r="O221">
        <v>4</v>
      </c>
      <c r="P221" t="s">
        <v>168</v>
      </c>
      <c r="Q221" t="s">
        <v>168</v>
      </c>
      <c r="R221" t="s">
        <v>615</v>
      </c>
      <c r="S221" t="s">
        <v>192</v>
      </c>
    </row>
    <row r="222" spans="1:19" x14ac:dyDescent="0.25">
      <c r="A222" s="16"/>
      <c r="B222" s="16"/>
      <c r="C222" s="16" t="s">
        <v>616</v>
      </c>
      <c r="D222" s="16" t="s">
        <v>197</v>
      </c>
      <c r="E222" s="16" t="s">
        <v>164</v>
      </c>
      <c r="F222" s="16"/>
      <c r="G222" s="16"/>
      <c r="H222" s="16"/>
      <c r="I222" s="16"/>
      <c r="J222" s="16"/>
      <c r="K222" s="16" t="s">
        <v>42</v>
      </c>
      <c r="L222" s="16" t="s">
        <v>617</v>
      </c>
      <c r="M222" s="16" t="s">
        <v>166</v>
      </c>
      <c r="N222" s="16" t="s">
        <v>618</v>
      </c>
      <c r="O222" s="16">
        <v>4</v>
      </c>
      <c r="P222" s="16" t="s">
        <v>168</v>
      </c>
      <c r="Q222" s="16" t="s">
        <v>168</v>
      </c>
      <c r="R222" s="16" t="s">
        <v>619</v>
      </c>
      <c r="S222" s="16" t="s">
        <v>192</v>
      </c>
    </row>
    <row r="223" spans="1:19" x14ac:dyDescent="0.25">
      <c r="C223" t="s">
        <v>620</v>
      </c>
      <c r="D223" t="s">
        <v>188</v>
      </c>
      <c r="E223" t="s">
        <v>164</v>
      </c>
      <c r="K223" t="s">
        <v>42</v>
      </c>
      <c r="L223" t="s">
        <v>621</v>
      </c>
      <c r="M223" t="s">
        <v>166</v>
      </c>
      <c r="N223" t="s">
        <v>622</v>
      </c>
      <c r="O223">
        <v>4</v>
      </c>
      <c r="P223" t="s">
        <v>168</v>
      </c>
      <c r="Q223" t="s">
        <v>168</v>
      </c>
      <c r="R223" t="s">
        <v>623</v>
      </c>
      <c r="S223" t="s">
        <v>192</v>
      </c>
    </row>
    <row r="224" spans="1:19" x14ac:dyDescent="0.25">
      <c r="C224" t="s">
        <v>624</v>
      </c>
      <c r="D224" t="s">
        <v>188</v>
      </c>
      <c r="E224" t="s">
        <v>164</v>
      </c>
      <c r="K224" t="s">
        <v>42</v>
      </c>
      <c r="L224" t="s">
        <v>625</v>
      </c>
      <c r="M224" t="s">
        <v>166</v>
      </c>
      <c r="N224" t="s">
        <v>626</v>
      </c>
      <c r="O224">
        <v>4</v>
      </c>
      <c r="P224" t="s">
        <v>168</v>
      </c>
      <c r="Q224" t="s">
        <v>168</v>
      </c>
      <c r="R224" t="s">
        <v>627</v>
      </c>
      <c r="S224" t="s">
        <v>192</v>
      </c>
    </row>
    <row r="225" spans="1:19" x14ac:dyDescent="0.25">
      <c r="C225" t="s">
        <v>604</v>
      </c>
      <c r="D225" t="s">
        <v>197</v>
      </c>
      <c r="E225" t="s">
        <v>0</v>
      </c>
      <c r="K225" t="s">
        <v>42</v>
      </c>
      <c r="L225" t="s">
        <v>628</v>
      </c>
      <c r="M225" t="s">
        <v>166</v>
      </c>
      <c r="N225" t="s">
        <v>629</v>
      </c>
      <c r="O225">
        <v>4</v>
      </c>
      <c r="P225" t="s">
        <v>168</v>
      </c>
      <c r="Q225" t="s">
        <v>168</v>
      </c>
      <c r="R225" t="s">
        <v>607</v>
      </c>
      <c r="S225" t="s">
        <v>195</v>
      </c>
    </row>
    <row r="226" spans="1:19" x14ac:dyDescent="0.25">
      <c r="C226" t="s">
        <v>608</v>
      </c>
      <c r="D226" t="s">
        <v>197</v>
      </c>
      <c r="E226" t="s">
        <v>0</v>
      </c>
      <c r="K226" t="s">
        <v>42</v>
      </c>
      <c r="L226" t="s">
        <v>630</v>
      </c>
      <c r="M226" t="s">
        <v>166</v>
      </c>
      <c r="N226" t="s">
        <v>631</v>
      </c>
      <c r="O226">
        <v>4</v>
      </c>
      <c r="P226" t="s">
        <v>168</v>
      </c>
      <c r="Q226" t="s">
        <v>168</v>
      </c>
      <c r="R226" t="s">
        <v>611</v>
      </c>
      <c r="S226" t="s">
        <v>195</v>
      </c>
    </row>
    <row r="227" spans="1:19" x14ac:dyDescent="0.25">
      <c r="C227" t="s">
        <v>612</v>
      </c>
      <c r="D227" t="s">
        <v>197</v>
      </c>
      <c r="E227" t="s">
        <v>0</v>
      </c>
      <c r="K227" t="s">
        <v>42</v>
      </c>
      <c r="L227" t="s">
        <v>632</v>
      </c>
      <c r="M227" t="s">
        <v>166</v>
      </c>
      <c r="N227" t="s">
        <v>633</v>
      </c>
      <c r="O227">
        <v>4</v>
      </c>
      <c r="P227" t="s">
        <v>168</v>
      </c>
      <c r="Q227" t="s">
        <v>168</v>
      </c>
      <c r="R227" t="s">
        <v>615</v>
      </c>
      <c r="S227" t="s">
        <v>195</v>
      </c>
    </row>
    <row r="228" spans="1:19" x14ac:dyDescent="0.25">
      <c r="A228" s="16"/>
      <c r="B228" s="16"/>
      <c r="C228" s="16" t="s">
        <v>616</v>
      </c>
      <c r="D228" s="16" t="s">
        <v>197</v>
      </c>
      <c r="E228" s="16" t="s">
        <v>0</v>
      </c>
      <c r="F228" s="16"/>
      <c r="G228" s="16"/>
      <c r="H228" s="16"/>
      <c r="I228" s="16"/>
      <c r="J228" s="16"/>
      <c r="K228" s="16" t="s">
        <v>42</v>
      </c>
      <c r="L228" s="16" t="s">
        <v>634</v>
      </c>
      <c r="M228" s="16" t="s">
        <v>166</v>
      </c>
      <c r="N228" s="16" t="s">
        <v>635</v>
      </c>
      <c r="O228" s="16">
        <v>4</v>
      </c>
      <c r="P228" s="16" t="s">
        <v>168</v>
      </c>
      <c r="Q228" s="16" t="s">
        <v>168</v>
      </c>
      <c r="R228" s="16" t="s">
        <v>619</v>
      </c>
      <c r="S228" s="16" t="s">
        <v>195</v>
      </c>
    </row>
    <row r="229" spans="1:19" x14ac:dyDescent="0.25">
      <c r="C229" t="s">
        <v>636</v>
      </c>
      <c r="D229" t="s">
        <v>197</v>
      </c>
      <c r="E229" t="s">
        <v>0</v>
      </c>
      <c r="K229" t="s">
        <v>42</v>
      </c>
      <c r="L229" t="s">
        <v>637</v>
      </c>
      <c r="M229" t="s">
        <v>166</v>
      </c>
      <c r="N229" t="s">
        <v>638</v>
      </c>
      <c r="O229">
        <v>4</v>
      </c>
      <c r="P229" t="s">
        <v>168</v>
      </c>
      <c r="Q229" t="s">
        <v>168</v>
      </c>
      <c r="R229" t="s">
        <v>639</v>
      </c>
      <c r="S229" t="s">
        <v>195</v>
      </c>
    </row>
    <row r="230" spans="1:19" x14ac:dyDescent="0.25">
      <c r="C230" t="s">
        <v>640</v>
      </c>
      <c r="D230" t="s">
        <v>197</v>
      </c>
      <c r="E230" t="s">
        <v>0</v>
      </c>
      <c r="K230" t="s">
        <v>42</v>
      </c>
      <c r="L230" t="s">
        <v>641</v>
      </c>
      <c r="M230" t="s">
        <v>166</v>
      </c>
      <c r="N230" t="s">
        <v>642</v>
      </c>
      <c r="O230">
        <v>4</v>
      </c>
      <c r="P230" t="s">
        <v>168</v>
      </c>
      <c r="Q230" t="s">
        <v>168</v>
      </c>
      <c r="R230" t="s">
        <v>643</v>
      </c>
      <c r="S230" t="s">
        <v>195</v>
      </c>
    </row>
    <row r="231" spans="1:19" x14ac:dyDescent="0.25">
      <c r="C231" t="s">
        <v>644</v>
      </c>
      <c r="D231" t="s">
        <v>197</v>
      </c>
      <c r="E231" t="s">
        <v>0</v>
      </c>
      <c r="K231" t="s">
        <v>42</v>
      </c>
      <c r="L231" t="s">
        <v>645</v>
      </c>
      <c r="M231" t="s">
        <v>166</v>
      </c>
      <c r="N231" t="s">
        <v>646</v>
      </c>
      <c r="O231">
        <v>4</v>
      </c>
      <c r="P231" t="s">
        <v>168</v>
      </c>
      <c r="Q231" t="s">
        <v>168</v>
      </c>
      <c r="R231" t="s">
        <v>647</v>
      </c>
      <c r="S231" t="s">
        <v>195</v>
      </c>
    </row>
    <row r="232" spans="1:19" x14ac:dyDescent="0.25">
      <c r="C232" t="s">
        <v>648</v>
      </c>
      <c r="D232" t="s">
        <v>197</v>
      </c>
      <c r="E232" t="s">
        <v>164</v>
      </c>
      <c r="K232" t="s">
        <v>42</v>
      </c>
      <c r="L232" t="s">
        <v>649</v>
      </c>
      <c r="M232" t="s">
        <v>166</v>
      </c>
      <c r="N232" t="s">
        <v>650</v>
      </c>
      <c r="O232">
        <v>4</v>
      </c>
      <c r="P232" t="s">
        <v>168</v>
      </c>
      <c r="Q232" t="s">
        <v>168</v>
      </c>
      <c r="R232" t="s">
        <v>651</v>
      </c>
      <c r="S232" t="s">
        <v>192</v>
      </c>
    </row>
    <row r="233" spans="1:19" x14ac:dyDescent="0.25">
      <c r="C233" t="s">
        <v>636</v>
      </c>
      <c r="D233" t="s">
        <v>197</v>
      </c>
      <c r="E233" t="s">
        <v>164</v>
      </c>
      <c r="K233" t="s">
        <v>42</v>
      </c>
      <c r="L233" t="s">
        <v>652</v>
      </c>
      <c r="M233" t="s">
        <v>166</v>
      </c>
      <c r="N233" t="s">
        <v>653</v>
      </c>
      <c r="O233">
        <v>4</v>
      </c>
      <c r="P233" t="s">
        <v>168</v>
      </c>
      <c r="Q233" t="s">
        <v>168</v>
      </c>
      <c r="R233" t="s">
        <v>639</v>
      </c>
      <c r="S233" t="s">
        <v>192</v>
      </c>
    </row>
    <row r="234" spans="1:19" x14ac:dyDescent="0.25">
      <c r="C234" t="s">
        <v>644</v>
      </c>
      <c r="D234" t="s">
        <v>197</v>
      </c>
      <c r="E234" t="s">
        <v>164</v>
      </c>
      <c r="K234" t="s">
        <v>42</v>
      </c>
      <c r="L234" t="s">
        <v>654</v>
      </c>
      <c r="M234" t="s">
        <v>166</v>
      </c>
      <c r="N234" t="s">
        <v>655</v>
      </c>
      <c r="O234">
        <v>4</v>
      </c>
      <c r="P234" t="s">
        <v>168</v>
      </c>
      <c r="Q234" t="s">
        <v>168</v>
      </c>
      <c r="R234" t="s">
        <v>647</v>
      </c>
      <c r="S234" t="s">
        <v>192</v>
      </c>
    </row>
    <row r="235" spans="1:19" x14ac:dyDescent="0.25">
      <c r="C235" t="s">
        <v>656</v>
      </c>
      <c r="D235" t="s">
        <v>188</v>
      </c>
      <c r="E235" t="s">
        <v>164</v>
      </c>
      <c r="K235" t="s">
        <v>42</v>
      </c>
      <c r="L235" t="s">
        <v>657</v>
      </c>
      <c r="M235" t="s">
        <v>166</v>
      </c>
      <c r="N235" t="s">
        <v>658</v>
      </c>
      <c r="O235">
        <v>4</v>
      </c>
      <c r="P235" t="s">
        <v>168</v>
      </c>
      <c r="Q235" t="s">
        <v>168</v>
      </c>
      <c r="R235" t="s">
        <v>659</v>
      </c>
      <c r="S235" t="s">
        <v>192</v>
      </c>
    </row>
    <row r="236" spans="1:19" x14ac:dyDescent="0.25">
      <c r="C236" t="s">
        <v>660</v>
      </c>
      <c r="D236" t="s">
        <v>188</v>
      </c>
      <c r="E236" t="s">
        <v>164</v>
      </c>
      <c r="K236" t="s">
        <v>42</v>
      </c>
      <c r="L236" t="s">
        <v>661</v>
      </c>
      <c r="M236" t="s">
        <v>166</v>
      </c>
      <c r="N236" t="s">
        <v>662</v>
      </c>
      <c r="O236">
        <v>4</v>
      </c>
      <c r="P236" t="s">
        <v>168</v>
      </c>
      <c r="Q236" t="s">
        <v>168</v>
      </c>
      <c r="R236" t="s">
        <v>663</v>
      </c>
      <c r="S236" t="s">
        <v>192</v>
      </c>
    </row>
    <row r="237" spans="1:19" x14ac:dyDescent="0.25">
      <c r="C237" t="s">
        <v>664</v>
      </c>
      <c r="D237" t="s">
        <v>188</v>
      </c>
      <c r="E237" t="s">
        <v>0</v>
      </c>
      <c r="K237" t="s">
        <v>42</v>
      </c>
      <c r="L237" t="s">
        <v>665</v>
      </c>
      <c r="M237" t="s">
        <v>166</v>
      </c>
      <c r="N237" t="s">
        <v>666</v>
      </c>
      <c r="O237">
        <v>4</v>
      </c>
      <c r="P237" t="s">
        <v>168</v>
      </c>
      <c r="Q237" t="s">
        <v>168</v>
      </c>
      <c r="R237" t="s">
        <v>280</v>
      </c>
      <c r="S237" t="s">
        <v>667</v>
      </c>
    </row>
    <row r="238" spans="1:19" x14ac:dyDescent="0.25">
      <c r="C238" t="s">
        <v>668</v>
      </c>
      <c r="D238" t="s">
        <v>188</v>
      </c>
      <c r="E238" t="s">
        <v>164</v>
      </c>
      <c r="K238" t="s">
        <v>42</v>
      </c>
      <c r="L238" t="s">
        <v>669</v>
      </c>
      <c r="M238" t="s">
        <v>166</v>
      </c>
      <c r="N238" t="s">
        <v>670</v>
      </c>
      <c r="O238">
        <v>4</v>
      </c>
      <c r="P238" t="s">
        <v>168</v>
      </c>
      <c r="Q238" t="s">
        <v>168</v>
      </c>
      <c r="R238" t="s">
        <v>244</v>
      </c>
      <c r="S238" t="s">
        <v>671</v>
      </c>
    </row>
    <row r="239" spans="1:19" x14ac:dyDescent="0.25">
      <c r="C239" t="s">
        <v>672</v>
      </c>
      <c r="D239" t="s">
        <v>188</v>
      </c>
      <c r="E239" t="s">
        <v>164</v>
      </c>
      <c r="K239" t="s">
        <v>42</v>
      </c>
      <c r="L239" t="s">
        <v>673</v>
      </c>
      <c r="M239" t="s">
        <v>166</v>
      </c>
      <c r="N239" t="s">
        <v>674</v>
      </c>
      <c r="O239">
        <v>4</v>
      </c>
      <c r="P239" t="s">
        <v>168</v>
      </c>
      <c r="Q239" t="s">
        <v>168</v>
      </c>
      <c r="R239" t="s">
        <v>191</v>
      </c>
      <c r="S239" t="s">
        <v>671</v>
      </c>
    </row>
    <row r="240" spans="1:19" x14ac:dyDescent="0.25">
      <c r="C240" t="s">
        <v>675</v>
      </c>
      <c r="D240" t="s">
        <v>197</v>
      </c>
      <c r="E240" t="s">
        <v>0</v>
      </c>
      <c r="K240" t="s">
        <v>42</v>
      </c>
      <c r="L240" t="s">
        <v>676</v>
      </c>
      <c r="M240" t="s">
        <v>166</v>
      </c>
      <c r="N240" t="s">
        <v>677</v>
      </c>
      <c r="O240">
        <v>4</v>
      </c>
      <c r="P240" t="s">
        <v>168</v>
      </c>
      <c r="Q240" t="s">
        <v>168</v>
      </c>
      <c r="R240" t="s">
        <v>200</v>
      </c>
      <c r="S240" t="s">
        <v>667</v>
      </c>
    </row>
    <row r="241" spans="3:19" x14ac:dyDescent="0.25">
      <c r="C241" t="s">
        <v>678</v>
      </c>
      <c r="D241" t="s">
        <v>197</v>
      </c>
      <c r="E241" t="s">
        <v>0</v>
      </c>
      <c r="K241" t="s">
        <v>42</v>
      </c>
      <c r="L241" t="s">
        <v>679</v>
      </c>
      <c r="M241" t="s">
        <v>166</v>
      </c>
      <c r="N241" t="s">
        <v>680</v>
      </c>
      <c r="O241">
        <v>4</v>
      </c>
      <c r="P241" t="s">
        <v>168</v>
      </c>
      <c r="Q241" t="s">
        <v>168</v>
      </c>
      <c r="R241" t="s">
        <v>681</v>
      </c>
      <c r="S241" t="s">
        <v>195</v>
      </c>
    </row>
    <row r="242" spans="3:19" x14ac:dyDescent="0.25">
      <c r="C242" t="s">
        <v>682</v>
      </c>
      <c r="D242" t="s">
        <v>197</v>
      </c>
      <c r="E242" t="s">
        <v>0</v>
      </c>
      <c r="K242" t="s">
        <v>42</v>
      </c>
      <c r="L242" t="s">
        <v>676</v>
      </c>
      <c r="M242" t="s">
        <v>166</v>
      </c>
      <c r="N242" t="s">
        <v>683</v>
      </c>
      <c r="O242">
        <v>4</v>
      </c>
      <c r="P242" t="s">
        <v>168</v>
      </c>
      <c r="Q242" t="s">
        <v>168</v>
      </c>
      <c r="R242" t="s">
        <v>208</v>
      </c>
      <c r="S242" t="s">
        <v>667</v>
      </c>
    </row>
    <row r="243" spans="3:19" x14ac:dyDescent="0.25">
      <c r="C243" t="s">
        <v>684</v>
      </c>
      <c r="D243" t="s">
        <v>197</v>
      </c>
      <c r="E243" t="s">
        <v>0</v>
      </c>
      <c r="K243" t="s">
        <v>42</v>
      </c>
      <c r="L243" t="s">
        <v>685</v>
      </c>
      <c r="M243" t="s">
        <v>166</v>
      </c>
      <c r="N243" t="s">
        <v>686</v>
      </c>
      <c r="O243">
        <v>4</v>
      </c>
      <c r="P243" t="s">
        <v>168</v>
      </c>
      <c r="Q243" t="s">
        <v>168</v>
      </c>
      <c r="R243" t="s">
        <v>212</v>
      </c>
      <c r="S243" t="s">
        <v>667</v>
      </c>
    </row>
    <row r="244" spans="3:19" x14ac:dyDescent="0.25">
      <c r="C244" t="s">
        <v>687</v>
      </c>
      <c r="D244" t="s">
        <v>197</v>
      </c>
      <c r="E244" t="s">
        <v>0</v>
      </c>
      <c r="K244" t="s">
        <v>42</v>
      </c>
      <c r="L244" t="s">
        <v>688</v>
      </c>
      <c r="M244" t="s">
        <v>166</v>
      </c>
      <c r="N244" t="s">
        <v>689</v>
      </c>
      <c r="O244">
        <v>4</v>
      </c>
      <c r="P244" t="s">
        <v>168</v>
      </c>
      <c r="Q244" t="s">
        <v>168</v>
      </c>
      <c r="R244" t="s">
        <v>216</v>
      </c>
      <c r="S244" t="s">
        <v>667</v>
      </c>
    </row>
    <row r="245" spans="3:19" x14ac:dyDescent="0.25">
      <c r="C245" t="s">
        <v>690</v>
      </c>
      <c r="D245" t="s">
        <v>188</v>
      </c>
      <c r="E245" t="s">
        <v>0</v>
      </c>
      <c r="K245" t="s">
        <v>42</v>
      </c>
      <c r="L245" t="s">
        <v>691</v>
      </c>
      <c r="M245" t="s">
        <v>166</v>
      </c>
      <c r="N245" t="s">
        <v>692</v>
      </c>
      <c r="O245">
        <v>4</v>
      </c>
      <c r="P245" t="s">
        <v>168</v>
      </c>
      <c r="Q245" t="s">
        <v>168</v>
      </c>
      <c r="R245" t="s">
        <v>220</v>
      </c>
      <c r="S245" t="s">
        <v>667</v>
      </c>
    </row>
    <row r="246" spans="3:19" x14ac:dyDescent="0.25">
      <c r="C246" t="s">
        <v>693</v>
      </c>
      <c r="D246" t="s">
        <v>188</v>
      </c>
      <c r="E246" t="s">
        <v>0</v>
      </c>
      <c r="K246" t="s">
        <v>42</v>
      </c>
      <c r="L246" t="s">
        <v>694</v>
      </c>
      <c r="M246" t="s">
        <v>166</v>
      </c>
      <c r="N246" t="s">
        <v>695</v>
      </c>
      <c r="O246">
        <v>4</v>
      </c>
      <c r="P246" t="s">
        <v>168</v>
      </c>
      <c r="Q246" t="s">
        <v>168</v>
      </c>
      <c r="R246" t="s">
        <v>224</v>
      </c>
      <c r="S246" t="s">
        <v>667</v>
      </c>
    </row>
    <row r="247" spans="3:19" x14ac:dyDescent="0.25">
      <c r="C247" t="s">
        <v>696</v>
      </c>
      <c r="D247" t="s">
        <v>188</v>
      </c>
      <c r="E247" t="s">
        <v>0</v>
      </c>
      <c r="K247" t="s">
        <v>42</v>
      </c>
      <c r="L247" t="s">
        <v>697</v>
      </c>
      <c r="M247" t="s">
        <v>166</v>
      </c>
      <c r="N247" t="s">
        <v>698</v>
      </c>
      <c r="O247">
        <v>4</v>
      </c>
      <c r="P247" t="s">
        <v>168</v>
      </c>
      <c r="Q247" t="s">
        <v>168</v>
      </c>
      <c r="R247" t="s">
        <v>228</v>
      </c>
      <c r="S247" t="s">
        <v>667</v>
      </c>
    </row>
    <row r="248" spans="3:19" x14ac:dyDescent="0.25">
      <c r="C248" t="s">
        <v>699</v>
      </c>
      <c r="D248" t="s">
        <v>188</v>
      </c>
      <c r="E248" t="s">
        <v>0</v>
      </c>
      <c r="K248" t="s">
        <v>42</v>
      </c>
      <c r="L248" t="s">
        <v>700</v>
      </c>
      <c r="M248" t="s">
        <v>166</v>
      </c>
      <c r="N248" t="s">
        <v>701</v>
      </c>
      <c r="O248">
        <v>4</v>
      </c>
      <c r="P248" t="s">
        <v>168</v>
      </c>
      <c r="Q248" t="s">
        <v>168</v>
      </c>
      <c r="R248" t="s">
        <v>702</v>
      </c>
      <c r="S248" t="s">
        <v>195</v>
      </c>
    </row>
    <row r="249" spans="3:19" x14ac:dyDescent="0.25">
      <c r="C249" t="s">
        <v>675</v>
      </c>
      <c r="D249" t="s">
        <v>197</v>
      </c>
      <c r="E249" t="s">
        <v>164</v>
      </c>
      <c r="K249" t="s">
        <v>42</v>
      </c>
      <c r="L249" t="s">
        <v>703</v>
      </c>
      <c r="M249" t="s">
        <v>166</v>
      </c>
      <c r="N249" t="s">
        <v>704</v>
      </c>
      <c r="O249">
        <v>4</v>
      </c>
      <c r="P249" t="s">
        <v>168</v>
      </c>
      <c r="Q249" t="s">
        <v>168</v>
      </c>
      <c r="R249" t="s">
        <v>200</v>
      </c>
      <c r="S249" t="s">
        <v>671</v>
      </c>
    </row>
    <row r="250" spans="3:19" x14ac:dyDescent="0.25">
      <c r="C250" t="s">
        <v>705</v>
      </c>
      <c r="D250" t="s">
        <v>197</v>
      </c>
      <c r="E250" t="s">
        <v>164</v>
      </c>
      <c r="K250" t="s">
        <v>42</v>
      </c>
      <c r="L250" t="s">
        <v>706</v>
      </c>
      <c r="M250" t="s">
        <v>166</v>
      </c>
      <c r="N250" t="s">
        <v>707</v>
      </c>
      <c r="O250">
        <v>4</v>
      </c>
      <c r="P250" t="s">
        <v>168</v>
      </c>
      <c r="Q250" t="s">
        <v>168</v>
      </c>
      <c r="R250" t="s">
        <v>204</v>
      </c>
      <c r="S250" t="s">
        <v>671</v>
      </c>
    </row>
    <row r="251" spans="3:19" x14ac:dyDescent="0.25">
      <c r="C251" t="s">
        <v>682</v>
      </c>
      <c r="D251" t="s">
        <v>197</v>
      </c>
      <c r="E251" t="s">
        <v>164</v>
      </c>
      <c r="K251" t="s">
        <v>42</v>
      </c>
      <c r="L251" t="s">
        <v>708</v>
      </c>
      <c r="M251" t="s">
        <v>166</v>
      </c>
      <c r="N251" t="s">
        <v>709</v>
      </c>
      <c r="O251">
        <v>4</v>
      </c>
      <c r="P251" t="s">
        <v>168</v>
      </c>
      <c r="Q251" t="s">
        <v>168</v>
      </c>
      <c r="R251" t="s">
        <v>208</v>
      </c>
      <c r="S251" t="s">
        <v>671</v>
      </c>
    </row>
    <row r="252" spans="3:19" x14ac:dyDescent="0.25">
      <c r="C252" t="s">
        <v>687</v>
      </c>
      <c r="D252" t="s">
        <v>197</v>
      </c>
      <c r="E252" t="s">
        <v>164</v>
      </c>
      <c r="K252" t="s">
        <v>42</v>
      </c>
      <c r="L252" t="s">
        <v>710</v>
      </c>
      <c r="M252" t="s">
        <v>166</v>
      </c>
      <c r="N252" t="s">
        <v>711</v>
      </c>
      <c r="O252">
        <v>4</v>
      </c>
      <c r="P252" t="s">
        <v>168</v>
      </c>
      <c r="Q252" t="s">
        <v>168</v>
      </c>
      <c r="R252" t="s">
        <v>216</v>
      </c>
      <c r="S252" t="s">
        <v>671</v>
      </c>
    </row>
    <row r="253" spans="3:19" x14ac:dyDescent="0.25">
      <c r="C253" t="s">
        <v>690</v>
      </c>
      <c r="D253" t="s">
        <v>188</v>
      </c>
      <c r="E253" t="s">
        <v>164</v>
      </c>
      <c r="K253" t="s">
        <v>42</v>
      </c>
      <c r="L253" t="s">
        <v>712</v>
      </c>
      <c r="M253" t="s">
        <v>166</v>
      </c>
      <c r="N253" t="s">
        <v>713</v>
      </c>
      <c r="O253">
        <v>4</v>
      </c>
      <c r="P253" t="s">
        <v>168</v>
      </c>
      <c r="Q253" t="s">
        <v>168</v>
      </c>
      <c r="R253" t="s">
        <v>220</v>
      </c>
      <c r="S253" t="s">
        <v>671</v>
      </c>
    </row>
    <row r="254" spans="3:19" x14ac:dyDescent="0.25">
      <c r="C254" t="s">
        <v>693</v>
      </c>
      <c r="D254" t="s">
        <v>188</v>
      </c>
      <c r="E254" t="s">
        <v>164</v>
      </c>
      <c r="K254" t="s">
        <v>42</v>
      </c>
      <c r="L254" t="s">
        <v>714</v>
      </c>
      <c r="M254" t="s">
        <v>166</v>
      </c>
      <c r="N254" t="s">
        <v>715</v>
      </c>
      <c r="O254">
        <v>4</v>
      </c>
      <c r="P254" t="s">
        <v>168</v>
      </c>
      <c r="Q254" t="s">
        <v>168</v>
      </c>
      <c r="R254" t="s">
        <v>224</v>
      </c>
      <c r="S254" t="s">
        <v>671</v>
      </c>
    </row>
    <row r="255" spans="3:19" x14ac:dyDescent="0.25">
      <c r="C255" t="s">
        <v>696</v>
      </c>
      <c r="D255" t="s">
        <v>188</v>
      </c>
      <c r="E255" t="s">
        <v>164</v>
      </c>
      <c r="K255" t="s">
        <v>42</v>
      </c>
      <c r="L255" t="s">
        <v>716</v>
      </c>
      <c r="M255" t="s">
        <v>166</v>
      </c>
      <c r="N255" t="s">
        <v>717</v>
      </c>
      <c r="O255">
        <v>4</v>
      </c>
      <c r="P255" t="s">
        <v>168</v>
      </c>
      <c r="Q255" t="s">
        <v>168</v>
      </c>
      <c r="R255" t="s">
        <v>228</v>
      </c>
      <c r="S255" t="s">
        <v>671</v>
      </c>
    </row>
    <row r="256" spans="3:19" x14ac:dyDescent="0.25">
      <c r="C256" t="s">
        <v>718</v>
      </c>
      <c r="D256" t="s">
        <v>188</v>
      </c>
      <c r="E256" t="s">
        <v>164</v>
      </c>
      <c r="K256" t="s">
        <v>42</v>
      </c>
      <c r="L256" t="s">
        <v>719</v>
      </c>
      <c r="M256" t="s">
        <v>166</v>
      </c>
      <c r="N256" t="s">
        <v>720</v>
      </c>
      <c r="O256">
        <v>4</v>
      </c>
      <c r="P256" t="s">
        <v>168</v>
      </c>
      <c r="Q256" t="s">
        <v>168</v>
      </c>
      <c r="R256" t="s">
        <v>721</v>
      </c>
      <c r="S256" t="s">
        <v>192</v>
      </c>
    </row>
    <row r="257" spans="3:19" x14ac:dyDescent="0.25">
      <c r="C257" t="s">
        <v>722</v>
      </c>
      <c r="D257" t="s">
        <v>197</v>
      </c>
      <c r="E257" t="s">
        <v>0</v>
      </c>
      <c r="K257" t="s">
        <v>42</v>
      </c>
      <c r="L257" t="s">
        <v>723</v>
      </c>
      <c r="M257" t="s">
        <v>166</v>
      </c>
      <c r="N257" t="s">
        <v>724</v>
      </c>
      <c r="O257">
        <v>4</v>
      </c>
      <c r="P257" t="s">
        <v>168</v>
      </c>
      <c r="Q257" t="s">
        <v>168</v>
      </c>
      <c r="R257" t="s">
        <v>725</v>
      </c>
      <c r="S257" t="s">
        <v>667</v>
      </c>
    </row>
    <row r="258" spans="3:19" x14ac:dyDescent="0.25">
      <c r="C258" t="s">
        <v>726</v>
      </c>
      <c r="D258" t="s">
        <v>197</v>
      </c>
      <c r="E258" t="s">
        <v>0</v>
      </c>
      <c r="K258" t="s">
        <v>42</v>
      </c>
      <c r="L258" t="s">
        <v>727</v>
      </c>
      <c r="M258" t="s">
        <v>166</v>
      </c>
      <c r="N258" t="s">
        <v>728</v>
      </c>
      <c r="O258">
        <v>4</v>
      </c>
      <c r="P258" t="s">
        <v>168</v>
      </c>
      <c r="Q258" t="s">
        <v>168</v>
      </c>
      <c r="R258" t="s">
        <v>729</v>
      </c>
      <c r="S258" t="s">
        <v>667</v>
      </c>
    </row>
    <row r="259" spans="3:19" x14ac:dyDescent="0.25">
      <c r="C259" t="s">
        <v>730</v>
      </c>
      <c r="D259" t="s">
        <v>197</v>
      </c>
      <c r="E259" t="s">
        <v>0</v>
      </c>
      <c r="K259" t="s">
        <v>42</v>
      </c>
      <c r="L259" t="s">
        <v>731</v>
      </c>
      <c r="M259" t="s">
        <v>166</v>
      </c>
      <c r="N259" t="s">
        <v>732</v>
      </c>
      <c r="O259">
        <v>4</v>
      </c>
      <c r="P259" t="s">
        <v>168</v>
      </c>
      <c r="Q259" t="s">
        <v>168</v>
      </c>
      <c r="R259" t="s">
        <v>252</v>
      </c>
      <c r="S259" t="s">
        <v>667</v>
      </c>
    </row>
    <row r="260" spans="3:19" x14ac:dyDescent="0.25">
      <c r="C260" t="s">
        <v>733</v>
      </c>
      <c r="D260" t="s">
        <v>197</v>
      </c>
      <c r="E260" t="s">
        <v>0</v>
      </c>
      <c r="K260" t="s">
        <v>42</v>
      </c>
      <c r="L260" t="s">
        <v>734</v>
      </c>
      <c r="M260" t="s">
        <v>166</v>
      </c>
      <c r="N260" t="s">
        <v>735</v>
      </c>
      <c r="O260">
        <v>4</v>
      </c>
      <c r="P260" t="s">
        <v>168</v>
      </c>
      <c r="Q260" t="s">
        <v>168</v>
      </c>
      <c r="R260" t="s">
        <v>256</v>
      </c>
      <c r="S260" t="s">
        <v>667</v>
      </c>
    </row>
    <row r="261" spans="3:19" x14ac:dyDescent="0.25">
      <c r="C261" t="s">
        <v>736</v>
      </c>
      <c r="D261" t="s">
        <v>197</v>
      </c>
      <c r="E261" t="s">
        <v>0</v>
      </c>
      <c r="K261" t="s">
        <v>42</v>
      </c>
      <c r="L261" t="s">
        <v>727</v>
      </c>
      <c r="M261" t="s">
        <v>166</v>
      </c>
      <c r="N261" t="s">
        <v>737</v>
      </c>
      <c r="O261">
        <v>4</v>
      </c>
      <c r="P261" t="s">
        <v>168</v>
      </c>
      <c r="Q261" t="s">
        <v>168</v>
      </c>
      <c r="R261" t="s">
        <v>264</v>
      </c>
      <c r="S261" t="s">
        <v>667</v>
      </c>
    </row>
    <row r="262" spans="3:19" x14ac:dyDescent="0.25">
      <c r="C262" t="s">
        <v>738</v>
      </c>
      <c r="D262" t="s">
        <v>188</v>
      </c>
      <c r="E262" t="s">
        <v>0</v>
      </c>
      <c r="K262" t="s">
        <v>42</v>
      </c>
      <c r="L262" t="s">
        <v>739</v>
      </c>
      <c r="M262" t="s">
        <v>166</v>
      </c>
      <c r="N262" t="s">
        <v>740</v>
      </c>
      <c r="O262">
        <v>4</v>
      </c>
      <c r="P262" t="s">
        <v>168</v>
      </c>
      <c r="Q262" t="s">
        <v>168</v>
      </c>
      <c r="R262" t="s">
        <v>268</v>
      </c>
      <c r="S262" t="s">
        <v>667</v>
      </c>
    </row>
    <row r="263" spans="3:19" x14ac:dyDescent="0.25">
      <c r="C263" t="s">
        <v>741</v>
      </c>
      <c r="D263" t="s">
        <v>188</v>
      </c>
      <c r="E263" t="s">
        <v>0</v>
      </c>
      <c r="K263" t="s">
        <v>42</v>
      </c>
      <c r="L263" t="s">
        <v>742</v>
      </c>
      <c r="M263" t="s">
        <v>166</v>
      </c>
      <c r="N263" t="s">
        <v>743</v>
      </c>
      <c r="O263">
        <v>4</v>
      </c>
      <c r="P263" t="s">
        <v>168</v>
      </c>
      <c r="Q263" t="s">
        <v>168</v>
      </c>
      <c r="R263" t="s">
        <v>272</v>
      </c>
      <c r="S263" t="s">
        <v>667</v>
      </c>
    </row>
    <row r="264" spans="3:19" x14ac:dyDescent="0.25">
      <c r="C264" t="s">
        <v>744</v>
      </c>
      <c r="D264" t="s">
        <v>188</v>
      </c>
      <c r="E264" t="s">
        <v>0</v>
      </c>
      <c r="K264" t="s">
        <v>42</v>
      </c>
      <c r="L264" t="s">
        <v>745</v>
      </c>
      <c r="M264" t="s">
        <v>166</v>
      </c>
      <c r="N264" t="s">
        <v>746</v>
      </c>
      <c r="O264">
        <v>4</v>
      </c>
      <c r="P264" t="s">
        <v>168</v>
      </c>
      <c r="Q264" t="s">
        <v>168</v>
      </c>
      <c r="R264" t="s">
        <v>276</v>
      </c>
      <c r="S264" t="s">
        <v>667</v>
      </c>
    </row>
    <row r="265" spans="3:19" x14ac:dyDescent="0.25">
      <c r="C265" t="s">
        <v>747</v>
      </c>
      <c r="D265" t="s">
        <v>197</v>
      </c>
      <c r="E265" t="s">
        <v>164</v>
      </c>
      <c r="K265" t="s">
        <v>42</v>
      </c>
      <c r="L265" t="s">
        <v>748</v>
      </c>
      <c r="M265" t="s">
        <v>166</v>
      </c>
      <c r="N265" t="s">
        <v>749</v>
      </c>
      <c r="O265">
        <v>4</v>
      </c>
      <c r="P265" t="s">
        <v>168</v>
      </c>
      <c r="Q265" t="s">
        <v>168</v>
      </c>
      <c r="R265" t="s">
        <v>750</v>
      </c>
      <c r="S265" t="s">
        <v>671</v>
      </c>
    </row>
    <row r="266" spans="3:19" x14ac:dyDescent="0.25">
      <c r="C266" t="s">
        <v>751</v>
      </c>
      <c r="D266" t="s">
        <v>197</v>
      </c>
      <c r="E266" t="s">
        <v>164</v>
      </c>
      <c r="K266" t="s">
        <v>42</v>
      </c>
      <c r="L266" t="s">
        <v>752</v>
      </c>
      <c r="M266" t="s">
        <v>166</v>
      </c>
      <c r="N266" t="s">
        <v>753</v>
      </c>
      <c r="O266">
        <v>4</v>
      </c>
      <c r="P266" t="s">
        <v>168</v>
      </c>
      <c r="Q266" t="s">
        <v>168</v>
      </c>
      <c r="R266" t="s">
        <v>754</v>
      </c>
      <c r="S266" t="s">
        <v>671</v>
      </c>
    </row>
    <row r="267" spans="3:19" x14ac:dyDescent="0.25">
      <c r="C267" t="s">
        <v>755</v>
      </c>
      <c r="D267" t="s">
        <v>197</v>
      </c>
      <c r="E267" t="s">
        <v>164</v>
      </c>
      <c r="K267" t="s">
        <v>42</v>
      </c>
      <c r="L267" t="s">
        <v>756</v>
      </c>
      <c r="M267" t="s">
        <v>166</v>
      </c>
      <c r="N267" t="s">
        <v>757</v>
      </c>
      <c r="O267">
        <v>4</v>
      </c>
      <c r="P267" t="s">
        <v>168</v>
      </c>
      <c r="Q267" t="s">
        <v>168</v>
      </c>
      <c r="R267" t="s">
        <v>284</v>
      </c>
      <c r="S267" t="s">
        <v>671</v>
      </c>
    </row>
    <row r="268" spans="3:19" x14ac:dyDescent="0.25">
      <c r="C268" t="s">
        <v>758</v>
      </c>
      <c r="D268" t="s">
        <v>197</v>
      </c>
      <c r="E268" t="s">
        <v>164</v>
      </c>
      <c r="K268" t="s">
        <v>42</v>
      </c>
      <c r="L268" t="s">
        <v>759</v>
      </c>
      <c r="M268" t="s">
        <v>166</v>
      </c>
      <c r="N268" t="s">
        <v>760</v>
      </c>
      <c r="O268">
        <v>4</v>
      </c>
      <c r="P268" t="s">
        <v>168</v>
      </c>
      <c r="Q268" t="s">
        <v>168</v>
      </c>
      <c r="R268" t="s">
        <v>288</v>
      </c>
      <c r="S268" t="s">
        <v>671</v>
      </c>
    </row>
    <row r="269" spans="3:19" x14ac:dyDescent="0.25">
      <c r="C269" t="s">
        <v>761</v>
      </c>
      <c r="D269" t="s">
        <v>197</v>
      </c>
      <c r="E269" t="s">
        <v>164</v>
      </c>
      <c r="K269" t="s">
        <v>42</v>
      </c>
      <c r="L269" t="s">
        <v>762</v>
      </c>
      <c r="M269" t="s">
        <v>166</v>
      </c>
      <c r="N269" t="s">
        <v>763</v>
      </c>
      <c r="O269">
        <v>4</v>
      </c>
      <c r="P269" t="s">
        <v>168</v>
      </c>
      <c r="Q269" t="s">
        <v>168</v>
      </c>
      <c r="R269" t="s">
        <v>292</v>
      </c>
      <c r="S269" t="s">
        <v>671</v>
      </c>
    </row>
    <row r="270" spans="3:19" x14ac:dyDescent="0.25">
      <c r="C270" t="s">
        <v>764</v>
      </c>
      <c r="D270" t="s">
        <v>197</v>
      </c>
      <c r="E270" t="s">
        <v>164</v>
      </c>
      <c r="K270" t="s">
        <v>42</v>
      </c>
      <c r="L270" t="s">
        <v>765</v>
      </c>
      <c r="M270" t="s">
        <v>166</v>
      </c>
      <c r="N270" t="s">
        <v>766</v>
      </c>
      <c r="O270">
        <v>4</v>
      </c>
      <c r="P270" t="s">
        <v>168</v>
      </c>
      <c r="Q270" t="s">
        <v>168</v>
      </c>
      <c r="R270" t="s">
        <v>296</v>
      </c>
      <c r="S270" t="s">
        <v>671</v>
      </c>
    </row>
    <row r="271" spans="3:19" x14ac:dyDescent="0.25">
      <c r="C271" t="s">
        <v>767</v>
      </c>
      <c r="D271" t="s">
        <v>197</v>
      </c>
      <c r="E271" t="s">
        <v>164</v>
      </c>
      <c r="K271" t="s">
        <v>42</v>
      </c>
      <c r="L271" t="s">
        <v>768</v>
      </c>
      <c r="M271" t="s">
        <v>166</v>
      </c>
      <c r="N271" t="s">
        <v>769</v>
      </c>
      <c r="O271">
        <v>4</v>
      </c>
      <c r="P271" t="s">
        <v>168</v>
      </c>
      <c r="Q271" t="s">
        <v>168</v>
      </c>
      <c r="R271" t="s">
        <v>300</v>
      </c>
      <c r="S271" t="s">
        <v>671</v>
      </c>
    </row>
    <row r="272" spans="3:19" x14ac:dyDescent="0.25">
      <c r="C272" t="s">
        <v>770</v>
      </c>
      <c r="D272" t="s">
        <v>188</v>
      </c>
      <c r="E272" t="s">
        <v>164</v>
      </c>
      <c r="K272" t="s">
        <v>42</v>
      </c>
      <c r="L272" t="s">
        <v>771</v>
      </c>
      <c r="M272" t="s">
        <v>166</v>
      </c>
      <c r="N272" t="s">
        <v>772</v>
      </c>
      <c r="O272">
        <v>4</v>
      </c>
      <c r="P272" t="s">
        <v>168</v>
      </c>
      <c r="Q272" t="s">
        <v>168</v>
      </c>
      <c r="R272" t="s">
        <v>304</v>
      </c>
      <c r="S272" t="s">
        <v>671</v>
      </c>
    </row>
    <row r="273" spans="3:19" x14ac:dyDescent="0.25">
      <c r="C273" t="s">
        <v>773</v>
      </c>
      <c r="D273" t="s">
        <v>188</v>
      </c>
      <c r="E273" t="s">
        <v>164</v>
      </c>
      <c r="K273" t="s">
        <v>42</v>
      </c>
      <c r="L273" t="s">
        <v>774</v>
      </c>
      <c r="M273" t="s">
        <v>166</v>
      </c>
      <c r="N273" t="s">
        <v>775</v>
      </c>
      <c r="O273">
        <v>4</v>
      </c>
      <c r="P273" t="s">
        <v>168</v>
      </c>
      <c r="Q273" t="s">
        <v>168</v>
      </c>
      <c r="R273" t="s">
        <v>308</v>
      </c>
      <c r="S273" t="s">
        <v>671</v>
      </c>
    </row>
    <row r="274" spans="3:19" x14ac:dyDescent="0.25">
      <c r="C274" t="s">
        <v>776</v>
      </c>
      <c r="D274" t="s">
        <v>188</v>
      </c>
      <c r="E274" t="s">
        <v>164</v>
      </c>
      <c r="K274" t="s">
        <v>42</v>
      </c>
      <c r="L274" t="s">
        <v>777</v>
      </c>
      <c r="M274" t="s">
        <v>166</v>
      </c>
      <c r="N274" t="s">
        <v>778</v>
      </c>
      <c r="O274">
        <v>4</v>
      </c>
      <c r="P274" t="s">
        <v>168</v>
      </c>
      <c r="Q274" t="s">
        <v>168</v>
      </c>
      <c r="R274" t="s">
        <v>312</v>
      </c>
      <c r="S274" t="s">
        <v>671</v>
      </c>
    </row>
    <row r="275" spans="3:19" x14ac:dyDescent="0.25">
      <c r="C275" t="s">
        <v>779</v>
      </c>
      <c r="D275" t="s">
        <v>197</v>
      </c>
      <c r="E275" t="s">
        <v>0</v>
      </c>
      <c r="K275" t="s">
        <v>42</v>
      </c>
      <c r="L275" t="s">
        <v>780</v>
      </c>
      <c r="M275" t="s">
        <v>166</v>
      </c>
      <c r="N275" t="s">
        <v>781</v>
      </c>
      <c r="O275">
        <v>4</v>
      </c>
      <c r="P275" t="s">
        <v>168</v>
      </c>
      <c r="Q275" t="s">
        <v>168</v>
      </c>
      <c r="R275" t="s">
        <v>316</v>
      </c>
      <c r="S275" t="s">
        <v>667</v>
      </c>
    </row>
    <row r="276" spans="3:19" x14ac:dyDescent="0.25">
      <c r="C276" t="s">
        <v>782</v>
      </c>
      <c r="D276" t="s">
        <v>197</v>
      </c>
      <c r="E276" t="s">
        <v>0</v>
      </c>
      <c r="K276" t="s">
        <v>42</v>
      </c>
      <c r="L276" t="s">
        <v>723</v>
      </c>
      <c r="M276" t="s">
        <v>166</v>
      </c>
      <c r="N276" t="s">
        <v>783</v>
      </c>
      <c r="O276">
        <v>4</v>
      </c>
      <c r="P276" t="s">
        <v>168</v>
      </c>
      <c r="Q276" t="s">
        <v>168</v>
      </c>
      <c r="R276" t="s">
        <v>260</v>
      </c>
      <c r="S276" t="s">
        <v>667</v>
      </c>
    </row>
    <row r="277" spans="3:19" x14ac:dyDescent="0.25">
      <c r="C277" t="s">
        <v>784</v>
      </c>
      <c r="D277" t="s">
        <v>197</v>
      </c>
      <c r="E277" t="s">
        <v>0</v>
      </c>
      <c r="K277" t="s">
        <v>42</v>
      </c>
      <c r="L277" t="s">
        <v>785</v>
      </c>
      <c r="M277" t="s">
        <v>166</v>
      </c>
      <c r="N277" t="s">
        <v>786</v>
      </c>
      <c r="O277">
        <v>4</v>
      </c>
      <c r="P277" t="s">
        <v>168</v>
      </c>
      <c r="Q277" t="s">
        <v>168</v>
      </c>
      <c r="R277" t="s">
        <v>320</v>
      </c>
      <c r="S277" t="s">
        <v>667</v>
      </c>
    </row>
    <row r="278" spans="3:19" x14ac:dyDescent="0.25">
      <c r="C278" t="s">
        <v>787</v>
      </c>
      <c r="D278" t="s">
        <v>188</v>
      </c>
      <c r="E278" t="s">
        <v>0</v>
      </c>
      <c r="K278" t="s">
        <v>42</v>
      </c>
      <c r="L278" t="s">
        <v>788</v>
      </c>
      <c r="M278" t="s">
        <v>166</v>
      </c>
      <c r="N278" t="s">
        <v>789</v>
      </c>
      <c r="O278">
        <v>4</v>
      </c>
      <c r="P278" t="s">
        <v>168</v>
      </c>
      <c r="Q278" t="s">
        <v>168</v>
      </c>
      <c r="R278" t="s">
        <v>324</v>
      </c>
      <c r="S278" t="s">
        <v>667</v>
      </c>
    </row>
    <row r="279" spans="3:19" x14ac:dyDescent="0.25">
      <c r="C279" t="s">
        <v>790</v>
      </c>
      <c r="D279" t="s">
        <v>197</v>
      </c>
      <c r="E279" t="s">
        <v>164</v>
      </c>
      <c r="K279" t="s">
        <v>42</v>
      </c>
      <c r="L279" t="s">
        <v>791</v>
      </c>
      <c r="M279" t="s">
        <v>166</v>
      </c>
      <c r="N279" t="s">
        <v>792</v>
      </c>
      <c r="O279">
        <v>4</v>
      </c>
      <c r="P279" t="s">
        <v>168</v>
      </c>
      <c r="Q279" t="s">
        <v>168</v>
      </c>
      <c r="R279" t="s">
        <v>793</v>
      </c>
      <c r="S279" t="s">
        <v>671</v>
      </c>
    </row>
    <row r="280" spans="3:19" s="32" customFormat="1" x14ac:dyDescent="0.25">
      <c r="C280" s="32" t="s">
        <v>794</v>
      </c>
      <c r="D280" s="32" t="s">
        <v>197</v>
      </c>
      <c r="E280" s="32" t="s">
        <v>164</v>
      </c>
      <c r="K280" s="32" t="s">
        <v>42</v>
      </c>
      <c r="L280" s="32" t="s">
        <v>1040</v>
      </c>
      <c r="M280" s="32" t="s">
        <v>166</v>
      </c>
      <c r="N280" s="32" t="s">
        <v>795</v>
      </c>
      <c r="O280" s="32">
        <v>4</v>
      </c>
      <c r="P280" s="32" t="s">
        <v>168</v>
      </c>
      <c r="Q280" s="32" t="s">
        <v>168</v>
      </c>
      <c r="R280" s="32" t="s">
        <v>796</v>
      </c>
      <c r="S280" s="32" t="s">
        <v>671</v>
      </c>
    </row>
    <row r="281" spans="3:19" s="32" customFormat="1" x14ac:dyDescent="0.25">
      <c r="C281" s="32" t="s">
        <v>797</v>
      </c>
      <c r="D281" s="32" t="s">
        <v>188</v>
      </c>
      <c r="E281" s="32" t="s">
        <v>164</v>
      </c>
      <c r="K281" s="32" t="s">
        <v>42</v>
      </c>
      <c r="L281" s="32" t="s">
        <v>1041</v>
      </c>
      <c r="M281" s="32" t="s">
        <v>166</v>
      </c>
      <c r="N281" s="32" t="s">
        <v>798</v>
      </c>
      <c r="O281" s="32">
        <v>4</v>
      </c>
      <c r="P281" s="32" t="s">
        <v>168</v>
      </c>
      <c r="Q281" s="32" t="s">
        <v>168</v>
      </c>
      <c r="R281" s="32" t="s">
        <v>330</v>
      </c>
      <c r="S281" s="32" t="s">
        <v>671</v>
      </c>
    </row>
    <row r="282" spans="3:19" x14ac:dyDescent="0.25">
      <c r="C282" t="s">
        <v>799</v>
      </c>
      <c r="D282" t="s">
        <v>197</v>
      </c>
      <c r="E282" t="s">
        <v>0</v>
      </c>
      <c r="K282" t="s">
        <v>42</v>
      </c>
      <c r="L282" t="s">
        <v>800</v>
      </c>
      <c r="M282" t="s">
        <v>166</v>
      </c>
      <c r="N282" t="s">
        <v>801</v>
      </c>
      <c r="O282">
        <v>4</v>
      </c>
      <c r="P282" t="s">
        <v>168</v>
      </c>
      <c r="Q282" t="s">
        <v>168</v>
      </c>
      <c r="R282" t="s">
        <v>338</v>
      </c>
      <c r="S282" t="s">
        <v>667</v>
      </c>
    </row>
    <row r="283" spans="3:19" x14ac:dyDescent="0.25">
      <c r="C283" t="s">
        <v>802</v>
      </c>
      <c r="D283" t="s">
        <v>197</v>
      </c>
      <c r="E283" t="s">
        <v>0</v>
      </c>
      <c r="K283" t="s">
        <v>42</v>
      </c>
      <c r="L283" t="s">
        <v>803</v>
      </c>
      <c r="M283" t="s">
        <v>166</v>
      </c>
      <c r="N283" t="s">
        <v>804</v>
      </c>
      <c r="O283">
        <v>4</v>
      </c>
      <c r="P283" t="s">
        <v>168</v>
      </c>
      <c r="Q283" t="s">
        <v>168</v>
      </c>
      <c r="R283" t="s">
        <v>342</v>
      </c>
      <c r="S283" t="s">
        <v>667</v>
      </c>
    </row>
    <row r="284" spans="3:19" x14ac:dyDescent="0.25">
      <c r="C284" t="s">
        <v>805</v>
      </c>
      <c r="D284" t="s">
        <v>197</v>
      </c>
      <c r="E284" t="s">
        <v>0</v>
      </c>
      <c r="K284" t="s">
        <v>42</v>
      </c>
      <c r="L284" t="s">
        <v>806</v>
      </c>
      <c r="M284" t="s">
        <v>166</v>
      </c>
      <c r="N284" t="s">
        <v>807</v>
      </c>
      <c r="O284">
        <v>4</v>
      </c>
      <c r="P284" t="s">
        <v>168</v>
      </c>
      <c r="Q284" t="s">
        <v>168</v>
      </c>
      <c r="R284" t="s">
        <v>346</v>
      </c>
      <c r="S284" t="s">
        <v>667</v>
      </c>
    </row>
    <row r="285" spans="3:19" x14ac:dyDescent="0.25">
      <c r="C285" t="s">
        <v>808</v>
      </c>
      <c r="D285" t="s">
        <v>197</v>
      </c>
      <c r="E285" t="s">
        <v>0</v>
      </c>
      <c r="K285" t="s">
        <v>42</v>
      </c>
      <c r="L285" t="s">
        <v>800</v>
      </c>
      <c r="M285" t="s">
        <v>166</v>
      </c>
      <c r="N285" t="s">
        <v>809</v>
      </c>
      <c r="O285">
        <v>4</v>
      </c>
      <c r="P285" t="s">
        <v>168</v>
      </c>
      <c r="Q285" t="s">
        <v>168</v>
      </c>
      <c r="R285" t="s">
        <v>350</v>
      </c>
      <c r="S285" t="s">
        <v>667</v>
      </c>
    </row>
    <row r="286" spans="3:19" x14ac:dyDescent="0.25">
      <c r="C286" t="s">
        <v>810</v>
      </c>
      <c r="D286" t="s">
        <v>188</v>
      </c>
      <c r="E286" t="s">
        <v>0</v>
      </c>
      <c r="K286" t="s">
        <v>42</v>
      </c>
      <c r="L286" t="s">
        <v>811</v>
      </c>
      <c r="M286" t="s">
        <v>166</v>
      </c>
      <c r="N286" t="s">
        <v>812</v>
      </c>
      <c r="O286">
        <v>4</v>
      </c>
      <c r="P286" t="s">
        <v>168</v>
      </c>
      <c r="Q286" t="s">
        <v>168</v>
      </c>
      <c r="R286" t="s">
        <v>361</v>
      </c>
      <c r="S286" t="s">
        <v>667</v>
      </c>
    </row>
    <row r="287" spans="3:19" x14ac:dyDescent="0.25">
      <c r="C287" t="s">
        <v>813</v>
      </c>
      <c r="D287" t="s">
        <v>188</v>
      </c>
      <c r="E287" t="s">
        <v>0</v>
      </c>
      <c r="K287" t="s">
        <v>42</v>
      </c>
      <c r="L287" t="s">
        <v>814</v>
      </c>
      <c r="M287" t="s">
        <v>166</v>
      </c>
      <c r="N287" t="s">
        <v>815</v>
      </c>
      <c r="O287">
        <v>4</v>
      </c>
      <c r="P287" t="s">
        <v>168</v>
      </c>
      <c r="Q287" t="s">
        <v>168</v>
      </c>
      <c r="R287" t="s">
        <v>365</v>
      </c>
      <c r="S287" t="s">
        <v>667</v>
      </c>
    </row>
    <row r="288" spans="3:19" x14ac:dyDescent="0.25">
      <c r="C288" t="s">
        <v>802</v>
      </c>
      <c r="D288" t="s">
        <v>197</v>
      </c>
      <c r="E288" t="s">
        <v>164</v>
      </c>
      <c r="K288" t="s">
        <v>42</v>
      </c>
      <c r="L288" t="s">
        <v>816</v>
      </c>
      <c r="M288" t="s">
        <v>166</v>
      </c>
      <c r="N288" t="s">
        <v>817</v>
      </c>
      <c r="O288">
        <v>4</v>
      </c>
      <c r="P288" t="s">
        <v>168</v>
      </c>
      <c r="Q288" t="s">
        <v>168</v>
      </c>
      <c r="R288" t="s">
        <v>342</v>
      </c>
      <c r="S288" t="s">
        <v>671</v>
      </c>
    </row>
    <row r="289" spans="3:19" x14ac:dyDescent="0.25">
      <c r="C289" t="s">
        <v>818</v>
      </c>
      <c r="D289" t="s">
        <v>188</v>
      </c>
      <c r="E289" t="s">
        <v>164</v>
      </c>
      <c r="K289" t="s">
        <v>42</v>
      </c>
      <c r="L289" t="s">
        <v>819</v>
      </c>
      <c r="M289" t="s">
        <v>166</v>
      </c>
      <c r="N289" t="s">
        <v>820</v>
      </c>
      <c r="O289">
        <v>4</v>
      </c>
      <c r="P289" t="s">
        <v>168</v>
      </c>
      <c r="Q289" t="s">
        <v>168</v>
      </c>
      <c r="R289" t="s">
        <v>358</v>
      </c>
      <c r="S289" t="s">
        <v>671</v>
      </c>
    </row>
    <row r="290" spans="3:19" x14ac:dyDescent="0.25">
      <c r="C290" t="s">
        <v>810</v>
      </c>
      <c r="D290" t="s">
        <v>188</v>
      </c>
      <c r="E290" t="s">
        <v>164</v>
      </c>
      <c r="K290" t="s">
        <v>42</v>
      </c>
      <c r="L290" t="s">
        <v>821</v>
      </c>
      <c r="M290" t="s">
        <v>166</v>
      </c>
      <c r="N290" t="s">
        <v>822</v>
      </c>
      <c r="O290">
        <v>4</v>
      </c>
      <c r="P290" t="s">
        <v>168</v>
      </c>
      <c r="Q290" t="s">
        <v>168</v>
      </c>
      <c r="R290" t="s">
        <v>361</v>
      </c>
      <c r="S290" t="s">
        <v>671</v>
      </c>
    </row>
    <row r="291" spans="3:19" x14ac:dyDescent="0.25">
      <c r="C291" t="s">
        <v>813</v>
      </c>
      <c r="D291" t="s">
        <v>188</v>
      </c>
      <c r="E291" t="s">
        <v>164</v>
      </c>
      <c r="K291" t="s">
        <v>42</v>
      </c>
      <c r="L291" t="s">
        <v>823</v>
      </c>
      <c r="M291" t="s">
        <v>166</v>
      </c>
      <c r="N291" t="s">
        <v>824</v>
      </c>
      <c r="O291">
        <v>4</v>
      </c>
      <c r="P291" t="s">
        <v>168</v>
      </c>
      <c r="Q291" t="s">
        <v>168</v>
      </c>
      <c r="R291" t="s">
        <v>365</v>
      </c>
      <c r="S291" t="s">
        <v>671</v>
      </c>
    </row>
    <row r="292" spans="3:19" x14ac:dyDescent="0.25">
      <c r="C292" t="s">
        <v>825</v>
      </c>
      <c r="D292" t="s">
        <v>188</v>
      </c>
      <c r="E292" t="s">
        <v>0</v>
      </c>
      <c r="K292" t="s">
        <v>42</v>
      </c>
      <c r="L292" t="s">
        <v>826</v>
      </c>
      <c r="M292" t="s">
        <v>166</v>
      </c>
      <c r="N292" t="s">
        <v>827</v>
      </c>
      <c r="O292">
        <v>4</v>
      </c>
      <c r="P292" t="s">
        <v>168</v>
      </c>
      <c r="Q292" t="s">
        <v>168</v>
      </c>
      <c r="R292" t="s">
        <v>828</v>
      </c>
      <c r="S292" t="s">
        <v>667</v>
      </c>
    </row>
    <row r="293" spans="3:19" x14ac:dyDescent="0.25">
      <c r="C293" t="s">
        <v>829</v>
      </c>
      <c r="D293" t="s">
        <v>197</v>
      </c>
      <c r="E293" t="s">
        <v>0</v>
      </c>
      <c r="K293" t="s">
        <v>42</v>
      </c>
      <c r="L293" t="s">
        <v>830</v>
      </c>
      <c r="M293" t="s">
        <v>166</v>
      </c>
      <c r="N293" t="s">
        <v>831</v>
      </c>
      <c r="O293">
        <v>4</v>
      </c>
      <c r="P293" t="s">
        <v>168</v>
      </c>
      <c r="Q293" t="s">
        <v>168</v>
      </c>
      <c r="R293" t="s">
        <v>395</v>
      </c>
      <c r="S293" t="s">
        <v>667</v>
      </c>
    </row>
    <row r="294" spans="3:19" x14ac:dyDescent="0.25">
      <c r="C294" t="s">
        <v>832</v>
      </c>
      <c r="D294" t="s">
        <v>197</v>
      </c>
      <c r="E294" t="s">
        <v>0</v>
      </c>
      <c r="K294" t="s">
        <v>42</v>
      </c>
      <c r="L294" t="s">
        <v>803</v>
      </c>
      <c r="M294" t="s">
        <v>166</v>
      </c>
      <c r="N294" t="s">
        <v>833</v>
      </c>
      <c r="O294">
        <v>4</v>
      </c>
      <c r="P294" t="s">
        <v>168</v>
      </c>
      <c r="Q294" t="s">
        <v>168</v>
      </c>
      <c r="R294" t="s">
        <v>354</v>
      </c>
      <c r="S294" t="s">
        <v>667</v>
      </c>
    </row>
    <row r="295" spans="3:19" x14ac:dyDescent="0.25">
      <c r="C295" t="s">
        <v>834</v>
      </c>
      <c r="D295" t="s">
        <v>188</v>
      </c>
      <c r="E295" t="s">
        <v>0</v>
      </c>
      <c r="K295" t="s">
        <v>42</v>
      </c>
      <c r="L295" t="s">
        <v>835</v>
      </c>
      <c r="M295" t="s">
        <v>166</v>
      </c>
      <c r="N295" t="s">
        <v>836</v>
      </c>
      <c r="O295">
        <v>4</v>
      </c>
      <c r="P295" t="s">
        <v>168</v>
      </c>
      <c r="Q295" t="s">
        <v>168</v>
      </c>
      <c r="R295" t="s">
        <v>433</v>
      </c>
      <c r="S295" t="s">
        <v>667</v>
      </c>
    </row>
    <row r="296" spans="3:19" x14ac:dyDescent="0.25">
      <c r="C296" t="s">
        <v>829</v>
      </c>
      <c r="D296" t="s">
        <v>197</v>
      </c>
      <c r="E296" t="s">
        <v>164</v>
      </c>
      <c r="K296" t="s">
        <v>42</v>
      </c>
      <c r="L296" t="s">
        <v>837</v>
      </c>
      <c r="M296" t="s">
        <v>166</v>
      </c>
      <c r="N296" t="s">
        <v>838</v>
      </c>
      <c r="O296">
        <v>4</v>
      </c>
      <c r="P296" t="s">
        <v>168</v>
      </c>
      <c r="Q296" t="s">
        <v>168</v>
      </c>
      <c r="R296" t="s">
        <v>395</v>
      </c>
      <c r="S296" t="s">
        <v>671</v>
      </c>
    </row>
    <row r="297" spans="3:19" x14ac:dyDescent="0.25">
      <c r="C297" t="s">
        <v>832</v>
      </c>
      <c r="D297" t="s">
        <v>197</v>
      </c>
      <c r="E297" t="s">
        <v>164</v>
      </c>
      <c r="K297" t="s">
        <v>42</v>
      </c>
      <c r="L297" t="s">
        <v>839</v>
      </c>
      <c r="M297" t="s">
        <v>166</v>
      </c>
      <c r="N297" t="s">
        <v>840</v>
      </c>
      <c r="O297">
        <v>4</v>
      </c>
      <c r="P297" t="s">
        <v>168</v>
      </c>
      <c r="Q297" t="s">
        <v>168</v>
      </c>
      <c r="R297" t="s">
        <v>354</v>
      </c>
      <c r="S297" t="s">
        <v>671</v>
      </c>
    </row>
    <row r="298" spans="3:19" x14ac:dyDescent="0.25">
      <c r="C298" t="s">
        <v>841</v>
      </c>
      <c r="D298" t="s">
        <v>188</v>
      </c>
      <c r="E298" t="s">
        <v>164</v>
      </c>
      <c r="K298" t="s">
        <v>42</v>
      </c>
      <c r="L298" t="s">
        <v>842</v>
      </c>
      <c r="M298" t="s">
        <v>166</v>
      </c>
      <c r="N298" t="s">
        <v>843</v>
      </c>
      <c r="O298">
        <v>4</v>
      </c>
      <c r="P298" t="s">
        <v>168</v>
      </c>
      <c r="Q298" t="s">
        <v>168</v>
      </c>
      <c r="R298" t="s">
        <v>407</v>
      </c>
      <c r="S298" t="s">
        <v>671</v>
      </c>
    </row>
    <row r="299" spans="3:19" x14ac:dyDescent="0.25">
      <c r="C299" t="s">
        <v>834</v>
      </c>
      <c r="D299" t="s">
        <v>188</v>
      </c>
      <c r="E299" t="s">
        <v>164</v>
      </c>
      <c r="K299" t="s">
        <v>42</v>
      </c>
      <c r="L299" t="s">
        <v>844</v>
      </c>
      <c r="M299" t="s">
        <v>166</v>
      </c>
      <c r="N299" t="s">
        <v>845</v>
      </c>
      <c r="O299">
        <v>4</v>
      </c>
      <c r="P299" t="s">
        <v>168</v>
      </c>
      <c r="Q299" t="s">
        <v>168</v>
      </c>
      <c r="R299" t="s">
        <v>433</v>
      </c>
      <c r="S299" t="s">
        <v>671</v>
      </c>
    </row>
    <row r="300" spans="3:19" x14ac:dyDescent="0.25">
      <c r="C300" t="s">
        <v>846</v>
      </c>
      <c r="D300" t="s">
        <v>188</v>
      </c>
      <c r="E300" t="s">
        <v>164</v>
      </c>
      <c r="K300" t="s">
        <v>42</v>
      </c>
      <c r="L300" t="s">
        <v>847</v>
      </c>
      <c r="M300" t="s">
        <v>166</v>
      </c>
      <c r="N300" t="s">
        <v>848</v>
      </c>
      <c r="O300">
        <v>4</v>
      </c>
      <c r="P300" t="s">
        <v>168</v>
      </c>
      <c r="Q300" t="s">
        <v>168</v>
      </c>
      <c r="R300" t="s">
        <v>443</v>
      </c>
      <c r="S300" t="s">
        <v>671</v>
      </c>
    </row>
    <row r="301" spans="3:19" x14ac:dyDescent="0.25">
      <c r="C301" t="s">
        <v>849</v>
      </c>
      <c r="D301" t="s">
        <v>197</v>
      </c>
      <c r="E301" t="s">
        <v>0</v>
      </c>
      <c r="K301" t="s">
        <v>42</v>
      </c>
      <c r="L301" t="s">
        <v>850</v>
      </c>
      <c r="M301" t="s">
        <v>166</v>
      </c>
      <c r="N301" t="s">
        <v>851</v>
      </c>
      <c r="O301">
        <v>4</v>
      </c>
      <c r="P301" t="s">
        <v>168</v>
      </c>
      <c r="Q301" t="s">
        <v>168</v>
      </c>
      <c r="R301" t="s">
        <v>419</v>
      </c>
      <c r="S301" t="s">
        <v>667</v>
      </c>
    </row>
    <row r="302" spans="3:19" x14ac:dyDescent="0.25">
      <c r="C302" t="s">
        <v>852</v>
      </c>
      <c r="D302" t="s">
        <v>197</v>
      </c>
      <c r="E302" t="s">
        <v>0</v>
      </c>
      <c r="K302" t="s">
        <v>42</v>
      </c>
      <c r="L302" t="s">
        <v>853</v>
      </c>
      <c r="M302" t="s">
        <v>166</v>
      </c>
      <c r="N302" t="s">
        <v>854</v>
      </c>
      <c r="O302">
        <v>4</v>
      </c>
      <c r="P302" t="s">
        <v>168</v>
      </c>
      <c r="Q302" t="s">
        <v>168</v>
      </c>
      <c r="R302" t="s">
        <v>383</v>
      </c>
      <c r="S302" t="s">
        <v>667</v>
      </c>
    </row>
    <row r="303" spans="3:19" x14ac:dyDescent="0.25">
      <c r="C303" t="s">
        <v>855</v>
      </c>
      <c r="D303" t="s">
        <v>197</v>
      </c>
      <c r="E303" t="s">
        <v>0</v>
      </c>
      <c r="K303" t="s">
        <v>42</v>
      </c>
      <c r="L303" t="s">
        <v>856</v>
      </c>
      <c r="M303" t="s">
        <v>166</v>
      </c>
      <c r="N303" t="s">
        <v>857</v>
      </c>
      <c r="O303">
        <v>4</v>
      </c>
      <c r="P303" t="s">
        <v>168</v>
      </c>
      <c r="Q303" t="s">
        <v>168</v>
      </c>
      <c r="R303" t="s">
        <v>387</v>
      </c>
      <c r="S303" t="s">
        <v>667</v>
      </c>
    </row>
    <row r="304" spans="3:19" x14ac:dyDescent="0.25">
      <c r="C304" t="s">
        <v>858</v>
      </c>
      <c r="D304" t="s">
        <v>197</v>
      </c>
      <c r="E304" t="s">
        <v>0</v>
      </c>
      <c r="K304" t="s">
        <v>42</v>
      </c>
      <c r="L304" t="s">
        <v>850</v>
      </c>
      <c r="M304" t="s">
        <v>166</v>
      </c>
      <c r="N304" t="s">
        <v>859</v>
      </c>
      <c r="O304">
        <v>4</v>
      </c>
      <c r="P304" t="s">
        <v>168</v>
      </c>
      <c r="Q304" t="s">
        <v>168</v>
      </c>
      <c r="R304" t="s">
        <v>391</v>
      </c>
      <c r="S304" t="s">
        <v>667</v>
      </c>
    </row>
    <row r="305" spans="3:19" x14ac:dyDescent="0.25">
      <c r="C305" t="s">
        <v>860</v>
      </c>
      <c r="D305" t="s">
        <v>197</v>
      </c>
      <c r="E305" t="s">
        <v>0</v>
      </c>
      <c r="K305" t="s">
        <v>42</v>
      </c>
      <c r="L305" t="s">
        <v>861</v>
      </c>
      <c r="M305" t="s">
        <v>166</v>
      </c>
      <c r="N305" t="s">
        <v>862</v>
      </c>
      <c r="O305">
        <v>4</v>
      </c>
      <c r="P305" t="s">
        <v>168</v>
      </c>
      <c r="Q305" t="s">
        <v>168</v>
      </c>
      <c r="R305" t="s">
        <v>399</v>
      </c>
      <c r="S305" t="s">
        <v>667</v>
      </c>
    </row>
    <row r="306" spans="3:19" x14ac:dyDescent="0.25">
      <c r="C306" t="s">
        <v>863</v>
      </c>
      <c r="D306" t="s">
        <v>197</v>
      </c>
      <c r="E306" t="s">
        <v>0</v>
      </c>
      <c r="K306" t="s">
        <v>42</v>
      </c>
      <c r="L306" t="s">
        <v>864</v>
      </c>
      <c r="M306" t="s">
        <v>166</v>
      </c>
      <c r="N306" t="s">
        <v>865</v>
      </c>
      <c r="O306">
        <v>4</v>
      </c>
      <c r="P306" t="s">
        <v>168</v>
      </c>
      <c r="Q306" t="s">
        <v>168</v>
      </c>
      <c r="R306" t="s">
        <v>403</v>
      </c>
      <c r="S306" t="s">
        <v>667</v>
      </c>
    </row>
    <row r="307" spans="3:19" x14ac:dyDescent="0.25">
      <c r="C307" t="s">
        <v>866</v>
      </c>
      <c r="D307" t="s">
        <v>188</v>
      </c>
      <c r="E307" t="s">
        <v>0</v>
      </c>
      <c r="K307" t="s">
        <v>42</v>
      </c>
      <c r="L307" t="s">
        <v>867</v>
      </c>
      <c r="M307" t="s">
        <v>166</v>
      </c>
      <c r="N307" t="s">
        <v>868</v>
      </c>
      <c r="O307">
        <v>4</v>
      </c>
      <c r="P307" t="s">
        <v>168</v>
      </c>
      <c r="Q307" t="s">
        <v>168</v>
      </c>
      <c r="R307" t="s">
        <v>411</v>
      </c>
      <c r="S307" t="s">
        <v>667</v>
      </c>
    </row>
    <row r="308" spans="3:19" x14ac:dyDescent="0.25">
      <c r="C308" t="s">
        <v>869</v>
      </c>
      <c r="D308" t="s">
        <v>188</v>
      </c>
      <c r="E308" t="s">
        <v>0</v>
      </c>
      <c r="K308" t="s">
        <v>42</v>
      </c>
      <c r="L308" t="s">
        <v>870</v>
      </c>
      <c r="M308" t="s">
        <v>166</v>
      </c>
      <c r="N308" t="s">
        <v>871</v>
      </c>
      <c r="O308">
        <v>4</v>
      </c>
      <c r="P308" t="s">
        <v>168</v>
      </c>
      <c r="Q308" t="s">
        <v>168</v>
      </c>
      <c r="R308" t="s">
        <v>487</v>
      </c>
      <c r="S308" t="s">
        <v>667</v>
      </c>
    </row>
    <row r="309" spans="3:19" x14ac:dyDescent="0.25">
      <c r="C309" t="s">
        <v>872</v>
      </c>
      <c r="D309" t="s">
        <v>188</v>
      </c>
      <c r="E309" t="s">
        <v>0</v>
      </c>
      <c r="K309" t="s">
        <v>42</v>
      </c>
      <c r="L309" t="s">
        <v>873</v>
      </c>
      <c r="M309" t="s">
        <v>166</v>
      </c>
      <c r="N309" t="s">
        <v>874</v>
      </c>
      <c r="O309">
        <v>4</v>
      </c>
      <c r="P309" t="s">
        <v>168</v>
      </c>
      <c r="Q309" t="s">
        <v>168</v>
      </c>
      <c r="R309" t="s">
        <v>415</v>
      </c>
      <c r="S309" t="s">
        <v>667</v>
      </c>
    </row>
    <row r="310" spans="3:19" x14ac:dyDescent="0.25">
      <c r="C310" t="s">
        <v>849</v>
      </c>
      <c r="D310" t="s">
        <v>197</v>
      </c>
      <c r="E310" t="s">
        <v>164</v>
      </c>
      <c r="K310" t="s">
        <v>42</v>
      </c>
      <c r="L310" t="s">
        <v>875</v>
      </c>
      <c r="M310" t="s">
        <v>166</v>
      </c>
      <c r="N310" t="s">
        <v>876</v>
      </c>
      <c r="O310">
        <v>4</v>
      </c>
      <c r="P310" t="s">
        <v>168</v>
      </c>
      <c r="Q310" t="s">
        <v>168</v>
      </c>
      <c r="R310" t="s">
        <v>419</v>
      </c>
      <c r="S310" t="s">
        <v>671</v>
      </c>
    </row>
    <row r="311" spans="3:19" x14ac:dyDescent="0.25">
      <c r="C311" t="s">
        <v>860</v>
      </c>
      <c r="D311" t="s">
        <v>197</v>
      </c>
      <c r="E311" t="s">
        <v>164</v>
      </c>
      <c r="K311" t="s">
        <v>42</v>
      </c>
      <c r="L311" t="s">
        <v>877</v>
      </c>
      <c r="M311" t="s">
        <v>166</v>
      </c>
      <c r="N311" t="s">
        <v>878</v>
      </c>
      <c r="O311">
        <v>4</v>
      </c>
      <c r="P311" t="s">
        <v>168</v>
      </c>
      <c r="Q311" t="s">
        <v>168</v>
      </c>
      <c r="R311" t="s">
        <v>399</v>
      </c>
      <c r="S311" t="s">
        <v>671</v>
      </c>
    </row>
    <row r="312" spans="3:19" x14ac:dyDescent="0.25">
      <c r="C312" t="s">
        <v>879</v>
      </c>
      <c r="D312" t="s">
        <v>188</v>
      </c>
      <c r="E312" t="s">
        <v>164</v>
      </c>
      <c r="K312" t="s">
        <v>42</v>
      </c>
      <c r="L312" t="s">
        <v>880</v>
      </c>
      <c r="M312" t="s">
        <v>166</v>
      </c>
      <c r="N312" t="s">
        <v>881</v>
      </c>
      <c r="O312">
        <v>4</v>
      </c>
      <c r="P312" t="s">
        <v>168</v>
      </c>
      <c r="Q312" t="s">
        <v>168</v>
      </c>
      <c r="R312" t="s">
        <v>427</v>
      </c>
      <c r="S312" t="s">
        <v>671</v>
      </c>
    </row>
    <row r="313" spans="3:19" x14ac:dyDescent="0.25">
      <c r="C313" t="s">
        <v>866</v>
      </c>
      <c r="D313" t="s">
        <v>188</v>
      </c>
      <c r="E313" t="s">
        <v>164</v>
      </c>
      <c r="K313" t="s">
        <v>42</v>
      </c>
      <c r="L313" t="s">
        <v>882</v>
      </c>
      <c r="M313" t="s">
        <v>166</v>
      </c>
      <c r="N313" t="s">
        <v>883</v>
      </c>
      <c r="O313">
        <v>4</v>
      </c>
      <c r="P313" t="s">
        <v>168</v>
      </c>
      <c r="Q313" t="s">
        <v>168</v>
      </c>
      <c r="R313" t="s">
        <v>411</v>
      </c>
      <c r="S313" t="s">
        <v>671</v>
      </c>
    </row>
    <row r="314" spans="3:19" x14ac:dyDescent="0.25">
      <c r="C314" t="s">
        <v>872</v>
      </c>
      <c r="D314" t="s">
        <v>188</v>
      </c>
      <c r="E314" t="s">
        <v>164</v>
      </c>
      <c r="K314" t="s">
        <v>42</v>
      </c>
      <c r="L314" t="s">
        <v>884</v>
      </c>
      <c r="M314" t="s">
        <v>166</v>
      </c>
      <c r="N314" t="s">
        <v>885</v>
      </c>
      <c r="O314">
        <v>4</v>
      </c>
      <c r="P314" t="s">
        <v>168</v>
      </c>
      <c r="Q314" t="s">
        <v>168</v>
      </c>
      <c r="R314" t="s">
        <v>415</v>
      </c>
      <c r="S314" t="s">
        <v>671</v>
      </c>
    </row>
    <row r="315" spans="3:19" x14ac:dyDescent="0.25">
      <c r="C315" t="s">
        <v>886</v>
      </c>
      <c r="D315" t="s">
        <v>188</v>
      </c>
      <c r="E315" t="s">
        <v>164</v>
      </c>
      <c r="K315" t="s">
        <v>42</v>
      </c>
      <c r="L315" t="s">
        <v>887</v>
      </c>
      <c r="M315" t="s">
        <v>166</v>
      </c>
      <c r="N315" t="s">
        <v>888</v>
      </c>
      <c r="O315">
        <v>4</v>
      </c>
      <c r="P315" t="s">
        <v>168</v>
      </c>
      <c r="Q315" t="s">
        <v>168</v>
      </c>
      <c r="R315" t="s">
        <v>439</v>
      </c>
      <c r="S315" t="s">
        <v>671</v>
      </c>
    </row>
    <row r="316" spans="3:19" x14ac:dyDescent="0.25">
      <c r="C316" t="s">
        <v>889</v>
      </c>
      <c r="D316" t="s">
        <v>197</v>
      </c>
      <c r="E316" t="s">
        <v>164</v>
      </c>
      <c r="K316" t="s">
        <v>42</v>
      </c>
      <c r="L316" t="s">
        <v>890</v>
      </c>
      <c r="M316" t="s">
        <v>166</v>
      </c>
      <c r="N316" t="s">
        <v>891</v>
      </c>
      <c r="O316">
        <v>4</v>
      </c>
      <c r="P316" t="s">
        <v>168</v>
      </c>
      <c r="Q316" t="s">
        <v>168</v>
      </c>
      <c r="R316" t="s">
        <v>519</v>
      </c>
      <c r="S316" t="s">
        <v>671</v>
      </c>
    </row>
    <row r="317" spans="3:19" x14ac:dyDescent="0.25">
      <c r="C317" t="s">
        <v>889</v>
      </c>
      <c r="D317" t="s">
        <v>197</v>
      </c>
      <c r="E317" t="s">
        <v>0</v>
      </c>
      <c r="K317" t="s">
        <v>42</v>
      </c>
      <c r="L317" t="s">
        <v>892</v>
      </c>
      <c r="M317" t="s">
        <v>166</v>
      </c>
      <c r="N317" t="s">
        <v>893</v>
      </c>
      <c r="O317">
        <v>4</v>
      </c>
      <c r="P317" t="s">
        <v>168</v>
      </c>
      <c r="Q317" t="s">
        <v>168</v>
      </c>
      <c r="R317" t="s">
        <v>519</v>
      </c>
      <c r="S317" t="s">
        <v>667</v>
      </c>
    </row>
    <row r="318" spans="3:19" x14ac:dyDescent="0.25">
      <c r="C318" t="s">
        <v>894</v>
      </c>
      <c r="D318" t="s">
        <v>197</v>
      </c>
      <c r="E318" t="s">
        <v>0</v>
      </c>
      <c r="K318" t="s">
        <v>42</v>
      </c>
      <c r="L318" t="s">
        <v>895</v>
      </c>
      <c r="M318" t="s">
        <v>166</v>
      </c>
      <c r="N318" t="s">
        <v>896</v>
      </c>
      <c r="O318">
        <v>4</v>
      </c>
      <c r="P318" t="s">
        <v>168</v>
      </c>
      <c r="Q318" t="s">
        <v>168</v>
      </c>
      <c r="R318" t="s">
        <v>463</v>
      </c>
      <c r="S318" t="s">
        <v>667</v>
      </c>
    </row>
    <row r="319" spans="3:19" x14ac:dyDescent="0.25">
      <c r="C319" t="s">
        <v>897</v>
      </c>
      <c r="D319" t="s">
        <v>197</v>
      </c>
      <c r="E319" t="s">
        <v>0</v>
      </c>
      <c r="K319" t="s">
        <v>42</v>
      </c>
      <c r="L319" t="s">
        <v>898</v>
      </c>
      <c r="M319" t="s">
        <v>166</v>
      </c>
      <c r="N319" t="s">
        <v>899</v>
      </c>
      <c r="O319">
        <v>4</v>
      </c>
      <c r="P319" t="s">
        <v>168</v>
      </c>
      <c r="Q319" t="s">
        <v>168</v>
      </c>
      <c r="R319" t="s">
        <v>467</v>
      </c>
      <c r="S319" t="s">
        <v>667</v>
      </c>
    </row>
    <row r="320" spans="3:19" x14ac:dyDescent="0.25">
      <c r="C320" t="s">
        <v>900</v>
      </c>
      <c r="D320" t="s">
        <v>197</v>
      </c>
      <c r="E320" t="s">
        <v>0</v>
      </c>
      <c r="K320" t="s">
        <v>42</v>
      </c>
      <c r="L320" t="s">
        <v>901</v>
      </c>
      <c r="M320" t="s">
        <v>166</v>
      </c>
      <c r="N320" t="s">
        <v>902</v>
      </c>
      <c r="O320">
        <v>4</v>
      </c>
      <c r="P320" t="s">
        <v>168</v>
      </c>
      <c r="Q320" t="s">
        <v>168</v>
      </c>
      <c r="R320" t="s">
        <v>471</v>
      </c>
      <c r="S320" t="s">
        <v>667</v>
      </c>
    </row>
    <row r="321" spans="3:19" x14ac:dyDescent="0.25">
      <c r="C321" t="s">
        <v>903</v>
      </c>
      <c r="D321" t="s">
        <v>197</v>
      </c>
      <c r="E321" t="s">
        <v>0</v>
      </c>
      <c r="K321" t="s">
        <v>42</v>
      </c>
      <c r="L321" t="s">
        <v>904</v>
      </c>
      <c r="M321" t="s">
        <v>166</v>
      </c>
      <c r="N321" t="s">
        <v>905</v>
      </c>
      <c r="O321">
        <v>4</v>
      </c>
      <c r="P321" t="s">
        <v>168</v>
      </c>
      <c r="Q321" t="s">
        <v>168</v>
      </c>
      <c r="R321" t="s">
        <v>475</v>
      </c>
      <c r="S321" t="s">
        <v>667</v>
      </c>
    </row>
    <row r="322" spans="3:19" x14ac:dyDescent="0.25">
      <c r="C322" t="s">
        <v>906</v>
      </c>
      <c r="D322" t="s">
        <v>197</v>
      </c>
      <c r="E322" t="s">
        <v>0</v>
      </c>
      <c r="K322" t="s">
        <v>42</v>
      </c>
      <c r="L322" t="s">
        <v>907</v>
      </c>
      <c r="M322" t="s">
        <v>166</v>
      </c>
      <c r="N322" t="s">
        <v>908</v>
      </c>
      <c r="O322">
        <v>4</v>
      </c>
      <c r="P322" t="s">
        <v>168</v>
      </c>
      <c r="Q322" t="s">
        <v>168</v>
      </c>
      <c r="R322" t="s">
        <v>479</v>
      </c>
      <c r="S322" t="s">
        <v>667</v>
      </c>
    </row>
    <row r="323" spans="3:19" x14ac:dyDescent="0.25">
      <c r="C323" t="s">
        <v>909</v>
      </c>
      <c r="D323" t="s">
        <v>197</v>
      </c>
      <c r="E323" t="s">
        <v>0</v>
      </c>
      <c r="K323" t="s">
        <v>42</v>
      </c>
      <c r="L323" t="s">
        <v>910</v>
      </c>
      <c r="M323" t="s">
        <v>166</v>
      </c>
      <c r="N323" t="s">
        <v>911</v>
      </c>
      <c r="O323">
        <v>4</v>
      </c>
      <c r="P323" t="s">
        <v>168</v>
      </c>
      <c r="Q323" t="s">
        <v>168</v>
      </c>
      <c r="R323" t="s">
        <v>533</v>
      </c>
      <c r="S323" t="s">
        <v>667</v>
      </c>
    </row>
    <row r="324" spans="3:19" x14ac:dyDescent="0.25">
      <c r="C324" t="s">
        <v>912</v>
      </c>
      <c r="D324" t="s">
        <v>197</v>
      </c>
      <c r="E324" t="s">
        <v>0</v>
      </c>
      <c r="K324" t="s">
        <v>42</v>
      </c>
      <c r="L324" t="s">
        <v>913</v>
      </c>
      <c r="M324" t="s">
        <v>166</v>
      </c>
      <c r="N324" t="s">
        <v>914</v>
      </c>
      <c r="O324">
        <v>4</v>
      </c>
      <c r="P324" t="s">
        <v>168</v>
      </c>
      <c r="Q324" t="s">
        <v>168</v>
      </c>
      <c r="R324" t="s">
        <v>483</v>
      </c>
      <c r="S324" t="s">
        <v>667</v>
      </c>
    </row>
    <row r="325" spans="3:19" x14ac:dyDescent="0.25">
      <c r="C325" t="s">
        <v>915</v>
      </c>
      <c r="D325" t="s">
        <v>188</v>
      </c>
      <c r="E325" t="s">
        <v>0</v>
      </c>
      <c r="K325" t="s">
        <v>42</v>
      </c>
      <c r="L325" t="s">
        <v>916</v>
      </c>
      <c r="M325" t="s">
        <v>166</v>
      </c>
      <c r="N325" t="s">
        <v>917</v>
      </c>
      <c r="O325">
        <v>4</v>
      </c>
      <c r="P325" t="s">
        <v>168</v>
      </c>
      <c r="Q325" t="s">
        <v>168</v>
      </c>
      <c r="R325" t="s">
        <v>537</v>
      </c>
      <c r="S325" t="s">
        <v>667</v>
      </c>
    </row>
    <row r="326" spans="3:19" x14ac:dyDescent="0.25">
      <c r="C326" t="s">
        <v>918</v>
      </c>
      <c r="D326" t="s">
        <v>188</v>
      </c>
      <c r="E326" t="s">
        <v>0</v>
      </c>
      <c r="K326" t="s">
        <v>42</v>
      </c>
      <c r="L326" t="s">
        <v>919</v>
      </c>
      <c r="M326" t="s">
        <v>166</v>
      </c>
      <c r="N326" t="s">
        <v>920</v>
      </c>
      <c r="O326">
        <v>4</v>
      </c>
      <c r="P326" t="s">
        <v>168</v>
      </c>
      <c r="Q326" t="s">
        <v>168</v>
      </c>
      <c r="R326" t="s">
        <v>503</v>
      </c>
      <c r="S326" t="s">
        <v>667</v>
      </c>
    </row>
    <row r="327" spans="3:19" x14ac:dyDescent="0.25">
      <c r="C327" t="s">
        <v>915</v>
      </c>
      <c r="D327" t="s">
        <v>188</v>
      </c>
      <c r="E327" t="s">
        <v>164</v>
      </c>
      <c r="K327" t="s">
        <v>42</v>
      </c>
      <c r="L327" t="s">
        <v>921</v>
      </c>
      <c r="M327" t="s">
        <v>166</v>
      </c>
      <c r="N327" t="s">
        <v>922</v>
      </c>
      <c r="O327">
        <v>4</v>
      </c>
      <c r="P327" t="s">
        <v>168</v>
      </c>
      <c r="Q327" t="s">
        <v>168</v>
      </c>
      <c r="R327" t="s">
        <v>537</v>
      </c>
      <c r="S327" t="s">
        <v>671</v>
      </c>
    </row>
    <row r="328" spans="3:19" x14ac:dyDescent="0.25">
      <c r="C328" t="s">
        <v>918</v>
      </c>
      <c r="D328" t="s">
        <v>188</v>
      </c>
      <c r="E328" t="s">
        <v>164</v>
      </c>
      <c r="K328" t="s">
        <v>42</v>
      </c>
      <c r="L328" t="s">
        <v>923</v>
      </c>
      <c r="M328" t="s">
        <v>166</v>
      </c>
      <c r="N328" t="s">
        <v>924</v>
      </c>
      <c r="O328">
        <v>4</v>
      </c>
      <c r="P328" t="s">
        <v>168</v>
      </c>
      <c r="Q328" t="s">
        <v>168</v>
      </c>
      <c r="R328" t="s">
        <v>503</v>
      </c>
      <c r="S328" t="s">
        <v>671</v>
      </c>
    </row>
    <row r="329" spans="3:19" x14ac:dyDescent="0.25">
      <c r="C329" t="s">
        <v>869</v>
      </c>
      <c r="D329" t="s">
        <v>188</v>
      </c>
      <c r="E329" t="s">
        <v>164</v>
      </c>
      <c r="K329" t="s">
        <v>42</v>
      </c>
      <c r="L329" t="s">
        <v>925</v>
      </c>
      <c r="M329" t="s">
        <v>166</v>
      </c>
      <c r="N329" t="s">
        <v>926</v>
      </c>
      <c r="O329">
        <v>4</v>
      </c>
      <c r="P329" t="s">
        <v>168</v>
      </c>
      <c r="Q329" t="s">
        <v>168</v>
      </c>
      <c r="R329" t="s">
        <v>487</v>
      </c>
      <c r="S329" t="s">
        <v>671</v>
      </c>
    </row>
    <row r="330" spans="3:19" x14ac:dyDescent="0.25">
      <c r="C330" t="s">
        <v>927</v>
      </c>
      <c r="D330" t="s">
        <v>188</v>
      </c>
      <c r="E330" t="s">
        <v>164</v>
      </c>
      <c r="K330" t="s">
        <v>42</v>
      </c>
      <c r="L330" t="s">
        <v>928</v>
      </c>
      <c r="M330" t="s">
        <v>166</v>
      </c>
      <c r="N330" t="s">
        <v>929</v>
      </c>
      <c r="O330">
        <v>4</v>
      </c>
      <c r="P330" t="s">
        <v>168</v>
      </c>
      <c r="Q330" t="s">
        <v>168</v>
      </c>
      <c r="R330" t="s">
        <v>491</v>
      </c>
      <c r="S330" t="s">
        <v>671</v>
      </c>
    </row>
    <row r="331" spans="3:19" x14ac:dyDescent="0.25">
      <c r="C331" t="s">
        <v>930</v>
      </c>
      <c r="D331" t="s">
        <v>188</v>
      </c>
      <c r="E331" t="s">
        <v>164</v>
      </c>
      <c r="K331" t="s">
        <v>42</v>
      </c>
      <c r="L331" t="s">
        <v>931</v>
      </c>
      <c r="M331" t="s">
        <v>166</v>
      </c>
      <c r="N331" t="s">
        <v>932</v>
      </c>
      <c r="O331">
        <v>4</v>
      </c>
      <c r="P331" t="s">
        <v>168</v>
      </c>
      <c r="Q331" t="s">
        <v>168</v>
      </c>
      <c r="R331" t="s">
        <v>495</v>
      </c>
      <c r="S331" t="s">
        <v>671</v>
      </c>
    </row>
    <row r="332" spans="3:19" x14ac:dyDescent="0.25">
      <c r="C332" t="s">
        <v>933</v>
      </c>
      <c r="D332" t="s">
        <v>188</v>
      </c>
      <c r="E332" t="s">
        <v>164</v>
      </c>
      <c r="K332" t="s">
        <v>42</v>
      </c>
      <c r="L332" t="s">
        <v>934</v>
      </c>
      <c r="M332" t="s">
        <v>166</v>
      </c>
      <c r="N332" t="s">
        <v>935</v>
      </c>
      <c r="O332">
        <v>4</v>
      </c>
      <c r="P332" t="s">
        <v>168</v>
      </c>
      <c r="Q332" t="s">
        <v>168</v>
      </c>
      <c r="R332" t="s">
        <v>513</v>
      </c>
      <c r="S332" t="s">
        <v>671</v>
      </c>
    </row>
    <row r="333" spans="3:19" x14ac:dyDescent="0.25">
      <c r="C333" t="s">
        <v>936</v>
      </c>
      <c r="D333" t="s">
        <v>188</v>
      </c>
      <c r="E333" t="s">
        <v>164</v>
      </c>
      <c r="K333" t="s">
        <v>42</v>
      </c>
      <c r="L333" t="s">
        <v>937</v>
      </c>
      <c r="M333" t="s">
        <v>166</v>
      </c>
      <c r="N333" t="s">
        <v>938</v>
      </c>
      <c r="O333">
        <v>4</v>
      </c>
      <c r="P333" t="s">
        <v>168</v>
      </c>
      <c r="Q333" t="s">
        <v>168</v>
      </c>
      <c r="R333" t="s">
        <v>499</v>
      </c>
      <c r="S333" t="s">
        <v>671</v>
      </c>
    </row>
    <row r="334" spans="3:19" x14ac:dyDescent="0.25">
      <c r="C334" t="s">
        <v>939</v>
      </c>
      <c r="D334" t="s">
        <v>197</v>
      </c>
      <c r="E334" t="s">
        <v>0</v>
      </c>
      <c r="K334" t="s">
        <v>42</v>
      </c>
      <c r="L334" t="s">
        <v>940</v>
      </c>
      <c r="M334" t="s">
        <v>166</v>
      </c>
      <c r="N334" t="s">
        <v>941</v>
      </c>
      <c r="O334">
        <v>4</v>
      </c>
      <c r="P334" t="s">
        <v>168</v>
      </c>
      <c r="Q334" t="s">
        <v>168</v>
      </c>
      <c r="R334" t="s">
        <v>529</v>
      </c>
      <c r="S334" t="s">
        <v>667</v>
      </c>
    </row>
    <row r="335" spans="3:19" x14ac:dyDescent="0.25">
      <c r="C335" t="s">
        <v>942</v>
      </c>
      <c r="D335" t="s">
        <v>197</v>
      </c>
      <c r="E335" t="s">
        <v>0</v>
      </c>
      <c r="K335" t="s">
        <v>42</v>
      </c>
      <c r="L335" t="s">
        <v>943</v>
      </c>
      <c r="M335" t="s">
        <v>166</v>
      </c>
      <c r="N335" t="s">
        <v>944</v>
      </c>
      <c r="O335">
        <v>4</v>
      </c>
      <c r="P335" t="s">
        <v>168</v>
      </c>
      <c r="Q335" t="s">
        <v>168</v>
      </c>
      <c r="R335" t="s">
        <v>557</v>
      </c>
      <c r="S335" t="s">
        <v>667</v>
      </c>
    </row>
    <row r="336" spans="3:19" x14ac:dyDescent="0.25">
      <c r="C336" t="s">
        <v>945</v>
      </c>
      <c r="D336" t="s">
        <v>197</v>
      </c>
      <c r="E336" t="s">
        <v>0</v>
      </c>
      <c r="K336" t="s">
        <v>42</v>
      </c>
      <c r="L336" t="s">
        <v>946</v>
      </c>
      <c r="M336" t="s">
        <v>166</v>
      </c>
      <c r="N336" t="s">
        <v>947</v>
      </c>
      <c r="O336">
        <v>4</v>
      </c>
      <c r="P336" t="s">
        <v>168</v>
      </c>
      <c r="Q336" t="s">
        <v>168</v>
      </c>
      <c r="R336" t="s">
        <v>561</v>
      </c>
      <c r="S336" t="s">
        <v>667</v>
      </c>
    </row>
    <row r="337" spans="3:19" x14ac:dyDescent="0.25">
      <c r="C337" t="s">
        <v>948</v>
      </c>
      <c r="D337" t="s">
        <v>197</v>
      </c>
      <c r="E337" t="s">
        <v>0</v>
      </c>
      <c r="K337" t="s">
        <v>42</v>
      </c>
      <c r="L337" t="s">
        <v>949</v>
      </c>
      <c r="M337" t="s">
        <v>166</v>
      </c>
      <c r="N337" t="s">
        <v>950</v>
      </c>
      <c r="O337">
        <v>4</v>
      </c>
      <c r="P337" t="s">
        <v>168</v>
      </c>
      <c r="Q337" t="s">
        <v>168</v>
      </c>
      <c r="R337" t="s">
        <v>565</v>
      </c>
      <c r="S337" t="s">
        <v>667</v>
      </c>
    </row>
    <row r="338" spans="3:19" x14ac:dyDescent="0.25">
      <c r="C338" t="s">
        <v>951</v>
      </c>
      <c r="D338" t="s">
        <v>197</v>
      </c>
      <c r="E338" t="s">
        <v>0</v>
      </c>
      <c r="K338" t="s">
        <v>42</v>
      </c>
      <c r="L338" t="s">
        <v>952</v>
      </c>
      <c r="M338" t="s">
        <v>166</v>
      </c>
      <c r="N338" t="s">
        <v>953</v>
      </c>
      <c r="O338">
        <v>4</v>
      </c>
      <c r="P338" t="s">
        <v>168</v>
      </c>
      <c r="Q338" t="s">
        <v>168</v>
      </c>
      <c r="R338" t="s">
        <v>569</v>
      </c>
      <c r="S338" t="s">
        <v>667</v>
      </c>
    </row>
    <row r="339" spans="3:19" x14ac:dyDescent="0.25">
      <c r="C339" t="s">
        <v>954</v>
      </c>
      <c r="D339" t="s">
        <v>197</v>
      </c>
      <c r="E339" t="s">
        <v>0</v>
      </c>
      <c r="K339" t="s">
        <v>42</v>
      </c>
      <c r="L339" t="s">
        <v>955</v>
      </c>
      <c r="M339" t="s">
        <v>166</v>
      </c>
      <c r="N339" t="s">
        <v>956</v>
      </c>
      <c r="O339">
        <v>4</v>
      </c>
      <c r="P339" t="s">
        <v>168</v>
      </c>
      <c r="Q339" t="s">
        <v>168</v>
      </c>
      <c r="R339" t="s">
        <v>573</v>
      </c>
      <c r="S339" t="s">
        <v>667</v>
      </c>
    </row>
    <row r="340" spans="3:19" x14ac:dyDescent="0.25">
      <c r="C340" t="s">
        <v>957</v>
      </c>
      <c r="D340" t="s">
        <v>197</v>
      </c>
      <c r="E340" t="s">
        <v>0</v>
      </c>
      <c r="K340" t="s">
        <v>42</v>
      </c>
      <c r="L340" t="s">
        <v>958</v>
      </c>
      <c r="M340" t="s">
        <v>166</v>
      </c>
      <c r="N340" t="s">
        <v>959</v>
      </c>
      <c r="O340">
        <v>4</v>
      </c>
      <c r="P340" t="s">
        <v>168</v>
      </c>
      <c r="Q340" t="s">
        <v>168</v>
      </c>
      <c r="R340" t="s">
        <v>647</v>
      </c>
      <c r="S340" t="s">
        <v>667</v>
      </c>
    </row>
    <row r="341" spans="3:19" x14ac:dyDescent="0.25">
      <c r="C341" t="s">
        <v>960</v>
      </c>
      <c r="D341" t="s">
        <v>188</v>
      </c>
      <c r="E341" t="s">
        <v>0</v>
      </c>
      <c r="K341" t="s">
        <v>42</v>
      </c>
      <c r="L341" t="s">
        <v>961</v>
      </c>
      <c r="M341" t="s">
        <v>166</v>
      </c>
      <c r="N341" t="s">
        <v>962</v>
      </c>
      <c r="O341">
        <v>4</v>
      </c>
      <c r="P341" t="s">
        <v>168</v>
      </c>
      <c r="Q341" t="s">
        <v>168</v>
      </c>
      <c r="R341" t="s">
        <v>581</v>
      </c>
      <c r="S341" t="s">
        <v>667</v>
      </c>
    </row>
    <row r="342" spans="3:19" x14ac:dyDescent="0.25">
      <c r="C342" t="s">
        <v>963</v>
      </c>
      <c r="D342" t="s">
        <v>188</v>
      </c>
      <c r="E342" t="s">
        <v>0</v>
      </c>
      <c r="K342" t="s">
        <v>42</v>
      </c>
      <c r="L342" t="s">
        <v>964</v>
      </c>
      <c r="M342" t="s">
        <v>166</v>
      </c>
      <c r="N342" t="s">
        <v>965</v>
      </c>
      <c r="O342">
        <v>4</v>
      </c>
      <c r="P342" t="s">
        <v>168</v>
      </c>
      <c r="Q342" t="s">
        <v>168</v>
      </c>
      <c r="R342" t="s">
        <v>585</v>
      </c>
      <c r="S342" t="s">
        <v>667</v>
      </c>
    </row>
    <row r="343" spans="3:19" x14ac:dyDescent="0.25">
      <c r="C343" t="s">
        <v>966</v>
      </c>
      <c r="D343" t="s">
        <v>197</v>
      </c>
      <c r="E343" t="s">
        <v>164</v>
      </c>
      <c r="K343" t="s">
        <v>42</v>
      </c>
      <c r="L343" t="s">
        <v>967</v>
      </c>
      <c r="M343" t="s">
        <v>166</v>
      </c>
      <c r="N343" t="s">
        <v>968</v>
      </c>
      <c r="O343">
        <v>4</v>
      </c>
      <c r="P343" t="s">
        <v>168</v>
      </c>
      <c r="Q343" t="s">
        <v>168</v>
      </c>
      <c r="R343" t="s">
        <v>651</v>
      </c>
      <c r="S343" t="s">
        <v>671</v>
      </c>
    </row>
    <row r="344" spans="3:19" x14ac:dyDescent="0.25">
      <c r="C344" t="s">
        <v>969</v>
      </c>
      <c r="D344" t="s">
        <v>188</v>
      </c>
      <c r="E344" t="s">
        <v>164</v>
      </c>
      <c r="K344" t="s">
        <v>42</v>
      </c>
      <c r="L344" t="s">
        <v>970</v>
      </c>
      <c r="M344" t="s">
        <v>166</v>
      </c>
      <c r="N344" t="s">
        <v>971</v>
      </c>
      <c r="O344">
        <v>4</v>
      </c>
      <c r="P344" t="s">
        <v>168</v>
      </c>
      <c r="Q344" t="s">
        <v>168</v>
      </c>
      <c r="R344" t="s">
        <v>577</v>
      </c>
      <c r="S344" t="s">
        <v>671</v>
      </c>
    </row>
    <row r="345" spans="3:19" x14ac:dyDescent="0.25">
      <c r="C345" t="s">
        <v>972</v>
      </c>
      <c r="D345" t="s">
        <v>188</v>
      </c>
      <c r="E345" t="s">
        <v>164</v>
      </c>
      <c r="K345" t="s">
        <v>42</v>
      </c>
      <c r="L345" t="s">
        <v>973</v>
      </c>
      <c r="M345" t="s">
        <v>166</v>
      </c>
      <c r="N345" t="s">
        <v>974</v>
      </c>
      <c r="O345">
        <v>4</v>
      </c>
      <c r="P345" t="s">
        <v>168</v>
      </c>
      <c r="Q345" t="s">
        <v>168</v>
      </c>
      <c r="R345" t="s">
        <v>591</v>
      </c>
      <c r="S345" t="s">
        <v>671</v>
      </c>
    </row>
    <row r="346" spans="3:19" x14ac:dyDescent="0.25">
      <c r="C346" t="s">
        <v>975</v>
      </c>
      <c r="D346" t="s">
        <v>188</v>
      </c>
      <c r="E346" t="s">
        <v>164</v>
      </c>
      <c r="K346" t="s">
        <v>42</v>
      </c>
      <c r="L346" t="s">
        <v>976</v>
      </c>
      <c r="M346" t="s">
        <v>166</v>
      </c>
      <c r="N346" t="s">
        <v>977</v>
      </c>
      <c r="O346">
        <v>4</v>
      </c>
      <c r="P346" t="s">
        <v>168</v>
      </c>
      <c r="Q346" t="s">
        <v>168</v>
      </c>
      <c r="R346" t="s">
        <v>595</v>
      </c>
      <c r="S346" t="s">
        <v>671</v>
      </c>
    </row>
    <row r="347" spans="3:19" x14ac:dyDescent="0.25">
      <c r="C347" t="s">
        <v>960</v>
      </c>
      <c r="D347" t="s">
        <v>188</v>
      </c>
      <c r="E347" t="s">
        <v>164</v>
      </c>
      <c r="K347" t="s">
        <v>42</v>
      </c>
      <c r="L347" t="s">
        <v>978</v>
      </c>
      <c r="M347" t="s">
        <v>166</v>
      </c>
      <c r="N347" t="s">
        <v>979</v>
      </c>
      <c r="O347">
        <v>4</v>
      </c>
      <c r="P347" t="s">
        <v>168</v>
      </c>
      <c r="Q347" t="s">
        <v>168</v>
      </c>
      <c r="R347" t="s">
        <v>581</v>
      </c>
      <c r="S347" t="s">
        <v>671</v>
      </c>
    </row>
    <row r="348" spans="3:19" x14ac:dyDescent="0.25">
      <c r="C348" t="s">
        <v>980</v>
      </c>
      <c r="D348" t="s">
        <v>188</v>
      </c>
      <c r="E348" t="s">
        <v>164</v>
      </c>
      <c r="K348" t="s">
        <v>42</v>
      </c>
      <c r="L348" t="s">
        <v>981</v>
      </c>
      <c r="M348" t="s">
        <v>166</v>
      </c>
      <c r="N348" t="s">
        <v>982</v>
      </c>
      <c r="O348">
        <v>4</v>
      </c>
      <c r="P348" t="s">
        <v>168</v>
      </c>
      <c r="Q348" t="s">
        <v>168</v>
      </c>
      <c r="R348" t="s">
        <v>659</v>
      </c>
      <c r="S348" t="s">
        <v>671</v>
      </c>
    </row>
    <row r="349" spans="3:19" x14ac:dyDescent="0.25">
      <c r="C349" t="s">
        <v>983</v>
      </c>
      <c r="D349" t="s">
        <v>188</v>
      </c>
      <c r="E349" t="s">
        <v>164</v>
      </c>
      <c r="K349" t="s">
        <v>42</v>
      </c>
      <c r="L349" t="s">
        <v>984</v>
      </c>
      <c r="M349" t="s">
        <v>166</v>
      </c>
      <c r="N349" t="s">
        <v>985</v>
      </c>
      <c r="O349">
        <v>4</v>
      </c>
      <c r="P349" t="s">
        <v>168</v>
      </c>
      <c r="Q349" t="s">
        <v>168</v>
      </c>
      <c r="R349" t="s">
        <v>601</v>
      </c>
      <c r="S349" t="s">
        <v>671</v>
      </c>
    </row>
    <row r="350" spans="3:19" x14ac:dyDescent="0.25">
      <c r="C350" t="s">
        <v>963</v>
      </c>
      <c r="D350" t="s">
        <v>188</v>
      </c>
      <c r="E350" t="s">
        <v>164</v>
      </c>
      <c r="K350" t="s">
        <v>42</v>
      </c>
      <c r="L350" t="s">
        <v>986</v>
      </c>
      <c r="M350" t="s">
        <v>166</v>
      </c>
      <c r="N350" t="s">
        <v>987</v>
      </c>
      <c r="O350">
        <v>4</v>
      </c>
      <c r="P350" t="s">
        <v>168</v>
      </c>
      <c r="Q350" t="s">
        <v>168</v>
      </c>
      <c r="R350" t="s">
        <v>585</v>
      </c>
      <c r="S350" t="s">
        <v>671</v>
      </c>
    </row>
    <row r="351" spans="3:19" x14ac:dyDescent="0.25">
      <c r="C351" t="s">
        <v>988</v>
      </c>
      <c r="D351" t="s">
        <v>197</v>
      </c>
      <c r="E351" t="s">
        <v>164</v>
      </c>
      <c r="K351" t="s">
        <v>42</v>
      </c>
      <c r="L351" t="s">
        <v>989</v>
      </c>
      <c r="M351" t="s">
        <v>166</v>
      </c>
      <c r="N351" t="s">
        <v>990</v>
      </c>
      <c r="O351">
        <v>4</v>
      </c>
      <c r="P351" t="s">
        <v>168</v>
      </c>
      <c r="Q351" t="s">
        <v>168</v>
      </c>
      <c r="R351" t="s">
        <v>619</v>
      </c>
      <c r="S351" t="s">
        <v>671</v>
      </c>
    </row>
    <row r="352" spans="3:19" x14ac:dyDescent="0.25">
      <c r="C352" t="s">
        <v>988</v>
      </c>
      <c r="D352" t="s">
        <v>197</v>
      </c>
      <c r="E352" t="s">
        <v>0</v>
      </c>
      <c r="K352" t="s">
        <v>42</v>
      </c>
      <c r="L352" t="s">
        <v>991</v>
      </c>
      <c r="M352" t="s">
        <v>166</v>
      </c>
      <c r="N352" t="s">
        <v>992</v>
      </c>
      <c r="O352">
        <v>4</v>
      </c>
      <c r="P352" t="s">
        <v>168</v>
      </c>
      <c r="Q352" t="s">
        <v>168</v>
      </c>
      <c r="R352" t="s">
        <v>619</v>
      </c>
      <c r="S352" t="s">
        <v>667</v>
      </c>
    </row>
    <row r="353" spans="3:19" x14ac:dyDescent="0.25">
      <c r="C353" t="s">
        <v>993</v>
      </c>
      <c r="D353" t="s">
        <v>197</v>
      </c>
      <c r="E353" t="s">
        <v>0</v>
      </c>
      <c r="K353" t="s">
        <v>42</v>
      </c>
      <c r="L353" t="s">
        <v>994</v>
      </c>
      <c r="M353" t="s">
        <v>166</v>
      </c>
      <c r="N353" t="s">
        <v>995</v>
      </c>
      <c r="O353">
        <v>4</v>
      </c>
      <c r="P353" t="s">
        <v>168</v>
      </c>
      <c r="Q353" t="s">
        <v>168</v>
      </c>
      <c r="R353" t="s">
        <v>639</v>
      </c>
      <c r="S353" t="s">
        <v>667</v>
      </c>
    </row>
    <row r="354" spans="3:19" x14ac:dyDescent="0.25">
      <c r="C354" t="s">
        <v>996</v>
      </c>
      <c r="D354" t="s">
        <v>197</v>
      </c>
      <c r="E354" t="s">
        <v>0</v>
      </c>
      <c r="K354" t="s">
        <v>42</v>
      </c>
      <c r="L354" t="s">
        <v>997</v>
      </c>
      <c r="M354" t="s">
        <v>166</v>
      </c>
      <c r="N354" t="s">
        <v>998</v>
      </c>
      <c r="O354">
        <v>4</v>
      </c>
      <c r="P354" t="s">
        <v>168</v>
      </c>
      <c r="Q354" t="s">
        <v>168</v>
      </c>
      <c r="R354" t="s">
        <v>643</v>
      </c>
      <c r="S354" t="s">
        <v>667</v>
      </c>
    </row>
    <row r="355" spans="3:19" x14ac:dyDescent="0.25">
      <c r="C355" t="s">
        <v>999</v>
      </c>
      <c r="D355" t="s">
        <v>197</v>
      </c>
      <c r="E355" t="s">
        <v>0</v>
      </c>
      <c r="K355" t="s">
        <v>42</v>
      </c>
      <c r="L355" t="s">
        <v>1000</v>
      </c>
      <c r="M355" t="s">
        <v>166</v>
      </c>
      <c r="N355" t="s">
        <v>1001</v>
      </c>
      <c r="O355">
        <v>4</v>
      </c>
      <c r="P355" t="s">
        <v>168</v>
      </c>
      <c r="Q355" t="s">
        <v>168</v>
      </c>
      <c r="R355" t="s">
        <v>1002</v>
      </c>
      <c r="S355" t="s">
        <v>667</v>
      </c>
    </row>
    <row r="356" spans="3:19" x14ac:dyDescent="0.25">
      <c r="C356" t="s">
        <v>1003</v>
      </c>
      <c r="D356" t="s">
        <v>188</v>
      </c>
      <c r="E356" t="s">
        <v>0</v>
      </c>
      <c r="K356" t="s">
        <v>42</v>
      </c>
      <c r="L356" t="s">
        <v>1004</v>
      </c>
      <c r="M356" t="s">
        <v>166</v>
      </c>
      <c r="N356" t="s">
        <v>1005</v>
      </c>
      <c r="O356">
        <v>4</v>
      </c>
      <c r="P356" t="s">
        <v>168</v>
      </c>
      <c r="Q356" t="s">
        <v>168</v>
      </c>
      <c r="R356" t="s">
        <v>721</v>
      </c>
      <c r="S356" t="s">
        <v>667</v>
      </c>
    </row>
    <row r="357" spans="3:19" x14ac:dyDescent="0.25">
      <c r="C357" t="s">
        <v>993</v>
      </c>
      <c r="D357" t="s">
        <v>197</v>
      </c>
      <c r="E357" t="s">
        <v>164</v>
      </c>
      <c r="K357" t="s">
        <v>42</v>
      </c>
      <c r="L357" t="s">
        <v>1006</v>
      </c>
      <c r="M357" t="s">
        <v>166</v>
      </c>
      <c r="N357" t="s">
        <v>1007</v>
      </c>
      <c r="O357">
        <v>4</v>
      </c>
      <c r="P357" t="s">
        <v>168</v>
      </c>
      <c r="Q357" t="s">
        <v>168</v>
      </c>
      <c r="R357" t="s">
        <v>639</v>
      </c>
      <c r="S357" t="s">
        <v>671</v>
      </c>
    </row>
    <row r="358" spans="3:19" x14ac:dyDescent="0.25">
      <c r="C358" t="s">
        <v>1008</v>
      </c>
      <c r="D358" t="s">
        <v>188</v>
      </c>
      <c r="E358" t="s">
        <v>164</v>
      </c>
      <c r="K358" t="s">
        <v>42</v>
      </c>
      <c r="L358" t="s">
        <v>1009</v>
      </c>
      <c r="M358" t="s">
        <v>166</v>
      </c>
      <c r="N358" t="s">
        <v>1010</v>
      </c>
      <c r="O358">
        <v>4</v>
      </c>
      <c r="P358" t="s">
        <v>168</v>
      </c>
      <c r="Q358" t="s">
        <v>168</v>
      </c>
      <c r="R358" t="s">
        <v>663</v>
      </c>
      <c r="S358" t="s">
        <v>671</v>
      </c>
    </row>
    <row r="359" spans="3:19" x14ac:dyDescent="0.25">
      <c r="C359" t="s">
        <v>1003</v>
      </c>
      <c r="D359" t="s">
        <v>188</v>
      </c>
      <c r="E359" t="s">
        <v>164</v>
      </c>
      <c r="K359" t="s">
        <v>42</v>
      </c>
      <c r="L359" t="s">
        <v>1011</v>
      </c>
      <c r="M359" t="s">
        <v>166</v>
      </c>
      <c r="N359" t="s">
        <v>1012</v>
      </c>
      <c r="O359">
        <v>4</v>
      </c>
      <c r="P359" t="s">
        <v>168</v>
      </c>
      <c r="Q359" t="s">
        <v>168</v>
      </c>
      <c r="R359" t="s">
        <v>721</v>
      </c>
      <c r="S359" t="s">
        <v>671</v>
      </c>
    </row>
    <row r="360" spans="3:19" x14ac:dyDescent="0.25">
      <c r="C360" t="s">
        <v>1013</v>
      </c>
      <c r="D360" t="s">
        <v>197</v>
      </c>
      <c r="E360" t="s">
        <v>0</v>
      </c>
      <c r="K360" t="s">
        <v>42</v>
      </c>
      <c r="L360" t="s">
        <v>1014</v>
      </c>
      <c r="M360" t="s">
        <v>166</v>
      </c>
      <c r="N360" t="s">
        <v>1015</v>
      </c>
      <c r="O360">
        <v>4</v>
      </c>
      <c r="P360" t="s">
        <v>168</v>
      </c>
      <c r="Q360" t="s">
        <v>168</v>
      </c>
      <c r="R360" t="s">
        <v>1016</v>
      </c>
      <c r="S360" t="s">
        <v>1017</v>
      </c>
    </row>
    <row r="361" spans="3:19" x14ac:dyDescent="0.25">
      <c r="C361" t="s">
        <v>1013</v>
      </c>
      <c r="D361" t="s">
        <v>197</v>
      </c>
      <c r="E361" t="s">
        <v>164</v>
      </c>
      <c r="K361" t="s">
        <v>42</v>
      </c>
      <c r="L361" t="s">
        <v>1018</v>
      </c>
      <c r="M361" t="s">
        <v>166</v>
      </c>
      <c r="N361" t="s">
        <v>1019</v>
      </c>
      <c r="O361">
        <v>4</v>
      </c>
      <c r="P361" t="s">
        <v>168</v>
      </c>
      <c r="Q361" t="s">
        <v>168</v>
      </c>
      <c r="R361" t="s">
        <v>1016</v>
      </c>
      <c r="S361" t="s">
        <v>1020</v>
      </c>
    </row>
    <row r="362" spans="3:19" x14ac:dyDescent="0.25">
      <c r="C362" t="s">
        <v>672</v>
      </c>
      <c r="D362" t="s">
        <v>1021</v>
      </c>
      <c r="E362" t="s">
        <v>0</v>
      </c>
      <c r="K362" t="s">
        <v>42</v>
      </c>
      <c r="L362" t="s">
        <v>1022</v>
      </c>
      <c r="M362" t="s">
        <v>166</v>
      </c>
      <c r="N362" t="s">
        <v>1023</v>
      </c>
      <c r="O362">
        <v>4</v>
      </c>
      <c r="P362" t="s">
        <v>168</v>
      </c>
      <c r="Q362" t="s">
        <v>168</v>
      </c>
      <c r="R362" t="s">
        <v>1024</v>
      </c>
      <c r="S362" t="s">
        <v>667</v>
      </c>
    </row>
    <row r="363" spans="3:19" x14ac:dyDescent="0.25">
      <c r="C363" t="s">
        <v>187</v>
      </c>
      <c r="D363" t="s">
        <v>1021</v>
      </c>
      <c r="E363" t="s">
        <v>0</v>
      </c>
      <c r="K363" t="s">
        <v>42</v>
      </c>
      <c r="L363" t="s">
        <v>1025</v>
      </c>
      <c r="M363" t="s">
        <v>166</v>
      </c>
      <c r="N363" t="s">
        <v>1026</v>
      </c>
      <c r="O363">
        <v>4</v>
      </c>
      <c r="P363" t="s">
        <v>168</v>
      </c>
      <c r="Q363" t="s">
        <v>168</v>
      </c>
      <c r="R363" t="s">
        <v>1024</v>
      </c>
      <c r="S363" t="s">
        <v>195</v>
      </c>
    </row>
    <row r="364" spans="3:19" x14ac:dyDescent="0.25">
      <c r="C364" t="s">
        <v>668</v>
      </c>
      <c r="D364" t="s">
        <v>188</v>
      </c>
      <c r="E364" t="s">
        <v>0</v>
      </c>
      <c r="K364" t="s">
        <v>42</v>
      </c>
      <c r="L364" t="s">
        <v>1042</v>
      </c>
      <c r="M364" t="s">
        <v>166</v>
      </c>
      <c r="N364" t="s">
        <v>1027</v>
      </c>
      <c r="O364">
        <v>4</v>
      </c>
      <c r="P364" t="s">
        <v>168</v>
      </c>
      <c r="Q364" t="s">
        <v>168</v>
      </c>
      <c r="R364" t="s">
        <v>1028</v>
      </c>
      <c r="S364" t="s">
        <v>667</v>
      </c>
    </row>
    <row r="365" spans="3:19" x14ac:dyDescent="0.25">
      <c r="C365" t="s">
        <v>1029</v>
      </c>
      <c r="D365" t="s">
        <v>188</v>
      </c>
      <c r="E365" t="s">
        <v>0</v>
      </c>
      <c r="K365" t="s">
        <v>42</v>
      </c>
      <c r="L365" t="s">
        <v>1030</v>
      </c>
      <c r="M365" t="s">
        <v>166</v>
      </c>
      <c r="N365" t="s">
        <v>1031</v>
      </c>
      <c r="O365">
        <v>4</v>
      </c>
      <c r="P365" t="s">
        <v>168</v>
      </c>
      <c r="Q365" t="s">
        <v>168</v>
      </c>
      <c r="R365" t="s">
        <v>1032</v>
      </c>
      <c r="S365" t="s">
        <v>667</v>
      </c>
    </row>
    <row r="366" spans="3:19" x14ac:dyDescent="0.25">
      <c r="C366" t="s">
        <v>241</v>
      </c>
      <c r="D366" t="s">
        <v>188</v>
      </c>
      <c r="E366" t="s">
        <v>0</v>
      </c>
      <c r="K366" t="s">
        <v>42</v>
      </c>
      <c r="L366" t="s">
        <v>1033</v>
      </c>
      <c r="M366" t="s">
        <v>166</v>
      </c>
      <c r="N366" t="s">
        <v>1034</v>
      </c>
      <c r="O366">
        <v>4</v>
      </c>
      <c r="P366" t="s">
        <v>168</v>
      </c>
      <c r="Q366" t="s">
        <v>168</v>
      </c>
      <c r="R366" t="s">
        <v>1028</v>
      </c>
      <c r="S366" t="s">
        <v>195</v>
      </c>
    </row>
    <row r="367" spans="3:19" x14ac:dyDescent="0.25">
      <c r="C367" t="s">
        <v>1035</v>
      </c>
      <c r="D367" t="s">
        <v>188</v>
      </c>
      <c r="E367" t="s">
        <v>0</v>
      </c>
      <c r="K367" t="s">
        <v>42</v>
      </c>
      <c r="L367" t="s">
        <v>1036</v>
      </c>
      <c r="M367" t="s">
        <v>166</v>
      </c>
      <c r="N367" t="s">
        <v>1037</v>
      </c>
      <c r="O367">
        <v>4</v>
      </c>
      <c r="P367" t="s">
        <v>168</v>
      </c>
      <c r="Q367" t="s">
        <v>168</v>
      </c>
      <c r="R367" t="s">
        <v>1032</v>
      </c>
      <c r="S367" t="s">
        <v>195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2025-07-26T23:15:49Z</dcterms:modified>
</cp:coreProperties>
</file>