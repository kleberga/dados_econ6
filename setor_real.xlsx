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eber\Documents\"/>
    </mc:Choice>
  </mc:AlternateContent>
  <xr:revisionPtr revIDLastSave="0" documentId="13_ncr:1_{30939567-8928-4D77-A51D-799A1315B5FC}" xr6:coauthVersionLast="47" xr6:coauthVersionMax="47" xr10:uidLastSave="{00000000-0000-0000-0000-000000000000}"/>
  <bookViews>
    <workbookView xWindow="28680" yWindow="-120" windowWidth="29040" windowHeight="15840" xr2:uid="{791AB8D9-6D2F-4D8C-AB27-920963627214}"/>
  </bookViews>
  <sheets>
    <sheet name="Planilha1" sheetId="1" r:id="rId1"/>
  </sheets>
  <definedNames>
    <definedName name="_xlnm._FilterDatabase" localSheetId="0" hidden="1">Planilha1!$A$1:$S$2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46" i="1" l="1"/>
  <c r="N47" i="1"/>
  <c r="N48" i="1"/>
  <c r="N49" i="1"/>
  <c r="N50" i="1"/>
  <c r="N51" i="1"/>
  <c r="N52" i="1"/>
  <c r="N53" i="1"/>
  <c r="N54" i="1"/>
  <c r="N55" i="1"/>
  <c r="N56" i="1"/>
  <c r="N57" i="1"/>
  <c r="N58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2" i="1"/>
</calcChain>
</file>

<file path=xl/sharedStrings.xml><?xml version="1.0" encoding="utf-8"?>
<sst xmlns="http://schemas.openxmlformats.org/spreadsheetml/2006/main" count="1359" uniqueCount="340">
  <si>
    <t>N</t>
  </si>
  <si>
    <t>nula</t>
  </si>
  <si>
    <t>cod</t>
  </si>
  <si>
    <t>nome</t>
  </si>
  <si>
    <t>per</t>
  </si>
  <si>
    <t>inicio</t>
  </si>
  <si>
    <t>fim</t>
  </si>
  <si>
    <t>esp</t>
  </si>
  <si>
    <t>met</t>
  </si>
  <si>
    <t>nome_completo</t>
  </si>
  <si>
    <t>descricao</t>
  </si>
  <si>
    <t>formato</t>
  </si>
  <si>
    <t>fonte</t>
  </si>
  <si>
    <t>Banco Central do Brasil</t>
  </si>
  <si>
    <t>urlAPI</t>
  </si>
  <si>
    <t>idAssunto</t>
  </si>
  <si>
    <t>nivel_geog</t>
  </si>
  <si>
    <t>localidades</t>
  </si>
  <si>
    <t>categoria</t>
  </si>
  <si>
    <t>fonte_orig</t>
  </si>
  <si>
    <t>metrica</t>
  </si>
  <si>
    <t>M</t>
  </si>
  <si>
    <t>Unidades</t>
  </si>
  <si>
    <t>Indústria de transformação-CNI</t>
  </si>
  <si>
    <t>Índice</t>
  </si>
  <si>
    <t>CNI</t>
  </si>
  <si>
    <t>BCB-Depec</t>
  </si>
  <si>
    <t>Produção de aço bruto (1992=100)</t>
  </si>
  <si>
    <t>UCI – indústria de transformação</t>
  </si>
  <si>
    <t>Produção de aço bruto - Dessazonalizado</t>
  </si>
  <si>
    <t>Tráfego de veículos pesados nas estradas pedagiadas - ABCR - Dados dessazonalizados</t>
  </si>
  <si>
    <t>Utilização da capacidade instalada – indústria de transformação - Dados dessazonalizados</t>
  </si>
  <si>
    <t>Vendas industriais reais (2016=100) - CNI - Dados dessazonalizados</t>
  </si>
  <si>
    <t>%</t>
  </si>
  <si>
    <t>Geral (FGV)</t>
  </si>
  <si>
    <t>T</t>
  </si>
  <si>
    <t>2º Trim. 2025</t>
  </si>
  <si>
    <t>FGV</t>
  </si>
  <si>
    <t>Utilização da capacidade instalada - Bens de consumo</t>
  </si>
  <si>
    <t>4º Trim. 2015</t>
  </si>
  <si>
    <t>Utilização da capacidade instalada - Bens de capital</t>
  </si>
  <si>
    <t>Utilização da capacidade instalada - Material de construção</t>
  </si>
  <si>
    <t>Utilização da capacidade instalada - Bens de consumo intermediário</t>
  </si>
  <si>
    <t>Utilização da capacidade instalada - Minerais não-metálicos</t>
  </si>
  <si>
    <t>Utilização da capacidade instalada - Metalúrgica</t>
  </si>
  <si>
    <t>Utilização da capacidade instalada - Mecânica</t>
  </si>
  <si>
    <t>Utilização da capacidade instalada - Material elétrico e de comunicações</t>
  </si>
  <si>
    <t>Utilização da capacidade instalada - Material de transporte</t>
  </si>
  <si>
    <t>Utilização da capacidade instalada - Mobiliário</t>
  </si>
  <si>
    <t>Utilização da capacidade instalada - Papel e papelão</t>
  </si>
  <si>
    <t>Utilização da capacidade instalada - Química</t>
  </si>
  <si>
    <t>Utilização da capacidade instalada - Produtos farmacêuticos e veterinários</t>
  </si>
  <si>
    <t>Utilização da capacidade instalada - Matérias plásticas</t>
  </si>
  <si>
    <t>Utilização da capacidade instalada - Têxtil</t>
  </si>
  <si>
    <t>Utilização da capacidade instalada - Vestuário e calçados</t>
  </si>
  <si>
    <t>Utilização da capacidade instalada - Produtos alimentares</t>
  </si>
  <si>
    <t>UCI – indústria de transformação (FGV)</t>
  </si>
  <si>
    <t>Utilização da capacidade instalada – indústria de transformação (FGV) - Dados dessazonalizados</t>
  </si>
  <si>
    <t>Produção total de autoveículos</t>
  </si>
  <si>
    <t>Anfavea</t>
  </si>
  <si>
    <t>Produção de automóveis e comerciais leves</t>
  </si>
  <si>
    <t>Produção de caminhões</t>
  </si>
  <si>
    <t>Produção de ônibus</t>
  </si>
  <si>
    <t>Produção de motociclos</t>
  </si>
  <si>
    <t>Abraciclo</t>
  </si>
  <si>
    <t>Vendas de autoveículos (total)</t>
  </si>
  <si>
    <t>Vendas de autoveículos no mercado interno</t>
  </si>
  <si>
    <t>Vendas de autoveículos no mercado externo</t>
  </si>
  <si>
    <t>Vendas de veículos pelas concessionárias - Automóveis</t>
  </si>
  <si>
    <t>Fenabrave</t>
  </si>
  <si>
    <t>Vendas de veículos pelas concessionárias - Comerciais leves</t>
  </si>
  <si>
    <t>Vendas de veículos pelas concessionárias - Caminhões</t>
  </si>
  <si>
    <t>Vendas de veículos pelas concessionárias - Ônibus</t>
  </si>
  <si>
    <t>Vendas de veículos pelas concessionárias - Total</t>
  </si>
  <si>
    <t>Produção total de autoveículos - Dados dessazonalizados</t>
  </si>
  <si>
    <t>Vendas de autoveículos (total) - Dados dessazonalizados</t>
  </si>
  <si>
    <t>Vendas de autoveículos no mercado interno - Dados dessazonalizados</t>
  </si>
  <si>
    <t>Vendas de autoveículos no mercado externo - Dados dessazonalizados</t>
  </si>
  <si>
    <t>Indicadores industriais</t>
  </si>
  <si>
    <t>Brasil</t>
  </si>
  <si>
    <t>Vendas industriais reais</t>
  </si>
  <si>
    <t>Utilização da capacidade instalada: Parcela da capacidade de produção operacional da unidade local utilizada em condições normais de funcionamento no mês de referência.</t>
  </si>
  <si>
    <t>Utilização da capacidade instalada</t>
  </si>
  <si>
    <t>Produção, venda e emplacamento de veículos</t>
  </si>
  <si>
    <t>Indústria de transformação</t>
  </si>
  <si>
    <t>Produção de aço bruto</t>
  </si>
  <si>
    <t>Índice (1992 = 100)</t>
  </si>
  <si>
    <t>Total de autoveículos</t>
  </si>
  <si>
    <t>Percentual de utilização</t>
  </si>
  <si>
    <t>Índice dessazonalizado (1992 = 100)</t>
  </si>
  <si>
    <t>Produção de aço bruto - dessazonalizado (1992=100)</t>
  </si>
  <si>
    <t>O índice é calculado com base no fluxo total de veículos que passa pelas praças pedagiadas. O número índice foi construído com informações de fluxo pedagiado de 33 concessionárias e é composto atualmente pelas informações das praças de 51 concessionárias.</t>
  </si>
  <si>
    <t>Tráfego de veículos pesados nas estradas pedagiadas</t>
  </si>
  <si>
    <t>Produção</t>
  </si>
  <si>
    <t>Vendas</t>
  </si>
  <si>
    <t>Índice dessazonalizado</t>
  </si>
  <si>
    <t>Percentual de utilização - dessazonalizado</t>
  </si>
  <si>
    <t>Vendas industriais reais - dados dessazonalizados</t>
  </si>
  <si>
    <t>Indústria de transformação - Vendas industriais reais (1992=100) - Dados dessazonalizados. Faturamento líquido, exclusive IPI, referente a produtos industrializados pela unidade local. Estão incluídos os valores sem IPI relativos às saídas para o próprio estado, às saídas para outros estados e às saídas para o exterior, obtidos por meio da Guia de Informação e Apuração do ICMS. Parte da pesquisa Indicadores Industriais, realizada mensalmente e foi criada pela Confederação Nacional da Indústria para monitorar a atividade na indústria de transformação.</t>
  </si>
  <si>
    <t>Indústria de transformação - Vendas industriais reais (1992=100). Faturamento líquido, exclusive IPI, referente a produtos industrializados pela unidade local. Estão incluídos os valores sem IPI relativos às saídas para o próprio estado, às saídas para outros estados e às saídas para o exterior, obtidos por meio da Guia de Informação e Apuração do ICMS. Parte da pesquisa Indicadores Industriais, realizada mensalmente e foi criada pela Confederação Nacional da Indústria para monitorar a atividade na indústria de transformação.</t>
  </si>
  <si>
    <t>Indústria geral</t>
  </si>
  <si>
    <t>Bens de consumo</t>
  </si>
  <si>
    <t>Bens de capital</t>
  </si>
  <si>
    <t>Material de construção</t>
  </si>
  <si>
    <t>Bens de consumo intermediário</t>
  </si>
  <si>
    <t>Minerais não-metálicos</t>
  </si>
  <si>
    <t>Metalúrgica</t>
  </si>
  <si>
    <t>Mecânica</t>
  </si>
  <si>
    <t>Material elétrico e de comunicações</t>
  </si>
  <si>
    <t>Material de transporte</t>
  </si>
  <si>
    <t>Mobiliário</t>
  </si>
  <si>
    <t>Papel e papelão</t>
  </si>
  <si>
    <t>Química</t>
  </si>
  <si>
    <t>Produtos farmacêuticos e veterinários</t>
  </si>
  <si>
    <t>Matérias plásticas</t>
  </si>
  <si>
    <t>Têxtil</t>
  </si>
  <si>
    <t>Vestuário e calçados</t>
  </si>
  <si>
    <t>Produtos alimentares</t>
  </si>
  <si>
    <t xml:space="preserve">Utilização da capacidade instalada. </t>
  </si>
  <si>
    <t>Caminhões</t>
  </si>
  <si>
    <t>Ônibus</t>
  </si>
  <si>
    <t>Motociclos</t>
  </si>
  <si>
    <t>Automóveis e comerciais leves</t>
  </si>
  <si>
    <t>Autoveículos no mercado interno</t>
  </si>
  <si>
    <t>Autoveículos no mercado externo</t>
  </si>
  <si>
    <t>Autoveículos no mercado interno - Dados dessazonalizados</t>
  </si>
  <si>
    <t>Autoveículos no mercado externo - Dados dessazonalizados</t>
  </si>
  <si>
    <t>Vendas pelas concessionárias - Automóveis</t>
  </si>
  <si>
    <t>Vendas pelas concessionárias - Comerciais leves</t>
  </si>
  <si>
    <t>Vendas pelas concessionárias - Caminhões</t>
  </si>
  <si>
    <t>Vendas pelas concessionárias - Ônibus</t>
  </si>
  <si>
    <t>Vendas pelas concessionárias - Total</t>
  </si>
  <si>
    <t>Total de autoveículos - Dados dessazonalizados</t>
  </si>
  <si>
    <t>Óleo bruto</t>
  </si>
  <si>
    <t>Barris/dia (mil)</t>
  </si>
  <si>
    <t>ANP</t>
  </si>
  <si>
    <t>LGN</t>
  </si>
  <si>
    <t>Produção de derivados de petróleo - Total</t>
  </si>
  <si>
    <t>Gás natural</t>
  </si>
  <si>
    <t>Barris/dia (milhões)</t>
  </si>
  <si>
    <t>Consumo de derivados de petróleo - Gasolina</t>
  </si>
  <si>
    <t>GLP</t>
  </si>
  <si>
    <t>Óleo combustível</t>
  </si>
  <si>
    <t>Óleo diesel</t>
  </si>
  <si>
    <t>Demais derivados</t>
  </si>
  <si>
    <t>Total de derivados</t>
  </si>
  <si>
    <t>Álcool hidratado</t>
  </si>
  <si>
    <t>Álcool anidro</t>
  </si>
  <si>
    <t>Total de álcool carburante</t>
  </si>
  <si>
    <t>Produção e consumo de combustíveis</t>
  </si>
  <si>
    <t>Quantidade produzida de veículos automotores no País.</t>
  </si>
  <si>
    <t>Quantidade vendida de veículos automotores no País.</t>
  </si>
  <si>
    <t>Produção de óleo bruto.</t>
  </si>
  <si>
    <t>Produção de gás natural.</t>
  </si>
  <si>
    <t>Produção de Líquido de Gás Natural (LGN).</t>
  </si>
  <si>
    <t>Consumo</t>
  </si>
  <si>
    <t>Produção de derivados de petróleo - total.</t>
  </si>
  <si>
    <t>Consumo de derivados de petróleo - gasolina.</t>
  </si>
  <si>
    <t>Consumo de Gás Liquefeito de Petróleo (GLP)</t>
  </si>
  <si>
    <t>Consumo de óleo combustível.</t>
  </si>
  <si>
    <t>Consumo de óleo diesel.</t>
  </si>
  <si>
    <t>Consumo de demais derivados.</t>
  </si>
  <si>
    <t>Consumo de derivados de petróleo - total.</t>
  </si>
  <si>
    <t>Consumo de álcool hidratado.</t>
  </si>
  <si>
    <t>Consumo de álcool anidro.</t>
  </si>
  <si>
    <t>Consumo de álcool carburante - total.</t>
  </si>
  <si>
    <t>Papelão ondulado - expedição de caixas, acessórios e chapas - quantidade</t>
  </si>
  <si>
    <t>Tonelada</t>
  </si>
  <si>
    <t>O papelão ondulado é um material 100% produzido a partir de fontes de matérias-primas renováveis, o que lhe confere alta competitividade e a excelente relação custo x benefício. Por sua grande sustentabilidade, o papelão ondulado é o material mais utilizado para a fabricação de embalagens, sendo responsável pelo transporte e proteção de aproximadamente 75% dos produtos embalados no mundo todo. O papelão ondulado é fabricado em uma máquina denominada onduladeira, onde as ondas são fabricadas de acordo com o perfil do cilindro ondulador. Os dados aqui registrados são alimentados pelas empresas fabricantes de papelão, as quais são associadas da Associação Brasileira de Papelão Ondulado (ABPO).  Nota: Dados a partir de jan/2005 revisados pela fonte em 2011. Os dados anteriores aqui apresentados foram encadeados à série nova de modo a manter as variações mensais da série anteriormente disponível. Para isso, os valores de jan/1980 a dez/2004 da série antiga foram elevados em 24,95%.</t>
  </si>
  <si>
    <t>IPEADATA</t>
  </si>
  <si>
    <t>http://www.ipeadata.gov.br/api/odata4/ValoresSerie(SERCODIGO='ABPO12_PAPEL12')</t>
  </si>
  <si>
    <t>Produção- fertilizantes - quantidade</t>
  </si>
  <si>
    <t>Os dados referem-se à produção de fertilizantes intermediários, para os quais, são considerados do tipo simples os que são utilizados em misturas NPK (Nitrogênio, Fósforo e Potássio) ou em aplicação direta ao solo.</t>
  </si>
  <si>
    <t>http://www.ipeadata.gov.br/api/odata4/ValoresSerie(SERCODIGO='ANDA12_PFERTILIZ12')</t>
  </si>
  <si>
    <t>A</t>
  </si>
  <si>
    <t>http://www.ipeadata.gov.br/api/odata4/ValoresSerie(SERCODIGO='ANDA_PFERTILIZ')</t>
  </si>
  <si>
    <t>Indicadores Industriais - utilização da capacidade instalada - indústria - índice (média 2006 = 100)</t>
  </si>
  <si>
    <t>http://www.ipeadata.gov.br/api/odata4/ValoresSerie(SERCODIGO='CNI12_NUCAP12')</t>
  </si>
  <si>
    <t>Indicadores Industriais - utilização da capacidade instalada - indústria - índice dessazonalizado (média 2006 = 100)</t>
  </si>
  <si>
    <t>http://www.ipeadata.gov.br/api/odata4/ValoresSerie(SERCODIGO='CNI12_NUCAPD12')</t>
  </si>
  <si>
    <t>Sondagem Industrial - produção indústria geral -  estoques  - evolução - índice</t>
  </si>
  <si>
    <t>http://www.ipeadata.gov.br/api/odata4/ValoresSerie(SERCODIGO='CNI12_INDE12')</t>
  </si>
  <si>
    <t>Sondagem Industrial - produção industrial - indústria de transformação -  estoques  - evolução - índice</t>
  </si>
  <si>
    <t>http://www.ipeadata.gov.br/api/odata4/ValoresSerie(SERCODIGO='CNI12_INDTE12')</t>
  </si>
  <si>
    <t>Sondagem Industrial - produção industrial - indústria extrativa -  estoques  - evolução - índice</t>
  </si>
  <si>
    <t>http://www.ipeadata.gov.br/api/odata4/ValoresSerie(SERCODIGO='CNI12_INDEE12')</t>
  </si>
  <si>
    <t>Utilização da capacidade instalada - indústria - média</t>
  </si>
  <si>
    <t>http://www.ipeadata.gov.br/api/odata4/ValoresSerie(SERCODIGO='CE12_CUTIND12')</t>
  </si>
  <si>
    <t>Transformação Mineral  - ferro-gusa - produção</t>
  </si>
  <si>
    <t>http://www.ipeadata.gov.br/api/odata4/ValoresSerie(SERCODIGO='IBSIE12_QSCFG12')</t>
  </si>
  <si>
    <t>Transformação Mineral - aço bruto - produção</t>
  </si>
  <si>
    <t>http://www.ipeadata.gov.br/api/odata4/ValoresSerie(SERCODIGO='IBSIE12_QSCAB12')</t>
  </si>
  <si>
    <t>Transformação Mineral - laminados - produção</t>
  </si>
  <si>
    <t>http://www.ipeadata.gov.br/api/odata4/ValoresSerie(SERCODIGO='IBSIE12_QSCL12')</t>
  </si>
  <si>
    <t>Energia elétrica - geração - hidráulica - quantidade</t>
  </si>
  <si>
    <t>GWh</t>
  </si>
  <si>
    <t>A energia elétrica no Brasil é dada através de uma matriz que é composta por energias renováveis e não renováveis. As renováveis têm seus recursos encontrados na natureza e estes são inesgotáveis ao passo que as não renováveis são esgotáveis. Sendo assim a matriz energética brasileira é composta por hidráulica, eólica, solar e as térmicas que são: gás, carvão, petróleo, nuclear, biomassa e outros. A biomassa, das térmicas, é a única renovável. A Eletrobras tem como atribuição a promoção de estudos, projetos de construção e operação de usinas de geração, linhas de transmissão e distribuição de energia elétrica, bem como a celebração dos atos de comércio decorrentes dessas atividades, como a comercialização de energia elétrica. Geração de energia elétrica é a conversão de uma forma qualquer de energia em energia elétrica.Hidráulica é a instalação na qual a energia potencial e cinética da água é transformada em energia elétrica. Pode ser do tipo fio de água ou de regulação. É o aproveitamento de potencial hidráulico de potência instalada maior do que 30.000 kW. Nota: Quadro: Geração de energia. Nos.: Dados referentes ao sistema nacional integrado (SIN).</t>
  </si>
  <si>
    <t>http://www.ipeadata.gov.br/api/odata4/ValoresSerie(SERCODIGO='ONS12_HIDR12')</t>
  </si>
  <si>
    <t>Energia elétrica - geração - térmica convencional - quantidade</t>
  </si>
  <si>
    <t>A energia elétrica no Brasil é dada através de uma matriz que é composta por energias renováveis e não renováveis. As renováveis têm seus recursos encontrados na natureza e estes são inesgotáveis ao passo que as não renováveis são esgotáveis. Sendo assim a matriz energética brasileira é composta por hidráulica, eólica, solar e as térmicas que são: gás, carvão, petróleo, nuclear, biomassa e outros. A biomassa, das térmicas, é a única renovável. A Eletrobras tem como atribuição a promoção de estudos, projetos de construção e operação de usinas de geração, linhas de transmissão e distribuição de energia elétrica, bem como a celebração dos atos de comércio decorrentes dessas atividades, como a comercialização de energia elétrica.Geração de energia elétrica é a conversão de uma forma qualquer de energia em energia elétrica.Térmica Convencional é a instalação na qual a energia química, contida em combustíveis fósseis (sólidos, líquidos ou gasosos) é convertida em energia elétrica. Produz energia elétrica com geradores acoplados às máquinas térmicas (motores ou turbinas), as quais obtêm a energia mecânica para movimentá-los a partir da combustão de uma fonte de calor, que pode ser carvão mineral, óleo combustível, gás natural, resíduos industriais, biomassa e outros. Nota: Quadro: Geração de energia. Nos.: Dados referentes ao sistema nacional integrado (SIN).</t>
  </si>
  <si>
    <t>http://www.ipeadata.gov.br/api/odata4/ValoresSerie(SERCODIGO='ONS12_CONV12')</t>
  </si>
  <si>
    <t>Transporte aquaviário - cargas movimentadas - navegação de cabotagem - qde.</t>
  </si>
  <si>
    <t>http://www.ipeadata.gov.br/api/odata4/ValoresSerie(SERCODIGO='ANTAQ_CARGCABOT')</t>
  </si>
  <si>
    <t>Transporte aquaviário - cargas movimentadas - qde.</t>
  </si>
  <si>
    <t>http://www.ipeadata.gov.br/api/odata4/ValoresSerie(SERCODIGO='ANTAQ_CARG')</t>
  </si>
  <si>
    <t>Transporte rodoviário - frota nacional de automóveis - qde.</t>
  </si>
  <si>
    <t>Unidade</t>
  </si>
  <si>
    <t>Fontes: Para 1927-1985 Apud: Estatísticas históricas do Brasil: séries econômicas, demográficas e sociais de 1550 a 1988. 2. ed. rev. e atual. do v. 3 de Séries estatísticas retrospectivas.  Rio de Janeiro: IBGE, 1990. Para 1986-2000: Anuário Estatístico do Brasil. Rio de Janeiro: IBGE, vários anos. Para 2001-2013: Anuário Estatístico dos Transportes Terrestres. Brasília: ANTT, vários anos. A partir de 2014, Frota de Veículos, Ministério das Cidades - DENATRAN.</t>
  </si>
  <si>
    <t>http://www.ipeadata.gov.br/api/odata4/ValoresSerie(SERCODIGO='AETT_RODAUTOMOV')</t>
  </si>
  <si>
    <t>Transporte rodoviário - frota nacional de caminhões - qde.</t>
  </si>
  <si>
    <t>Fontes: Para 1927-1985 Apud: Estatísticas históricas do Brasil: séries econômicas, demográficas e sociais de 1550 a 1988. 2. ed. rev. e atual. do v. 3 de Séries estatísticas retrospectivas.  Rio de Janeiro: IBGE, 1990. Para 1986-2000: Anuário Estatístico do Brasil. Rio de Janeiro: IBGE, vários anos. A quantidade de caminhões no AETT é igual à soma de caminhões, caminhões-tratores, camionetas e caminhonetes. Para 2001-2013: Anuário Estatístico dos Transportes Terrestres. Brasília: ANTT, vários anos. A partir de 2014, Frota de Veículos, Ministério das Cidades - DENATRAN.</t>
  </si>
  <si>
    <t>http://www.ipeadata.gov.br/api/odata4/ValoresSerie(SERCODIGO='AETT_RODCAMINH')</t>
  </si>
  <si>
    <t>Transporte rodoviário - frota nacional de ônibus - qde.</t>
  </si>
  <si>
    <t>http://www.ipeadata.gov.br/api/odata4/ValoresSerie(SERCODIGO='AETT_RODONIBUS')</t>
  </si>
  <si>
    <t>Transporte rodoviário - frota nacional de veículos automotores - qde.</t>
  </si>
  <si>
    <t>http://www.ipeadata.gov.br/api/odata4/ValoresSerie(SERCODIGO='AETT_RODVEICAUT')</t>
  </si>
  <si>
    <t>Capital fixo – investimento bruto – total</t>
  </si>
  <si>
    <t>http://www.ipeadata.gov.br/api/odata4/ValoresSerie(SERCODIGO='DIMAC_CF_INVBR_TOT12')</t>
  </si>
  <si>
    <t>Capital fixo – investimento bruto – construção</t>
  </si>
  <si>
    <t>http://www.ipeadata.gov.br/api/odata4/ValoresSerie(SERCODIGO='DIMAC_CF_INVBR_CTR12')</t>
  </si>
  <si>
    <t>Capital fixo – investimento bruto – máquinas e equipamentos</t>
  </si>
  <si>
    <t>http://www.ipeadata.gov.br/api/odata4/ValoresSerie(SERCODIGO='DIMAC_CF_INVBR_MQEQ12')</t>
  </si>
  <si>
    <t>Capital fixo – investimento bruto – outros</t>
  </si>
  <si>
    <t>http://www.ipeadata.gov.br/api/odata4/ValoresSerie(SERCODIGO='DIMAC_CF_INVBR_OUT12')</t>
  </si>
  <si>
    <t>Capital fixo – investimento líquido – construção</t>
  </si>
  <si>
    <t>http://www.ipeadata.gov.br/api/odata4/ValoresSerie(SERCODIGO='DIMAC_CF_INVLQ_CTR12')</t>
  </si>
  <si>
    <t>Capital fixo – investimento líquido – máquinas e equipamentos</t>
  </si>
  <si>
    <t>http://www.ipeadata.gov.br/api/odata4/ValoresSerie(SERCODIGO='DIMAC_CF_INVLQ_MQEQ12')</t>
  </si>
  <si>
    <t>Capital fixo – investimento líquido – outros</t>
  </si>
  <si>
    <t>http://www.ipeadata.gov.br/api/odata4/ValoresSerie(SERCODIGO='DIMAC_CF_INVLQ_OUT12')</t>
  </si>
  <si>
    <t>http://www.ipeadata.gov.br/api/odata4/ValoresSerie(SERCODIGO='DIMAC_CF_INVBR_TOT')</t>
  </si>
  <si>
    <t>http://www.ipeadata.gov.br/api/odata4/ValoresSerie(SERCODIGO='DIMAC_CF_INVBR_CTR')</t>
  </si>
  <si>
    <t>http://www.ipeadata.gov.br/api/odata4/ValoresSerie(SERCODIGO='DIMAC_CF_INVBR_MQEQ')</t>
  </si>
  <si>
    <t>http://www.ipeadata.gov.br/api/odata4/ValoresSerie(SERCODIGO='DIMAC_CF_INVBR_OUT')</t>
  </si>
  <si>
    <t>http://www.ipeadata.gov.br/api/odata4/ValoresSerie(SERCODIGO='DIMAC_CF_INVLQ_OUT')</t>
  </si>
  <si>
    <t>Capital fixo – investimento líquido – total</t>
  </si>
  <si>
    <t>http://www.ipeadata.gov.br/api/odata4/ValoresSerie(SERCODIGO='DIMAC_CF_INVLQ_TOT12')</t>
  </si>
  <si>
    <t>http://www.ipeadata.gov.br/api/odata4/ValoresSerie(SERCODIGO='DIMAC_CF_INVLQ_TOT')</t>
  </si>
  <si>
    <t>http://www.ipeadata.gov.br/api/odata4/ValoresSerie(SERCODIGO='DIMAC_CF_INVLQ_CTR')</t>
  </si>
  <si>
    <t>http://www.ipeadata.gov.br/api/odata4/ValoresSerie(SERCODIGO='DIMAC_CF_INVLQ_MQEQ')</t>
  </si>
  <si>
    <t>Capital fixo – relação capital-produto</t>
  </si>
  <si>
    <t>http://www.ipeadata.gov.br/api/odata4/ValoresSerie(SERCODIGO='DIMAC_CF_RCP4')</t>
  </si>
  <si>
    <t>http://www.ipeadata.gov.br/api/odata4/ValoresSerie(SERCODIGO='DIMAC_CF_RCP')</t>
  </si>
  <si>
    <t>Capital fixo – estoque líquido de capital – construção</t>
  </si>
  <si>
    <t>http://www.ipeadata.gov.br/api/odata4/ValoresSerie(SERCODIGO='DIMAC_CF_ELC_CTR12')</t>
  </si>
  <si>
    <t>Capital fixo – estoque líquido de capital – máquinas e equipamentos</t>
  </si>
  <si>
    <t>http://www.ipeadata.gov.br/api/odata4/ValoresSerie(SERCODIGO='DIMAC_CF_ELC_MQEQ12')</t>
  </si>
  <si>
    <t>Capital fixo – estoque líquido de capital – outros</t>
  </si>
  <si>
    <t>http://www.ipeadata.gov.br/api/odata4/ValoresSerie(SERCODIGO='DIMAC_CF_ELC_OUT12')</t>
  </si>
  <si>
    <t>Capital fixo – depreciação – total</t>
  </si>
  <si>
    <t>http://www.ipeadata.gov.br/api/odata4/ValoresSerie(SERCODIGO='DIMAC_CF_DPR_TOT12')</t>
  </si>
  <si>
    <t>Capital fixo – depreciação – construção</t>
  </si>
  <si>
    <t>http://www.ipeadata.gov.br/api/odata4/ValoresSerie(SERCODIGO='DIMAC_CF_DPR_CTR12')</t>
  </si>
  <si>
    <t>Capital fixo – depreciação – máquinas e equipamentos</t>
  </si>
  <si>
    <t>http://www.ipeadata.gov.br/api/odata4/ValoresSerie(SERCODIGO='DIMAC_CF_DPR_MQEQ12')</t>
  </si>
  <si>
    <t>Capital fixo – depreciação – outros</t>
  </si>
  <si>
    <t>http://www.ipeadata.gov.br/api/odata4/ValoresSerie(SERCODIGO='DIMAC_CF_DPR_OUT12')</t>
  </si>
  <si>
    <t>http://www.ipeadata.gov.br/api/odata4/ValoresSerie(SERCODIGO='DIMAC_CF_ELC_OUT')</t>
  </si>
  <si>
    <t>http://www.ipeadata.gov.br/api/odata4/ValoresSerie(SERCODIGO='DIMAC_CF_DPR_CTR')</t>
  </si>
  <si>
    <t>http://www.ipeadata.gov.br/api/odata4/ValoresSerie(SERCODIGO='DIMAC_CF_DPR_MQEQ')</t>
  </si>
  <si>
    <t>http://www.ipeadata.gov.br/api/odata4/ValoresSerie(SERCODIGO='DIMAC_CF_DPR_OUT')</t>
  </si>
  <si>
    <t>Capital fixo – estoque líquido de capital – total</t>
  </si>
  <si>
    <t>http://www.ipeadata.gov.br/api/odata4/ValoresSerie(SERCODIGO='DIMAC_CF_ELC_TOT12')</t>
  </si>
  <si>
    <t>http://www.ipeadata.gov.br/api/odata4/ValoresSerie(SERCODIGO='DIMAC_CF_ELC_TOT')</t>
  </si>
  <si>
    <t>http://www.ipeadata.gov.br/api/odata4/ValoresSerie(SERCODIGO='DIMAC_CF_ELC_CTR')</t>
  </si>
  <si>
    <t>http://www.ipeadata.gov.br/api/odata4/ValoresSerie(SERCODIGO='DIMAC_CF_ELC_MQEQ')</t>
  </si>
  <si>
    <t>http://www.ipeadata.gov.br/api/odata4/ValoresSerie(SERCODIGO='DIMAC_CF_DPR_TOT')</t>
  </si>
  <si>
    <t>Produção e venda de fertilizantes</t>
  </si>
  <si>
    <t>Mensal</t>
  </si>
  <si>
    <t>Anual</t>
  </si>
  <si>
    <t>Papelão ondulado</t>
  </si>
  <si>
    <t>Expedição de caixas, acessórios e chapas</t>
  </si>
  <si>
    <t>Cargas movimentadas</t>
  </si>
  <si>
    <t>Frota nacional de automóveis</t>
  </si>
  <si>
    <t>Frota nacional de caminhões</t>
  </si>
  <si>
    <t>Frota nacional de ônibus</t>
  </si>
  <si>
    <t>Frota nacional de veículos automotores</t>
  </si>
  <si>
    <t>Índice (média 2006 = 100)</t>
  </si>
  <si>
    <t>Índice dessazonalizado (média 2006 = 100)</t>
  </si>
  <si>
    <t>O Nível de Utilização da Capacidade Instalada é compreendido majoritariamente pelas empresas industriais e calculado como o percentual de ocupação dos fatores capital e trabalho na produção industrial.Refere-se ao mês de realização da pesquisa. Nota: A partir de 2005 a pesquisa passa a ser divulgada mensalmente. Antes de 1998 os dados foram encadeados a partir da antiga pesquisa realizada trimestralmente nos meses de janeiro, abril, julho e outubro.</t>
  </si>
  <si>
    <t>A tranformação mineral compreende a conversão de minérios ferrosos e não-ferrosos em produtos metalúrgicos por meios térmicos, eletrometalúrgicos ou não (fornos, convertedores, etc.), e outras técnicas metalúrgicas de processamento para obtenção de produtos intermediários do processamento de minérios metálicos, tais como gusa, aço líquido, alumina calcinada ou não, mates metalúrgicos de cobre e níquel, etc., a produção de metais em formas primárias ou semi-acabados (lingotes, placas, tarugos, biletes, palanquilhas, etc.), a produção de laminados, relaminados, trefilados, retrefilados (chapas, bobinas, barras, perfis, trilhos, vergalhões, fio-máquina, etc.) e a produção de canos e tubos.O ferro gusa é uma liga de ferro produzida no alto forno, que contém um alto índice de carbono (mais que 1,5%).Trata-se da quantidade total produzida de ferro gusa pelas diferentes siderúrgicas do país.</t>
  </si>
  <si>
    <t>A tranformação mineral compreende a conversão de minérios ferrosos e não-ferrosos em produtos metalúrgicos por meios térmicos, eletrometalúrgicos ou não (fornos, convertedores, etc.), e outras técnicas metalúrgicas de processamento para obtenção de produtos intermediários do processamento de minérios metálicos, tais como gusa, aço líquido, alumina calcinada ou não, mates metalúrgicos de cobre e níquel, etc., a produção de metais em formas primárias ou semi-acabados (lingotes, placas, tarugos, biletes, palanquilhas, etc.), a produção de laminados, relaminados, trefilados, retrefilados (chapas, bobinas, barras, perfis, trilhos, vergalhões, fio-máquina, etc.) e a produção de canos e tubos. A produção do aço é um forte indicador do estágio de desenvolvimento econômico de um país. A grande variedade dos aços disponíveis no mercado deve-se ao fato de cada uma de suas aplicações demandar alterações na composição e forma. O aço bruto é um tipo de denominação utilizada para medir a produção de uma usina siderúrgica e que significa o aço fundido antes de ser trabalhado em produtos finais ou especiais. O aço bruto também pode ser em estado líquido. Trata-se da quantidade total produzida de aço bruto pelas diferentes siderúrgicas do país.</t>
  </si>
  <si>
    <t>A tranformação mineral compreende a conversão de minérios ferrosos e não-ferrosos em produtos metalúrgicos por meios térmicos, eletrometalúrgicos ou não (fornos, convertedores, etc.), e outras técnicas metalúrgicas de processamento para obtenção de produtos intermediários do processamento de minérios metálicos, tais como gusa, aço líquido, alumina calcinada ou não, mates metalúrgicos de cobre e níquel, etc., a produção de metais em formas primárias ou semi-acabados (lingotes, placas, tarugos, biletes, palanquilhas, etc.), a produção de laminados, relaminados, trefilados, retrefilados (chapas, bobinas, barras, perfis, trilhos, vergalhões, fio-máquina, etc.) e a produção de canos e tubos. Aço laminado a quente é o aço laminado em um laminador de tiras a quente, sem acabamento por usinagem ou deformação a frio.Trata-se da quantidade total produzida de aços laminados pelas diferentes siderúrgicas do país, compreende a produção de laminados planos e longos.</t>
  </si>
  <si>
    <t>Fontes anteriores: Para 1985-1991: Anuário Estatístico do Brasil. Rio de Janeiro: IBGE, vários anos. Para anos anteriores: Estatísticas do século XX, Centro de documentação e disseminação de informações. Rio de Janeiro: IBGE, 2003. As cargas movimentadas correspondem ao somatório do peso bruto da carga, nas operações de embarque e/ou desembarque, em toneladas, para as atracações com tipo de navegação definido como cabotagem. Obs.: Ano e mês referentes à data de desatracação da embarcação no berço da instalação portuária que declara os dados ao Sistema de Desempenho Portuário - SDP, da ANTAQ.</t>
  </si>
  <si>
    <t>Fontes anteriores: Para 1985-1991: Anuário Estatístico do Brasil. Rio de Janeiro: IBGE, vários anos. Para anos anteriores: Estatísticas do século XX, Centro de documentação e disseminação de informações. Rio de Janeiro: IBGE, 2003. As cargas movimentadas correspondem ao somatório do peso bruto da carga, nas operações de embarque e/ou desembarque, em toneladas. Obs.: Ano e mês referentes à data de desatracação da embarcação no berço da instalação portuária que declara os dados ao Sistema de Desempenho Portuário - SDP, da ANTAQ.</t>
  </si>
  <si>
    <t>Série calculada segundo a metodologia descrita nos textos para discussão disponíveis em "Texto para discussão 2580 - IPEA - Estoque de capital fixo no Brasil" (2020) e "Desagregação temporal da série de estoque de capital" (2020) e atualizada para R$ do ano mais recente pela variação do deflator da FBCF.</t>
  </si>
  <si>
    <t>Produção indústria geral -  estoques</t>
  </si>
  <si>
    <t>Geração</t>
  </si>
  <si>
    <t>Produção industrial - indústria de transformação -  estoques</t>
  </si>
  <si>
    <t>Produção industrial - indústria extrativa</t>
  </si>
  <si>
    <t>Sondagem Industrial</t>
  </si>
  <si>
    <t>Percentual de utilização - FGV</t>
  </si>
  <si>
    <t>Percentual de utilização - CNI</t>
  </si>
  <si>
    <t>Transformação Mineral</t>
  </si>
  <si>
    <t>Ferro-gusa - produção</t>
  </si>
  <si>
    <t>Aço bruto - produção</t>
  </si>
  <si>
    <t>Laminados - produção</t>
  </si>
  <si>
    <t>Energia elétrica</t>
  </si>
  <si>
    <t>Hidráulica</t>
  </si>
  <si>
    <t>Depreciação</t>
  </si>
  <si>
    <t>Térmica convencional</t>
  </si>
  <si>
    <t>Navegação de cabotagem</t>
  </si>
  <si>
    <t>Transporte</t>
  </si>
  <si>
    <t>Aquaviário</t>
  </si>
  <si>
    <t>Rodoviário</t>
  </si>
  <si>
    <t>Capital fixo</t>
  </si>
  <si>
    <t>Investimento bruto</t>
  </si>
  <si>
    <t>Investimento líquido</t>
  </si>
  <si>
    <t>Total - mensal</t>
  </si>
  <si>
    <t>Construção - mensal</t>
  </si>
  <si>
    <t>Máquinas e equipamentos - mensal</t>
  </si>
  <si>
    <t>Outros - mensal</t>
  </si>
  <si>
    <t>Total - anual</t>
  </si>
  <si>
    <t>Construção - anual</t>
  </si>
  <si>
    <t>Máquinas e equipamentos - anual</t>
  </si>
  <si>
    <t>Outros -anual</t>
  </si>
  <si>
    <t>Relação capital-produto</t>
  </si>
  <si>
    <t>Trimestral</t>
  </si>
  <si>
    <t>Estoque líquido de capital</t>
  </si>
  <si>
    <t xml:space="preserve">A Sondagem Industrial é uma sondagem de opinião empresarial realizada mensalmente e foi criada pela Confederação Nacional da Indústria para monitorar a evolução da atividade industrial, do sentimento do empresário e, conseqüentemente, da evolução futura da indústria. A Sondagem Industrial tem como objetivo identificar as situações passadas e tendências futuras da indústria brasileira, gerando indicadores que permitem o acompanhamento da evolução recente da indústria e do sentimento dos empresários industriais. São pesquisadas variáveis dos seguintes tipos: tendência passada, tendência futura, situação, satisfação e principais problemas. Essas variáveis procuram medir o desempenho da indústria e o sentimento do empresário com relação às condições atuais e a tendência futura de sua empresa. Adicionalmente às perguntas referentes à Sondagem Industrial, o questionário inclui seis perguntas utilizadas na construção do Índice de Confiança do Empresário Industrial – ICEI e um bloco de perguntas especiais sobre um tema específico que varia trimestralmente. Valores acima de 50 indicam otimismo e valores abaixo de 50 indicam pessimismo entre os empresários industriais. </t>
  </si>
  <si>
    <t>A Sondagem Industrial é uma sondagem de opinião empresarial realizada mensalmente e foi criada pela Confederação Nacional da Indústria para monitorar a evolução da atividade industrial, do sentimento do empresário e, conseqüentemente, da evolução futura da indústria. A Sondagem Industrial tem como objetivo identificar as situações passadas e tendências futuras da indústria brasileira, gerando indicadores que permitem o acompanhamento da evolução recente da indústria e do sentimento dos empresários industriais. São pesquisadas variáveis dos seguintes tipos: tendência passada, tendência futura, situação, satisfação e principais problemas. Essas variáveis procuram medir o desempenho da indústria e o sentimento do empresário com relação às condições atuais e a tendência futura de sua empresa. Adicionalmente às perguntas referentes à Sondagem Industrial, o questionário inclui seis perguntas utilizadas na construção do Índice de Confiança do Empresário Industrial – ICEI e um bloco de perguntas especiais sobre um tema específico que varia trimestralmente. Valores acima de 50 indicam otimismo e valores abaixo de 50 indicam pessimismo entre os empresários industriais.</t>
  </si>
  <si>
    <t>A pesquisa Indicadores Industriais tem o objetivo de mapear a evolução mensal da atividade industrial brasileira. A pesquisa Indicadores Industriais abrange 12 estados que respondem por 93,9% do PIB industrial do Brasil e por mais  de 90% do total das variáveis investigadas.</t>
  </si>
  <si>
    <t>R$ milhões do ano fechado mais recente</t>
  </si>
  <si>
    <t>Brasil - PIB - paridade do poder de compra (PPC)</t>
  </si>
  <si>
    <t>US$ de 2017</t>
  </si>
  <si>
    <t>http://www.ipeadata.gov.br/api/odata4/ValoresSerie(SERCODIGO='WDI_PIBPPCRBRA')</t>
  </si>
  <si>
    <t>US$</t>
  </si>
  <si>
    <t>http://www.ipeadata.gov.br/api/odata4/ValoresSerie(SERCODIGO='WDI_PIBPPCBRA')</t>
  </si>
  <si>
    <t>Brasil - PIB - paridade do poder de compra (PPC) - per capita</t>
  </si>
  <si>
    <t>http://www.ipeadata.gov.br/api/odata4/ValoresSerie(SERCODIGO='WDI_PIBPPCCAPRBRA')</t>
  </si>
  <si>
    <t>http://www.ipeadata.gov.br/api/odata4/ValoresSerie(SERCODIGO='WDI_PIBPPCCAPBRA')</t>
  </si>
  <si>
    <t>Produto Interno Bruto (PIB)</t>
  </si>
  <si>
    <t>O Produto Interno Bruto (PIB) no conceito da Paridade do Poder de Compra (PPC) é o PIB convertido para dólares internacionais usando as taxas de paridade de poder de compra. O PIB é a soma do valor bruto adicionado pelos produtores domésticos da economia, acrescido a qualquer imposto sobre o produto e deduzido qualquer subsídio não incluído no valor dos produtos. Este cálculo não deduz a depreciação dos ativos fabricados ou o esgotamento e degradação dos recursos naturais. Para  a maior parte dos países, a taxa da Paridade do Poder de Compra é extrapolada a partir das estimativas (pesquisa)  de mercado do Programa de Comparação Internacional (International Comparison Program - ICP) de 2017 ou os valores são inseridos usando modelo estatístico baseado neste Programa de Comparação Internacional. Nota: Um dólar internacional tem o mesmo poder de compra que o dólar americano nos EUA em cada ano. Os dados estão em dólares internacionais correntes de cada ano.</t>
  </si>
  <si>
    <t>Paridade do poder de compra (PPC)</t>
  </si>
  <si>
    <t>Total - US$ de 2017</t>
  </si>
  <si>
    <t>Total - US$</t>
  </si>
  <si>
    <t>Per capita - US$ de 2017</t>
  </si>
  <si>
    <t>Per capita - US$</t>
  </si>
  <si>
    <t>Tonelada mil</t>
  </si>
  <si>
    <t>Sem unidade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</si>
</sst>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000000"/>
      <name val="Verdana"/>
      <family val="2"/>
    </font>
    <font>
      <sz val="8"/>
      <color rgb="FF000000"/>
      <name val="Verdana"/>
      <family val="2"/>
    </font>
    <font>
      <sz val="10"/>
      <color rgb="FF0036D7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F2F4F6"/>
        <bgColor indexed="64"/>
      </patternFill>
    </fill>
    <fill>
      <patternFill patternType="solid">
        <fgColor rgb="FFE5E9ED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3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14" fontId="1" fillId="3" borderId="0" xfId="0" applyNumberFormat="1" applyFont="1" applyFill="1" applyAlignment="1">
      <alignment horizontal="center" vertical="center" wrapText="1"/>
    </xf>
    <xf numFmtId="17" fontId="1" fillId="3" borderId="0" xfId="0" applyNumberFormat="1" applyFont="1" applyFill="1" applyAlignment="1">
      <alignment horizontal="center" vertical="center" wrapText="1"/>
    </xf>
    <xf numFmtId="0" fontId="1" fillId="3" borderId="0" xfId="0" applyFont="1" applyFill="1" applyAlignment="1">
      <alignment vertical="center" wrapText="1"/>
    </xf>
    <xf numFmtId="0" fontId="3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horizontal="center" vertical="center" wrapText="1"/>
    </xf>
    <xf numFmtId="14" fontId="1" fillId="2" borderId="0" xfId="0" applyNumberFormat="1" applyFont="1" applyFill="1" applyAlignment="1">
      <alignment horizontal="center" vertical="center" wrapText="1"/>
    </xf>
    <xf numFmtId="17" fontId="1" fillId="2" borderId="0" xfId="0" applyNumberFormat="1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3" fillId="2" borderId="0" xfId="0" applyFont="1" applyFill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7" fontId="1" fillId="2" borderId="0" xfId="0" applyNumberFormat="1" applyFont="1" applyFill="1" applyAlignment="1">
      <alignment horizontal="center" vertical="center"/>
    </xf>
    <xf numFmtId="0" fontId="1" fillId="2" borderId="0" xfId="0" applyFont="1" applyFill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2" fillId="3" borderId="0" xfId="0" applyFont="1" applyFill="1" applyAlignment="1">
      <alignment horizontal="center" vertical="center"/>
    </xf>
    <xf numFmtId="14" fontId="1" fillId="3" borderId="0" xfId="0" applyNumberFormat="1" applyFont="1" applyFill="1" applyAlignment="1">
      <alignment horizontal="center" vertical="center"/>
    </xf>
    <xf numFmtId="17" fontId="1" fillId="3" borderId="0" xfId="0" applyNumberFormat="1" applyFont="1" applyFill="1" applyAlignment="1">
      <alignment horizontal="center" vertical="center"/>
    </xf>
    <xf numFmtId="0" fontId="1" fillId="3" borderId="0" xfId="0" applyFont="1" applyFill="1" applyAlignment="1">
      <alignment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38162E-A69F-41A1-A154-84AE35CF5DDF}">
  <sheetPr codeName="Planilha1"/>
  <dimension ref="A1:S116"/>
  <sheetViews>
    <sheetView tabSelected="1" workbookViewId="0">
      <pane xSplit="3" ySplit="1" topLeftCell="D101" activePane="bottomRight" state="frozen"/>
      <selection pane="topRight" activeCell="D1" sqref="D1"/>
      <selection pane="bottomLeft" activeCell="A2" sqref="A2"/>
      <selection pane="bottomRight" activeCell="D114" sqref="D114"/>
    </sheetView>
  </sheetViews>
  <sheetFormatPr defaultRowHeight="15" x14ac:dyDescent="0.25"/>
  <cols>
    <col min="2" max="2" width="11.28515625" bestFit="1" customWidth="1"/>
    <col min="3" max="3" width="74.28515625" customWidth="1"/>
    <col min="4" max="4" width="37.42578125" bestFit="1" customWidth="1"/>
    <col min="6" max="6" width="11.85546875" customWidth="1"/>
    <col min="7" max="7" width="14" customWidth="1"/>
    <col min="8" max="8" width="12" customWidth="1"/>
    <col min="9" max="10" width="9.140625" customWidth="1"/>
    <col min="11" max="11" width="60.140625" customWidth="1"/>
    <col min="12" max="12" width="84.28515625" customWidth="1"/>
    <col min="13" max="13" width="21.5703125" customWidth="1"/>
    <col min="14" max="14" width="67.42578125" customWidth="1"/>
    <col min="15" max="15" width="9.85546875" customWidth="1"/>
    <col min="16" max="16" width="20.85546875" customWidth="1"/>
    <col min="17" max="17" width="20.5703125" customWidth="1"/>
    <col min="18" max="18" width="55" bestFit="1" customWidth="1"/>
    <col min="19" max="19" width="69.140625" customWidth="1"/>
  </cols>
  <sheetData>
    <row r="1" spans="1:19" x14ac:dyDescent="0.25">
      <c r="A1" s="30" t="s">
        <v>1</v>
      </c>
      <c r="B1" s="31" t="s">
        <v>2</v>
      </c>
      <c r="C1" s="31" t="s">
        <v>9</v>
      </c>
      <c r="D1" s="31" t="s">
        <v>11</v>
      </c>
      <c r="E1" s="31" t="s">
        <v>4</v>
      </c>
      <c r="F1" s="31" t="s">
        <v>5</v>
      </c>
      <c r="G1" s="31" t="s">
        <v>6</v>
      </c>
      <c r="H1" s="31" t="s">
        <v>19</v>
      </c>
      <c r="I1" s="31" t="s">
        <v>7</v>
      </c>
      <c r="J1" s="31" t="s">
        <v>8</v>
      </c>
      <c r="K1" t="s">
        <v>3</v>
      </c>
      <c r="L1" t="s">
        <v>10</v>
      </c>
      <c r="M1" t="s">
        <v>12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20</v>
      </c>
    </row>
    <row r="2" spans="1:19" x14ac:dyDescent="0.25">
      <c r="A2" s="16"/>
      <c r="B2" s="16">
        <v>1338</v>
      </c>
      <c r="C2" s="17" t="s">
        <v>23</v>
      </c>
      <c r="D2" s="16" t="s">
        <v>24</v>
      </c>
      <c r="E2" s="18" t="s">
        <v>21</v>
      </c>
      <c r="F2" s="19">
        <v>33603</v>
      </c>
      <c r="G2" s="20">
        <v>45778</v>
      </c>
      <c r="H2" s="21" t="s">
        <v>25</v>
      </c>
      <c r="I2" s="16" t="s">
        <v>0</v>
      </c>
      <c r="J2" s="22"/>
      <c r="K2" s="15" t="s">
        <v>78</v>
      </c>
      <c r="L2" t="s">
        <v>99</v>
      </c>
      <c r="M2" t="s">
        <v>13</v>
      </c>
      <c r="N2" t="str">
        <f>_xlfn.CONCAT("https://api.bcb.gov.br/dados/serie/bcdata.sgs.",B2,"/dados?formato=json")</f>
        <v>https://api.bcb.gov.br/dados/serie/bcdata.sgs.1338/dados?formato=json</v>
      </c>
      <c r="O2">
        <v>2</v>
      </c>
      <c r="P2" t="s">
        <v>79</v>
      </c>
      <c r="Q2" t="s">
        <v>79</v>
      </c>
      <c r="R2" t="s">
        <v>80</v>
      </c>
      <c r="S2" t="s">
        <v>84</v>
      </c>
    </row>
    <row r="3" spans="1:19" x14ac:dyDescent="0.25">
      <c r="A3" s="16"/>
      <c r="B3" s="16">
        <v>7357</v>
      </c>
      <c r="C3" s="17" t="s">
        <v>27</v>
      </c>
      <c r="D3" s="16" t="s">
        <v>24</v>
      </c>
      <c r="E3" s="18" t="s">
        <v>21</v>
      </c>
      <c r="F3" s="19">
        <v>31443</v>
      </c>
      <c r="G3" s="20">
        <v>45809</v>
      </c>
      <c r="H3" s="21" t="s">
        <v>26</v>
      </c>
      <c r="I3" s="16" t="s">
        <v>0</v>
      </c>
      <c r="J3" s="22"/>
      <c r="K3" s="15" t="s">
        <v>78</v>
      </c>
      <c r="L3" t="s">
        <v>27</v>
      </c>
      <c r="M3" t="s">
        <v>13</v>
      </c>
      <c r="N3" t="str">
        <f t="shared" ref="N3:N45" si="0">_xlfn.CONCAT("https://api.bcb.gov.br/dados/serie/bcdata.sgs.",B3,"/dados?formato=json")</f>
        <v>https://api.bcb.gov.br/dados/serie/bcdata.sgs.7357/dados?formato=json</v>
      </c>
      <c r="O3">
        <v>2</v>
      </c>
      <c r="P3" t="s">
        <v>79</v>
      </c>
      <c r="Q3" t="s">
        <v>79</v>
      </c>
      <c r="R3" t="s">
        <v>86</v>
      </c>
      <c r="S3" t="s">
        <v>85</v>
      </c>
    </row>
    <row r="4" spans="1:19" x14ac:dyDescent="0.25">
      <c r="A4" s="23"/>
      <c r="B4" s="23">
        <v>24351</v>
      </c>
      <c r="C4" s="24" t="s">
        <v>28</v>
      </c>
      <c r="D4" s="23" t="s">
        <v>33</v>
      </c>
      <c r="E4" s="25" t="s">
        <v>21</v>
      </c>
      <c r="F4" s="26">
        <v>37622</v>
      </c>
      <c r="G4" s="27">
        <v>45778</v>
      </c>
      <c r="H4" s="28" t="s">
        <v>25</v>
      </c>
      <c r="I4" s="23" t="s">
        <v>0</v>
      </c>
      <c r="J4" s="29"/>
      <c r="K4" s="15" t="s">
        <v>82</v>
      </c>
      <c r="L4" t="s">
        <v>81</v>
      </c>
      <c r="M4" t="s">
        <v>13</v>
      </c>
      <c r="N4" t="str">
        <f t="shared" si="0"/>
        <v>https://api.bcb.gov.br/dados/serie/bcdata.sgs.24351/dados?formato=json</v>
      </c>
      <c r="O4">
        <v>2</v>
      </c>
      <c r="P4" t="s">
        <v>79</v>
      </c>
      <c r="Q4" t="s">
        <v>79</v>
      </c>
      <c r="R4" t="s">
        <v>88</v>
      </c>
      <c r="S4" t="s">
        <v>84</v>
      </c>
    </row>
    <row r="5" spans="1:19" x14ac:dyDescent="0.25">
      <c r="A5" s="16"/>
      <c r="B5" s="16">
        <v>28546</v>
      </c>
      <c r="C5" s="17" t="s">
        <v>29</v>
      </c>
      <c r="D5" s="16" t="s">
        <v>24</v>
      </c>
      <c r="E5" s="18" t="s">
        <v>21</v>
      </c>
      <c r="F5" s="19">
        <v>33269</v>
      </c>
      <c r="G5" s="20">
        <v>45809</v>
      </c>
      <c r="H5" s="21" t="s">
        <v>26</v>
      </c>
      <c r="I5" s="16" t="s">
        <v>0</v>
      </c>
      <c r="J5" s="22"/>
      <c r="K5" s="15" t="s">
        <v>78</v>
      </c>
      <c r="L5" t="s">
        <v>90</v>
      </c>
      <c r="M5" t="s">
        <v>13</v>
      </c>
      <c r="N5" t="str">
        <f t="shared" si="0"/>
        <v>https://api.bcb.gov.br/dados/serie/bcdata.sgs.28546/dados?formato=json</v>
      </c>
      <c r="O5">
        <v>2</v>
      </c>
      <c r="P5" t="s">
        <v>79</v>
      </c>
      <c r="Q5" t="s">
        <v>79</v>
      </c>
      <c r="R5" t="s">
        <v>89</v>
      </c>
      <c r="S5" t="s">
        <v>85</v>
      </c>
    </row>
    <row r="6" spans="1:19" x14ac:dyDescent="0.25">
      <c r="A6" s="23"/>
      <c r="B6" s="23">
        <v>28553</v>
      </c>
      <c r="C6" s="24" t="s">
        <v>30</v>
      </c>
      <c r="D6" s="23" t="s">
        <v>24</v>
      </c>
      <c r="E6" s="25" t="s">
        <v>21</v>
      </c>
      <c r="F6" s="26">
        <v>36191</v>
      </c>
      <c r="G6" s="27">
        <v>45809</v>
      </c>
      <c r="H6" s="28" t="s">
        <v>26</v>
      </c>
      <c r="I6" s="23" t="s">
        <v>0</v>
      </c>
      <c r="J6" s="29"/>
      <c r="K6" s="15" t="s">
        <v>78</v>
      </c>
      <c r="L6" t="s">
        <v>91</v>
      </c>
      <c r="M6" t="s">
        <v>13</v>
      </c>
      <c r="N6" t="str">
        <f t="shared" si="0"/>
        <v>https://api.bcb.gov.br/dados/serie/bcdata.sgs.28553/dados?formato=json</v>
      </c>
      <c r="O6">
        <v>2</v>
      </c>
      <c r="P6" t="s">
        <v>79</v>
      </c>
      <c r="Q6" t="s">
        <v>79</v>
      </c>
      <c r="R6" t="s">
        <v>95</v>
      </c>
      <c r="S6" t="s">
        <v>92</v>
      </c>
    </row>
    <row r="7" spans="1:19" x14ac:dyDescent="0.25">
      <c r="A7" s="16"/>
      <c r="B7" s="16">
        <v>28554</v>
      </c>
      <c r="C7" s="17" t="s">
        <v>31</v>
      </c>
      <c r="D7" s="16" t="s">
        <v>24</v>
      </c>
      <c r="E7" s="18" t="s">
        <v>21</v>
      </c>
      <c r="F7" s="19">
        <v>37622</v>
      </c>
      <c r="G7" s="20">
        <v>45778</v>
      </c>
      <c r="H7" s="21" t="s">
        <v>25</v>
      </c>
      <c r="I7" s="16" t="s">
        <v>0</v>
      </c>
      <c r="J7" s="22"/>
      <c r="K7" s="15" t="s">
        <v>82</v>
      </c>
      <c r="L7" t="s">
        <v>81</v>
      </c>
      <c r="M7" t="s">
        <v>13</v>
      </c>
      <c r="N7" t="str">
        <f t="shared" si="0"/>
        <v>https://api.bcb.gov.br/dados/serie/bcdata.sgs.28554/dados?formato=json</v>
      </c>
      <c r="O7">
        <v>2</v>
      </c>
      <c r="P7" t="s">
        <v>79</v>
      </c>
      <c r="Q7" t="s">
        <v>79</v>
      </c>
      <c r="R7" t="s">
        <v>96</v>
      </c>
      <c r="S7" t="s">
        <v>84</v>
      </c>
    </row>
    <row r="8" spans="1:19" x14ac:dyDescent="0.25">
      <c r="A8" s="23"/>
      <c r="B8" s="23">
        <v>28555</v>
      </c>
      <c r="C8" s="24" t="s">
        <v>32</v>
      </c>
      <c r="D8" s="23" t="s">
        <v>24</v>
      </c>
      <c r="E8" s="25" t="s">
        <v>21</v>
      </c>
      <c r="F8" s="26">
        <v>37652</v>
      </c>
      <c r="G8" s="27">
        <v>45778</v>
      </c>
      <c r="H8" s="28" t="s">
        <v>25</v>
      </c>
      <c r="I8" s="23" t="s">
        <v>0</v>
      </c>
      <c r="J8" s="29"/>
      <c r="K8" s="15" t="s">
        <v>78</v>
      </c>
      <c r="L8" t="s">
        <v>98</v>
      </c>
      <c r="M8" t="s">
        <v>13</v>
      </c>
      <c r="N8" t="str">
        <f t="shared" si="0"/>
        <v>https://api.bcb.gov.br/dados/serie/bcdata.sgs.28555/dados?formato=json</v>
      </c>
      <c r="O8">
        <v>2</v>
      </c>
      <c r="P8" t="s">
        <v>79</v>
      </c>
      <c r="Q8" t="s">
        <v>79</v>
      </c>
      <c r="R8" t="s">
        <v>97</v>
      </c>
      <c r="S8" t="s">
        <v>84</v>
      </c>
    </row>
    <row r="9" spans="1:19" x14ac:dyDescent="0.25">
      <c r="A9" s="16"/>
      <c r="B9" s="16">
        <v>1344</v>
      </c>
      <c r="C9" s="17" t="s">
        <v>34</v>
      </c>
      <c r="D9" s="16" t="s">
        <v>33</v>
      </c>
      <c r="E9" s="18" t="s">
        <v>35</v>
      </c>
      <c r="F9" s="19">
        <v>25688</v>
      </c>
      <c r="G9" s="16" t="s">
        <v>36</v>
      </c>
      <c r="H9" s="21" t="s">
        <v>37</v>
      </c>
      <c r="I9" s="16" t="s">
        <v>0</v>
      </c>
      <c r="J9" s="22"/>
      <c r="K9" s="15" t="s">
        <v>82</v>
      </c>
      <c r="L9" t="s">
        <v>118</v>
      </c>
      <c r="M9" t="s">
        <v>13</v>
      </c>
      <c r="N9" t="str">
        <f t="shared" si="0"/>
        <v>https://api.bcb.gov.br/dados/serie/bcdata.sgs.1344/dados?formato=json</v>
      </c>
      <c r="O9">
        <v>2</v>
      </c>
      <c r="P9" t="s">
        <v>79</v>
      </c>
      <c r="Q9" t="s">
        <v>79</v>
      </c>
      <c r="R9" t="s">
        <v>291</v>
      </c>
      <c r="S9" t="s">
        <v>100</v>
      </c>
    </row>
    <row r="10" spans="1:19" x14ac:dyDescent="0.25">
      <c r="A10" s="23"/>
      <c r="B10" s="23">
        <v>1345</v>
      </c>
      <c r="C10" s="24" t="s">
        <v>38</v>
      </c>
      <c r="D10" s="23" t="s">
        <v>33</v>
      </c>
      <c r="E10" s="25" t="s">
        <v>35</v>
      </c>
      <c r="F10" s="26">
        <v>25688</v>
      </c>
      <c r="G10" s="23" t="s">
        <v>39</v>
      </c>
      <c r="H10" s="28" t="s">
        <v>37</v>
      </c>
      <c r="I10" s="23" t="s">
        <v>0</v>
      </c>
      <c r="J10" s="29"/>
      <c r="K10" s="15" t="s">
        <v>82</v>
      </c>
      <c r="L10" t="s">
        <v>118</v>
      </c>
      <c r="M10" t="s">
        <v>13</v>
      </c>
      <c r="N10" t="str">
        <f t="shared" si="0"/>
        <v>https://api.bcb.gov.br/dados/serie/bcdata.sgs.1345/dados?formato=json</v>
      </c>
      <c r="O10">
        <v>2</v>
      </c>
      <c r="P10" t="s">
        <v>79</v>
      </c>
      <c r="Q10" t="s">
        <v>79</v>
      </c>
      <c r="R10" t="s">
        <v>88</v>
      </c>
      <c r="S10" t="s">
        <v>101</v>
      </c>
    </row>
    <row r="11" spans="1:19" x14ac:dyDescent="0.25">
      <c r="A11" s="16"/>
      <c r="B11" s="16">
        <v>1346</v>
      </c>
      <c r="C11" s="17" t="s">
        <v>40</v>
      </c>
      <c r="D11" s="16" t="s">
        <v>33</v>
      </c>
      <c r="E11" s="18" t="s">
        <v>35</v>
      </c>
      <c r="F11" s="19">
        <v>25688</v>
      </c>
      <c r="G11" s="16" t="s">
        <v>39</v>
      </c>
      <c r="H11" s="21" t="s">
        <v>37</v>
      </c>
      <c r="I11" s="16" t="s">
        <v>0</v>
      </c>
      <c r="J11" s="22"/>
      <c r="K11" s="15" t="s">
        <v>82</v>
      </c>
      <c r="L11" t="s">
        <v>118</v>
      </c>
      <c r="M11" t="s">
        <v>13</v>
      </c>
      <c r="N11" t="str">
        <f t="shared" si="0"/>
        <v>https://api.bcb.gov.br/dados/serie/bcdata.sgs.1346/dados?formato=json</v>
      </c>
      <c r="O11">
        <v>2</v>
      </c>
      <c r="P11" t="s">
        <v>79</v>
      </c>
      <c r="Q11" t="s">
        <v>79</v>
      </c>
      <c r="R11" t="s">
        <v>88</v>
      </c>
      <c r="S11" t="s">
        <v>102</v>
      </c>
    </row>
    <row r="12" spans="1:19" x14ac:dyDescent="0.25">
      <c r="A12" s="23"/>
      <c r="B12" s="23">
        <v>1347</v>
      </c>
      <c r="C12" s="24" t="s">
        <v>41</v>
      </c>
      <c r="D12" s="23" t="s">
        <v>33</v>
      </c>
      <c r="E12" s="25" t="s">
        <v>35</v>
      </c>
      <c r="F12" s="26">
        <v>25688</v>
      </c>
      <c r="G12" s="23" t="s">
        <v>39</v>
      </c>
      <c r="H12" s="28" t="s">
        <v>37</v>
      </c>
      <c r="I12" s="23" t="s">
        <v>0</v>
      </c>
      <c r="J12" s="29"/>
      <c r="K12" s="15" t="s">
        <v>82</v>
      </c>
      <c r="L12" t="s">
        <v>118</v>
      </c>
      <c r="M12" t="s">
        <v>13</v>
      </c>
      <c r="N12" t="str">
        <f t="shared" si="0"/>
        <v>https://api.bcb.gov.br/dados/serie/bcdata.sgs.1347/dados?formato=json</v>
      </c>
      <c r="O12">
        <v>2</v>
      </c>
      <c r="P12" t="s">
        <v>79</v>
      </c>
      <c r="Q12" t="s">
        <v>79</v>
      </c>
      <c r="R12" t="s">
        <v>88</v>
      </c>
      <c r="S12" t="s">
        <v>103</v>
      </c>
    </row>
    <row r="13" spans="1:19" x14ac:dyDescent="0.25">
      <c r="A13" s="16"/>
      <c r="B13" s="16">
        <v>1348</v>
      </c>
      <c r="C13" s="17" t="s">
        <v>42</v>
      </c>
      <c r="D13" s="16" t="s">
        <v>33</v>
      </c>
      <c r="E13" s="18" t="s">
        <v>35</v>
      </c>
      <c r="F13" s="19">
        <v>25688</v>
      </c>
      <c r="G13" s="16" t="s">
        <v>39</v>
      </c>
      <c r="H13" s="21" t="s">
        <v>37</v>
      </c>
      <c r="I13" s="16" t="s">
        <v>0</v>
      </c>
      <c r="J13" s="22"/>
      <c r="K13" s="15" t="s">
        <v>82</v>
      </c>
      <c r="L13" t="s">
        <v>118</v>
      </c>
      <c r="M13" t="s">
        <v>13</v>
      </c>
      <c r="N13" t="str">
        <f t="shared" si="0"/>
        <v>https://api.bcb.gov.br/dados/serie/bcdata.sgs.1348/dados?formato=json</v>
      </c>
      <c r="O13">
        <v>2</v>
      </c>
      <c r="P13" t="s">
        <v>79</v>
      </c>
      <c r="Q13" t="s">
        <v>79</v>
      </c>
      <c r="R13" t="s">
        <v>88</v>
      </c>
      <c r="S13" t="s">
        <v>104</v>
      </c>
    </row>
    <row r="14" spans="1:19" x14ac:dyDescent="0.25">
      <c r="A14" s="23"/>
      <c r="B14" s="23">
        <v>1349</v>
      </c>
      <c r="C14" s="24" t="s">
        <v>43</v>
      </c>
      <c r="D14" s="23" t="s">
        <v>33</v>
      </c>
      <c r="E14" s="25" t="s">
        <v>35</v>
      </c>
      <c r="F14" s="26">
        <v>25688</v>
      </c>
      <c r="G14" s="23" t="s">
        <v>39</v>
      </c>
      <c r="H14" s="28" t="s">
        <v>37</v>
      </c>
      <c r="I14" s="23" t="s">
        <v>0</v>
      </c>
      <c r="J14" s="29"/>
      <c r="K14" s="15" t="s">
        <v>82</v>
      </c>
      <c r="L14" t="s">
        <v>118</v>
      </c>
      <c r="M14" t="s">
        <v>13</v>
      </c>
      <c r="N14" t="str">
        <f t="shared" si="0"/>
        <v>https://api.bcb.gov.br/dados/serie/bcdata.sgs.1349/dados?formato=json</v>
      </c>
      <c r="O14">
        <v>2</v>
      </c>
      <c r="P14" t="s">
        <v>79</v>
      </c>
      <c r="Q14" t="s">
        <v>79</v>
      </c>
      <c r="R14" t="s">
        <v>88</v>
      </c>
      <c r="S14" t="s">
        <v>105</v>
      </c>
    </row>
    <row r="15" spans="1:19" x14ac:dyDescent="0.25">
      <c r="A15" s="16"/>
      <c r="B15" s="16">
        <v>1350</v>
      </c>
      <c r="C15" s="17" t="s">
        <v>44</v>
      </c>
      <c r="D15" s="16" t="s">
        <v>33</v>
      </c>
      <c r="E15" s="18" t="s">
        <v>35</v>
      </c>
      <c r="F15" s="19">
        <v>25688</v>
      </c>
      <c r="G15" s="16" t="s">
        <v>39</v>
      </c>
      <c r="H15" s="21" t="s">
        <v>37</v>
      </c>
      <c r="I15" s="16" t="s">
        <v>0</v>
      </c>
      <c r="J15" s="22"/>
      <c r="K15" s="15" t="s">
        <v>82</v>
      </c>
      <c r="L15" t="s">
        <v>118</v>
      </c>
      <c r="M15" t="s">
        <v>13</v>
      </c>
      <c r="N15" t="str">
        <f t="shared" si="0"/>
        <v>https://api.bcb.gov.br/dados/serie/bcdata.sgs.1350/dados?formato=json</v>
      </c>
      <c r="O15">
        <v>2</v>
      </c>
      <c r="P15" t="s">
        <v>79</v>
      </c>
      <c r="Q15" t="s">
        <v>79</v>
      </c>
      <c r="R15" t="s">
        <v>88</v>
      </c>
      <c r="S15" t="s">
        <v>106</v>
      </c>
    </row>
    <row r="16" spans="1:19" x14ac:dyDescent="0.25">
      <c r="A16" s="23"/>
      <c r="B16" s="23">
        <v>1351</v>
      </c>
      <c r="C16" s="24" t="s">
        <v>45</v>
      </c>
      <c r="D16" s="23" t="s">
        <v>33</v>
      </c>
      <c r="E16" s="25" t="s">
        <v>35</v>
      </c>
      <c r="F16" s="26">
        <v>25688</v>
      </c>
      <c r="G16" s="23" t="s">
        <v>39</v>
      </c>
      <c r="H16" s="28" t="s">
        <v>37</v>
      </c>
      <c r="I16" s="23" t="s">
        <v>0</v>
      </c>
      <c r="J16" s="29"/>
      <c r="K16" s="15" t="s">
        <v>82</v>
      </c>
      <c r="L16" t="s">
        <v>118</v>
      </c>
      <c r="M16" t="s">
        <v>13</v>
      </c>
      <c r="N16" t="str">
        <f t="shared" si="0"/>
        <v>https://api.bcb.gov.br/dados/serie/bcdata.sgs.1351/dados?formato=json</v>
      </c>
      <c r="O16">
        <v>2</v>
      </c>
      <c r="P16" t="s">
        <v>79</v>
      </c>
      <c r="Q16" t="s">
        <v>79</v>
      </c>
      <c r="R16" t="s">
        <v>88</v>
      </c>
      <c r="S16" t="s">
        <v>107</v>
      </c>
    </row>
    <row r="17" spans="1:19" x14ac:dyDescent="0.25">
      <c r="A17" s="16"/>
      <c r="B17" s="16">
        <v>1352</v>
      </c>
      <c r="C17" s="17" t="s">
        <v>46</v>
      </c>
      <c r="D17" s="16" t="s">
        <v>33</v>
      </c>
      <c r="E17" s="18" t="s">
        <v>35</v>
      </c>
      <c r="F17" s="19">
        <v>25688</v>
      </c>
      <c r="G17" s="16" t="s">
        <v>39</v>
      </c>
      <c r="H17" s="21" t="s">
        <v>37</v>
      </c>
      <c r="I17" s="16" t="s">
        <v>0</v>
      </c>
      <c r="J17" s="22"/>
      <c r="K17" s="15" t="s">
        <v>82</v>
      </c>
      <c r="L17" t="s">
        <v>118</v>
      </c>
      <c r="M17" t="s">
        <v>13</v>
      </c>
      <c r="N17" t="str">
        <f t="shared" si="0"/>
        <v>https://api.bcb.gov.br/dados/serie/bcdata.sgs.1352/dados?formato=json</v>
      </c>
      <c r="O17">
        <v>2</v>
      </c>
      <c r="P17" t="s">
        <v>79</v>
      </c>
      <c r="Q17" t="s">
        <v>79</v>
      </c>
      <c r="R17" t="s">
        <v>88</v>
      </c>
      <c r="S17" t="s">
        <v>108</v>
      </c>
    </row>
    <row r="18" spans="1:19" x14ac:dyDescent="0.25">
      <c r="A18" s="23"/>
      <c r="B18" s="23">
        <v>1353</v>
      </c>
      <c r="C18" s="24" t="s">
        <v>47</v>
      </c>
      <c r="D18" s="23" t="s">
        <v>33</v>
      </c>
      <c r="E18" s="25" t="s">
        <v>35</v>
      </c>
      <c r="F18" s="26">
        <v>25688</v>
      </c>
      <c r="G18" s="23" t="s">
        <v>39</v>
      </c>
      <c r="H18" s="28" t="s">
        <v>37</v>
      </c>
      <c r="I18" s="23" t="s">
        <v>0</v>
      </c>
      <c r="J18" s="29"/>
      <c r="K18" s="15" t="s">
        <v>82</v>
      </c>
      <c r="L18" t="s">
        <v>118</v>
      </c>
      <c r="M18" t="s">
        <v>13</v>
      </c>
      <c r="N18" t="str">
        <f t="shared" si="0"/>
        <v>https://api.bcb.gov.br/dados/serie/bcdata.sgs.1353/dados?formato=json</v>
      </c>
      <c r="O18">
        <v>2</v>
      </c>
      <c r="P18" t="s">
        <v>79</v>
      </c>
      <c r="Q18" t="s">
        <v>79</v>
      </c>
      <c r="R18" t="s">
        <v>88</v>
      </c>
      <c r="S18" t="s">
        <v>109</v>
      </c>
    </row>
    <row r="19" spans="1:19" x14ac:dyDescent="0.25">
      <c r="A19" s="16"/>
      <c r="B19" s="16">
        <v>1355</v>
      </c>
      <c r="C19" s="17" t="s">
        <v>48</v>
      </c>
      <c r="D19" s="16" t="s">
        <v>33</v>
      </c>
      <c r="E19" s="18" t="s">
        <v>35</v>
      </c>
      <c r="F19" s="19">
        <v>26053</v>
      </c>
      <c r="G19" s="16" t="s">
        <v>39</v>
      </c>
      <c r="H19" s="21" t="s">
        <v>37</v>
      </c>
      <c r="I19" s="16" t="s">
        <v>0</v>
      </c>
      <c r="J19" s="22"/>
      <c r="K19" s="15" t="s">
        <v>82</v>
      </c>
      <c r="L19" t="s">
        <v>118</v>
      </c>
      <c r="M19" t="s">
        <v>13</v>
      </c>
      <c r="N19" t="str">
        <f t="shared" si="0"/>
        <v>https://api.bcb.gov.br/dados/serie/bcdata.sgs.1355/dados?formato=json</v>
      </c>
      <c r="O19">
        <v>2</v>
      </c>
      <c r="P19" t="s">
        <v>79</v>
      </c>
      <c r="Q19" t="s">
        <v>79</v>
      </c>
      <c r="R19" t="s">
        <v>88</v>
      </c>
      <c r="S19" t="s">
        <v>110</v>
      </c>
    </row>
    <row r="20" spans="1:19" x14ac:dyDescent="0.25">
      <c r="A20" s="23"/>
      <c r="B20" s="23">
        <v>1356</v>
      </c>
      <c r="C20" s="24" t="s">
        <v>49</v>
      </c>
      <c r="D20" s="23" t="s">
        <v>33</v>
      </c>
      <c r="E20" s="25" t="s">
        <v>35</v>
      </c>
      <c r="F20" s="26">
        <v>25688</v>
      </c>
      <c r="G20" s="23" t="s">
        <v>39</v>
      </c>
      <c r="H20" s="28" t="s">
        <v>37</v>
      </c>
      <c r="I20" s="23" t="s">
        <v>0</v>
      </c>
      <c r="J20" s="29"/>
      <c r="K20" s="15" t="s">
        <v>82</v>
      </c>
      <c r="L20" t="s">
        <v>118</v>
      </c>
      <c r="M20" t="s">
        <v>13</v>
      </c>
      <c r="N20" t="str">
        <f t="shared" si="0"/>
        <v>https://api.bcb.gov.br/dados/serie/bcdata.sgs.1356/dados?formato=json</v>
      </c>
      <c r="O20">
        <v>2</v>
      </c>
      <c r="P20" t="s">
        <v>79</v>
      </c>
      <c r="Q20" t="s">
        <v>79</v>
      </c>
      <c r="R20" t="s">
        <v>88</v>
      </c>
      <c r="S20" t="s">
        <v>111</v>
      </c>
    </row>
    <row r="21" spans="1:19" x14ac:dyDescent="0.25">
      <c r="A21" s="16"/>
      <c r="B21" s="16">
        <v>1359</v>
      </c>
      <c r="C21" s="17" t="s">
        <v>50</v>
      </c>
      <c r="D21" s="16" t="s">
        <v>33</v>
      </c>
      <c r="E21" s="18" t="s">
        <v>35</v>
      </c>
      <c r="F21" s="19">
        <v>26145</v>
      </c>
      <c r="G21" s="16" t="s">
        <v>39</v>
      </c>
      <c r="H21" s="21" t="s">
        <v>37</v>
      </c>
      <c r="I21" s="16" t="s">
        <v>0</v>
      </c>
      <c r="J21" s="22"/>
      <c r="K21" s="15" t="s">
        <v>82</v>
      </c>
      <c r="L21" t="s">
        <v>118</v>
      </c>
      <c r="M21" t="s">
        <v>13</v>
      </c>
      <c r="N21" t="str">
        <f t="shared" si="0"/>
        <v>https://api.bcb.gov.br/dados/serie/bcdata.sgs.1359/dados?formato=json</v>
      </c>
      <c r="O21">
        <v>2</v>
      </c>
      <c r="P21" t="s">
        <v>79</v>
      </c>
      <c r="Q21" t="s">
        <v>79</v>
      </c>
      <c r="R21" t="s">
        <v>88</v>
      </c>
      <c r="S21" t="s">
        <v>112</v>
      </c>
    </row>
    <row r="22" spans="1:19" x14ac:dyDescent="0.25">
      <c r="A22" s="23"/>
      <c r="B22" s="23">
        <v>1360</v>
      </c>
      <c r="C22" s="24" t="s">
        <v>51</v>
      </c>
      <c r="D22" s="23" t="s">
        <v>33</v>
      </c>
      <c r="E22" s="25" t="s">
        <v>35</v>
      </c>
      <c r="F22" s="26">
        <v>25688</v>
      </c>
      <c r="G22" s="23" t="s">
        <v>39</v>
      </c>
      <c r="H22" s="28" t="s">
        <v>37</v>
      </c>
      <c r="I22" s="23" t="s">
        <v>0</v>
      </c>
      <c r="J22" s="29"/>
      <c r="K22" s="15" t="s">
        <v>82</v>
      </c>
      <c r="L22" t="s">
        <v>118</v>
      </c>
      <c r="M22" t="s">
        <v>13</v>
      </c>
      <c r="N22" t="str">
        <f t="shared" si="0"/>
        <v>https://api.bcb.gov.br/dados/serie/bcdata.sgs.1360/dados?formato=json</v>
      </c>
      <c r="O22">
        <v>2</v>
      </c>
      <c r="P22" t="s">
        <v>79</v>
      </c>
      <c r="Q22" t="s">
        <v>79</v>
      </c>
      <c r="R22" t="s">
        <v>88</v>
      </c>
      <c r="S22" t="s">
        <v>113</v>
      </c>
    </row>
    <row r="23" spans="1:19" x14ac:dyDescent="0.25">
      <c r="A23" s="16"/>
      <c r="B23" s="16">
        <v>1362</v>
      </c>
      <c r="C23" s="17" t="s">
        <v>52</v>
      </c>
      <c r="D23" s="16" t="s">
        <v>33</v>
      </c>
      <c r="E23" s="18" t="s">
        <v>35</v>
      </c>
      <c r="F23" s="19">
        <v>25688</v>
      </c>
      <c r="G23" s="16" t="s">
        <v>39</v>
      </c>
      <c r="H23" s="21" t="s">
        <v>37</v>
      </c>
      <c r="I23" s="16" t="s">
        <v>0</v>
      </c>
      <c r="J23" s="22"/>
      <c r="K23" s="15" t="s">
        <v>82</v>
      </c>
      <c r="L23" t="s">
        <v>118</v>
      </c>
      <c r="M23" t="s">
        <v>13</v>
      </c>
      <c r="N23" t="str">
        <f t="shared" si="0"/>
        <v>https://api.bcb.gov.br/dados/serie/bcdata.sgs.1362/dados?formato=json</v>
      </c>
      <c r="O23">
        <v>2</v>
      </c>
      <c r="P23" t="s">
        <v>79</v>
      </c>
      <c r="Q23" t="s">
        <v>79</v>
      </c>
      <c r="R23" t="s">
        <v>88</v>
      </c>
      <c r="S23" t="s">
        <v>114</v>
      </c>
    </row>
    <row r="24" spans="1:19" x14ac:dyDescent="0.25">
      <c r="A24" s="23"/>
      <c r="B24" s="23">
        <v>1363</v>
      </c>
      <c r="C24" s="24" t="s">
        <v>53</v>
      </c>
      <c r="D24" s="23" t="s">
        <v>33</v>
      </c>
      <c r="E24" s="25" t="s">
        <v>35</v>
      </c>
      <c r="F24" s="26">
        <v>25688</v>
      </c>
      <c r="G24" s="23" t="s">
        <v>39</v>
      </c>
      <c r="H24" s="28" t="s">
        <v>37</v>
      </c>
      <c r="I24" s="23" t="s">
        <v>0</v>
      </c>
      <c r="J24" s="29"/>
      <c r="K24" s="15" t="s">
        <v>82</v>
      </c>
      <c r="L24" t="s">
        <v>118</v>
      </c>
      <c r="M24" t="s">
        <v>13</v>
      </c>
      <c r="N24" t="str">
        <f t="shared" si="0"/>
        <v>https://api.bcb.gov.br/dados/serie/bcdata.sgs.1363/dados?formato=json</v>
      </c>
      <c r="O24">
        <v>2</v>
      </c>
      <c r="P24" t="s">
        <v>79</v>
      </c>
      <c r="Q24" t="s">
        <v>79</v>
      </c>
      <c r="R24" t="s">
        <v>88</v>
      </c>
      <c r="S24" t="s">
        <v>115</v>
      </c>
    </row>
    <row r="25" spans="1:19" x14ac:dyDescent="0.25">
      <c r="A25" s="16"/>
      <c r="B25" s="16">
        <v>1364</v>
      </c>
      <c r="C25" s="17" t="s">
        <v>54</v>
      </c>
      <c r="D25" s="16" t="s">
        <v>33</v>
      </c>
      <c r="E25" s="18" t="s">
        <v>35</v>
      </c>
      <c r="F25" s="19">
        <v>25688</v>
      </c>
      <c r="G25" s="16" t="s">
        <v>39</v>
      </c>
      <c r="H25" s="21" t="s">
        <v>37</v>
      </c>
      <c r="I25" s="16" t="s">
        <v>0</v>
      </c>
      <c r="J25" s="22"/>
      <c r="K25" s="15" t="s">
        <v>82</v>
      </c>
      <c r="L25" t="s">
        <v>118</v>
      </c>
      <c r="M25" t="s">
        <v>13</v>
      </c>
      <c r="N25" t="str">
        <f t="shared" si="0"/>
        <v>https://api.bcb.gov.br/dados/serie/bcdata.sgs.1364/dados?formato=json</v>
      </c>
      <c r="O25">
        <v>2</v>
      </c>
      <c r="P25" t="s">
        <v>79</v>
      </c>
      <c r="Q25" t="s">
        <v>79</v>
      </c>
      <c r="R25" t="s">
        <v>88</v>
      </c>
      <c r="S25" t="s">
        <v>116</v>
      </c>
    </row>
    <row r="26" spans="1:19" x14ac:dyDescent="0.25">
      <c r="A26" s="23"/>
      <c r="B26" s="23">
        <v>1365</v>
      </c>
      <c r="C26" s="24" t="s">
        <v>55</v>
      </c>
      <c r="D26" s="23" t="s">
        <v>33</v>
      </c>
      <c r="E26" s="25" t="s">
        <v>35</v>
      </c>
      <c r="F26" s="26">
        <v>26053</v>
      </c>
      <c r="G26" s="23" t="s">
        <v>39</v>
      </c>
      <c r="H26" s="28" t="s">
        <v>37</v>
      </c>
      <c r="I26" s="23" t="s">
        <v>0</v>
      </c>
      <c r="J26" s="29"/>
      <c r="K26" s="15" t="s">
        <v>82</v>
      </c>
      <c r="L26" t="s">
        <v>118</v>
      </c>
      <c r="M26" t="s">
        <v>13</v>
      </c>
      <c r="N26" t="str">
        <f t="shared" si="0"/>
        <v>https://api.bcb.gov.br/dados/serie/bcdata.sgs.1365/dados?formato=json</v>
      </c>
      <c r="O26">
        <v>2</v>
      </c>
      <c r="P26" t="s">
        <v>79</v>
      </c>
      <c r="Q26" t="s">
        <v>79</v>
      </c>
      <c r="R26" t="s">
        <v>88</v>
      </c>
      <c r="S26" t="s">
        <v>117</v>
      </c>
    </row>
    <row r="27" spans="1:19" x14ac:dyDescent="0.25">
      <c r="A27" s="16"/>
      <c r="B27" s="16">
        <v>24352</v>
      </c>
      <c r="C27" s="17" t="s">
        <v>56</v>
      </c>
      <c r="D27" s="16" t="s">
        <v>33</v>
      </c>
      <c r="E27" s="18" t="s">
        <v>21</v>
      </c>
      <c r="F27" s="19">
        <v>36892</v>
      </c>
      <c r="G27" s="20">
        <v>45809</v>
      </c>
      <c r="H27" s="21" t="s">
        <v>37</v>
      </c>
      <c r="I27" s="16" t="s">
        <v>0</v>
      </c>
      <c r="J27" s="22"/>
      <c r="K27" s="15" t="s">
        <v>82</v>
      </c>
      <c r="L27" t="s">
        <v>118</v>
      </c>
      <c r="M27" t="s">
        <v>13</v>
      </c>
      <c r="N27" t="str">
        <f t="shared" si="0"/>
        <v>https://api.bcb.gov.br/dados/serie/bcdata.sgs.24352/dados?formato=json</v>
      </c>
      <c r="O27">
        <v>2</v>
      </c>
      <c r="P27" t="s">
        <v>79</v>
      </c>
      <c r="Q27" t="s">
        <v>79</v>
      </c>
      <c r="R27" t="s">
        <v>88</v>
      </c>
      <c r="S27" t="s">
        <v>84</v>
      </c>
    </row>
    <row r="28" spans="1:19" x14ac:dyDescent="0.25">
      <c r="A28" s="23"/>
      <c r="B28" s="23">
        <v>28561</v>
      </c>
      <c r="C28" s="24" t="s">
        <v>57</v>
      </c>
      <c r="D28" s="23" t="s">
        <v>33</v>
      </c>
      <c r="E28" s="25" t="s">
        <v>21</v>
      </c>
      <c r="F28" s="26">
        <v>36892</v>
      </c>
      <c r="G28" s="27">
        <v>45809</v>
      </c>
      <c r="H28" s="28" t="s">
        <v>37</v>
      </c>
      <c r="I28" s="23" t="s">
        <v>0</v>
      </c>
      <c r="J28" s="29"/>
      <c r="K28" s="15" t="s">
        <v>82</v>
      </c>
      <c r="L28" t="s">
        <v>118</v>
      </c>
      <c r="M28" t="s">
        <v>13</v>
      </c>
      <c r="N28" t="str">
        <f t="shared" si="0"/>
        <v>https://api.bcb.gov.br/dados/serie/bcdata.sgs.28561/dados?formato=json</v>
      </c>
      <c r="O28">
        <v>2</v>
      </c>
      <c r="P28" t="s">
        <v>79</v>
      </c>
      <c r="Q28" t="s">
        <v>79</v>
      </c>
      <c r="R28" t="s">
        <v>96</v>
      </c>
      <c r="S28" t="s">
        <v>84</v>
      </c>
    </row>
    <row r="29" spans="1:19" x14ac:dyDescent="0.25">
      <c r="A29" s="16"/>
      <c r="B29" s="16">
        <v>1373</v>
      </c>
      <c r="C29" s="17" t="s">
        <v>58</v>
      </c>
      <c r="D29" s="16" t="s">
        <v>22</v>
      </c>
      <c r="E29" s="18" t="s">
        <v>21</v>
      </c>
      <c r="F29" s="19">
        <v>34000</v>
      </c>
      <c r="G29" s="20">
        <v>45809</v>
      </c>
      <c r="H29" s="21" t="s">
        <v>59</v>
      </c>
      <c r="I29" s="16" t="s">
        <v>0</v>
      </c>
      <c r="J29" s="22"/>
      <c r="K29" s="15" t="s">
        <v>83</v>
      </c>
      <c r="L29" t="s">
        <v>150</v>
      </c>
      <c r="M29" t="s">
        <v>13</v>
      </c>
      <c r="N29" t="str">
        <f t="shared" si="0"/>
        <v>https://api.bcb.gov.br/dados/serie/bcdata.sgs.1373/dados?formato=json</v>
      </c>
      <c r="O29">
        <v>2</v>
      </c>
      <c r="P29" t="s">
        <v>79</v>
      </c>
      <c r="Q29" t="s">
        <v>79</v>
      </c>
      <c r="R29" t="s">
        <v>87</v>
      </c>
      <c r="S29" t="s">
        <v>93</v>
      </c>
    </row>
    <row r="30" spans="1:19" x14ac:dyDescent="0.25">
      <c r="A30" s="23"/>
      <c r="B30" s="23">
        <v>1374</v>
      </c>
      <c r="C30" s="24" t="s">
        <v>60</v>
      </c>
      <c r="D30" s="16" t="s">
        <v>22</v>
      </c>
      <c r="E30" s="25" t="s">
        <v>21</v>
      </c>
      <c r="F30" s="26">
        <v>34000</v>
      </c>
      <c r="G30" s="27">
        <v>45809</v>
      </c>
      <c r="H30" s="28" t="s">
        <v>59</v>
      </c>
      <c r="I30" s="23" t="s">
        <v>0</v>
      </c>
      <c r="J30" s="29"/>
      <c r="K30" s="15" t="s">
        <v>83</v>
      </c>
      <c r="L30" t="s">
        <v>150</v>
      </c>
      <c r="M30" t="s">
        <v>13</v>
      </c>
      <c r="N30" t="str">
        <f t="shared" si="0"/>
        <v>https://api.bcb.gov.br/dados/serie/bcdata.sgs.1374/dados?formato=json</v>
      </c>
      <c r="O30">
        <v>2</v>
      </c>
      <c r="P30" t="s">
        <v>79</v>
      </c>
      <c r="Q30" t="s">
        <v>79</v>
      </c>
      <c r="R30" t="s">
        <v>122</v>
      </c>
      <c r="S30" t="s">
        <v>93</v>
      </c>
    </row>
    <row r="31" spans="1:19" x14ac:dyDescent="0.25">
      <c r="A31" s="16"/>
      <c r="B31" s="16">
        <v>1375</v>
      </c>
      <c r="C31" s="17" t="s">
        <v>61</v>
      </c>
      <c r="D31" s="16" t="s">
        <v>22</v>
      </c>
      <c r="E31" s="18" t="s">
        <v>21</v>
      </c>
      <c r="F31" s="19">
        <v>34000</v>
      </c>
      <c r="G31" s="20">
        <v>45809</v>
      </c>
      <c r="H31" s="21" t="s">
        <v>59</v>
      </c>
      <c r="I31" s="16" t="s">
        <v>0</v>
      </c>
      <c r="J31" s="22"/>
      <c r="K31" s="15" t="s">
        <v>83</v>
      </c>
      <c r="L31" t="s">
        <v>150</v>
      </c>
      <c r="M31" t="s">
        <v>13</v>
      </c>
      <c r="N31" t="str">
        <f t="shared" si="0"/>
        <v>https://api.bcb.gov.br/dados/serie/bcdata.sgs.1375/dados?formato=json</v>
      </c>
      <c r="O31">
        <v>2</v>
      </c>
      <c r="P31" t="s">
        <v>79</v>
      </c>
      <c r="Q31" t="s">
        <v>79</v>
      </c>
      <c r="R31" t="s">
        <v>119</v>
      </c>
      <c r="S31" t="s">
        <v>93</v>
      </c>
    </row>
    <row r="32" spans="1:19" x14ac:dyDescent="0.25">
      <c r="A32" s="23"/>
      <c r="B32" s="23">
        <v>1376</v>
      </c>
      <c r="C32" s="24" t="s">
        <v>62</v>
      </c>
      <c r="D32" s="16" t="s">
        <v>22</v>
      </c>
      <c r="E32" s="25" t="s">
        <v>21</v>
      </c>
      <c r="F32" s="26">
        <v>34000</v>
      </c>
      <c r="G32" s="27">
        <v>45809</v>
      </c>
      <c r="H32" s="28" t="s">
        <v>59</v>
      </c>
      <c r="I32" s="23" t="s">
        <v>0</v>
      </c>
      <c r="J32" s="29"/>
      <c r="K32" s="15" t="s">
        <v>83</v>
      </c>
      <c r="L32" t="s">
        <v>150</v>
      </c>
      <c r="M32" t="s">
        <v>13</v>
      </c>
      <c r="N32" t="str">
        <f t="shared" si="0"/>
        <v>https://api.bcb.gov.br/dados/serie/bcdata.sgs.1376/dados?formato=json</v>
      </c>
      <c r="O32">
        <v>2</v>
      </c>
      <c r="P32" t="s">
        <v>79</v>
      </c>
      <c r="Q32" t="s">
        <v>79</v>
      </c>
      <c r="R32" t="s">
        <v>120</v>
      </c>
      <c r="S32" t="s">
        <v>93</v>
      </c>
    </row>
    <row r="33" spans="1:19" x14ac:dyDescent="0.25">
      <c r="A33" s="16"/>
      <c r="B33" s="16">
        <v>1377</v>
      </c>
      <c r="C33" s="17" t="s">
        <v>63</v>
      </c>
      <c r="D33" s="16" t="s">
        <v>22</v>
      </c>
      <c r="E33" s="18" t="s">
        <v>21</v>
      </c>
      <c r="F33" s="19">
        <v>34000</v>
      </c>
      <c r="G33" s="20">
        <v>45809</v>
      </c>
      <c r="H33" s="21" t="s">
        <v>64</v>
      </c>
      <c r="I33" s="16" t="s">
        <v>0</v>
      </c>
      <c r="J33" s="22"/>
      <c r="K33" s="15" t="s">
        <v>83</v>
      </c>
      <c r="L33" t="s">
        <v>150</v>
      </c>
      <c r="M33" t="s">
        <v>13</v>
      </c>
      <c r="N33" t="str">
        <f t="shared" si="0"/>
        <v>https://api.bcb.gov.br/dados/serie/bcdata.sgs.1377/dados?formato=json</v>
      </c>
      <c r="O33">
        <v>2</v>
      </c>
      <c r="P33" t="s">
        <v>79</v>
      </c>
      <c r="Q33" t="s">
        <v>79</v>
      </c>
      <c r="R33" t="s">
        <v>121</v>
      </c>
      <c r="S33" t="s">
        <v>93</v>
      </c>
    </row>
    <row r="34" spans="1:19" x14ac:dyDescent="0.25">
      <c r="A34" s="23"/>
      <c r="B34" s="23">
        <v>1378</v>
      </c>
      <c r="C34" s="24" t="s">
        <v>65</v>
      </c>
      <c r="D34" s="16" t="s">
        <v>22</v>
      </c>
      <c r="E34" s="25" t="s">
        <v>21</v>
      </c>
      <c r="F34" s="26">
        <v>29617</v>
      </c>
      <c r="G34" s="27">
        <v>45809</v>
      </c>
      <c r="H34" s="28" t="s">
        <v>59</v>
      </c>
      <c r="I34" s="23" t="s">
        <v>0</v>
      </c>
      <c r="J34" s="29"/>
      <c r="K34" s="15" t="s">
        <v>83</v>
      </c>
      <c r="L34" t="s">
        <v>151</v>
      </c>
      <c r="M34" t="s">
        <v>13</v>
      </c>
      <c r="N34" t="str">
        <f t="shared" si="0"/>
        <v>https://api.bcb.gov.br/dados/serie/bcdata.sgs.1378/dados?formato=json</v>
      </c>
      <c r="O34">
        <v>2</v>
      </c>
      <c r="P34" t="s">
        <v>79</v>
      </c>
      <c r="Q34" t="s">
        <v>79</v>
      </c>
      <c r="R34" t="s">
        <v>87</v>
      </c>
      <c r="S34" t="s">
        <v>94</v>
      </c>
    </row>
    <row r="35" spans="1:19" x14ac:dyDescent="0.25">
      <c r="A35" s="16"/>
      <c r="B35" s="16">
        <v>1379</v>
      </c>
      <c r="C35" s="17" t="s">
        <v>66</v>
      </c>
      <c r="D35" s="16" t="s">
        <v>22</v>
      </c>
      <c r="E35" s="18" t="s">
        <v>21</v>
      </c>
      <c r="F35" s="19">
        <v>29617</v>
      </c>
      <c r="G35" s="20">
        <v>45809</v>
      </c>
      <c r="H35" s="21" t="s">
        <v>59</v>
      </c>
      <c r="I35" s="16" t="s">
        <v>0</v>
      </c>
      <c r="J35" s="22"/>
      <c r="K35" s="15" t="s">
        <v>83</v>
      </c>
      <c r="L35" t="s">
        <v>151</v>
      </c>
      <c r="M35" t="s">
        <v>13</v>
      </c>
      <c r="N35" t="str">
        <f t="shared" si="0"/>
        <v>https://api.bcb.gov.br/dados/serie/bcdata.sgs.1379/dados?formato=json</v>
      </c>
      <c r="O35">
        <v>2</v>
      </c>
      <c r="P35" t="s">
        <v>79</v>
      </c>
      <c r="Q35" t="s">
        <v>79</v>
      </c>
      <c r="R35" t="s">
        <v>123</v>
      </c>
      <c r="S35" t="s">
        <v>94</v>
      </c>
    </row>
    <row r="36" spans="1:19" x14ac:dyDescent="0.25">
      <c r="A36" s="23"/>
      <c r="B36" s="23">
        <v>1380</v>
      </c>
      <c r="C36" s="24" t="s">
        <v>67</v>
      </c>
      <c r="D36" s="16" t="s">
        <v>22</v>
      </c>
      <c r="E36" s="25" t="s">
        <v>21</v>
      </c>
      <c r="F36" s="26">
        <v>29617</v>
      </c>
      <c r="G36" s="27">
        <v>45809</v>
      </c>
      <c r="H36" s="28" t="s">
        <v>59</v>
      </c>
      <c r="I36" s="23" t="s">
        <v>0</v>
      </c>
      <c r="J36" s="29"/>
      <c r="K36" s="15" t="s">
        <v>83</v>
      </c>
      <c r="L36" t="s">
        <v>151</v>
      </c>
      <c r="M36" t="s">
        <v>13</v>
      </c>
      <c r="N36" t="str">
        <f t="shared" si="0"/>
        <v>https://api.bcb.gov.br/dados/serie/bcdata.sgs.1380/dados?formato=json</v>
      </c>
      <c r="O36">
        <v>2</v>
      </c>
      <c r="P36" t="s">
        <v>79</v>
      </c>
      <c r="Q36" t="s">
        <v>79</v>
      </c>
      <c r="R36" t="s">
        <v>124</v>
      </c>
      <c r="S36" t="s">
        <v>94</v>
      </c>
    </row>
    <row r="37" spans="1:19" x14ac:dyDescent="0.25">
      <c r="A37" s="23"/>
      <c r="B37" s="23">
        <v>7384</v>
      </c>
      <c r="C37" s="24" t="s">
        <v>68</v>
      </c>
      <c r="D37" s="23" t="s">
        <v>22</v>
      </c>
      <c r="E37" s="25" t="s">
        <v>21</v>
      </c>
      <c r="F37" s="26">
        <v>32904</v>
      </c>
      <c r="G37" s="27">
        <v>45809</v>
      </c>
      <c r="H37" s="28" t="s">
        <v>69</v>
      </c>
      <c r="I37" s="23" t="s">
        <v>0</v>
      </c>
      <c r="J37" s="29"/>
      <c r="K37" s="15" t="s">
        <v>83</v>
      </c>
      <c r="L37" t="s">
        <v>151</v>
      </c>
      <c r="M37" t="s">
        <v>13</v>
      </c>
      <c r="N37" t="str">
        <f t="shared" si="0"/>
        <v>https://api.bcb.gov.br/dados/serie/bcdata.sgs.7384/dados?formato=json</v>
      </c>
      <c r="O37">
        <v>2</v>
      </c>
      <c r="P37" t="s">
        <v>79</v>
      </c>
      <c r="Q37" t="s">
        <v>79</v>
      </c>
      <c r="R37" t="s">
        <v>127</v>
      </c>
      <c r="S37" t="s">
        <v>94</v>
      </c>
    </row>
    <row r="38" spans="1:19" x14ac:dyDescent="0.25">
      <c r="A38" s="16"/>
      <c r="B38" s="16">
        <v>7385</v>
      </c>
      <c r="C38" s="17" t="s">
        <v>70</v>
      </c>
      <c r="D38" s="16" t="s">
        <v>22</v>
      </c>
      <c r="E38" s="18" t="s">
        <v>21</v>
      </c>
      <c r="F38" s="19">
        <v>32904</v>
      </c>
      <c r="G38" s="20">
        <v>45809</v>
      </c>
      <c r="H38" s="21" t="s">
        <v>69</v>
      </c>
      <c r="I38" s="16" t="s">
        <v>0</v>
      </c>
      <c r="J38" s="22"/>
      <c r="K38" s="15" t="s">
        <v>83</v>
      </c>
      <c r="L38" t="s">
        <v>151</v>
      </c>
      <c r="M38" t="s">
        <v>13</v>
      </c>
      <c r="N38" t="str">
        <f t="shared" si="0"/>
        <v>https://api.bcb.gov.br/dados/serie/bcdata.sgs.7385/dados?formato=json</v>
      </c>
      <c r="O38">
        <v>2</v>
      </c>
      <c r="P38" t="s">
        <v>79</v>
      </c>
      <c r="Q38" t="s">
        <v>79</v>
      </c>
      <c r="R38" t="s">
        <v>128</v>
      </c>
      <c r="S38" t="s">
        <v>94</v>
      </c>
    </row>
    <row r="39" spans="1:19" x14ac:dyDescent="0.25">
      <c r="A39" s="23"/>
      <c r="B39" s="23">
        <v>7386</v>
      </c>
      <c r="C39" s="24" t="s">
        <v>71</v>
      </c>
      <c r="D39" s="23" t="s">
        <v>22</v>
      </c>
      <c r="E39" s="25" t="s">
        <v>21</v>
      </c>
      <c r="F39" s="26">
        <v>32904</v>
      </c>
      <c r="G39" s="27">
        <v>45809</v>
      </c>
      <c r="H39" s="28" t="s">
        <v>69</v>
      </c>
      <c r="I39" s="23" t="s">
        <v>0</v>
      </c>
      <c r="J39" s="29"/>
      <c r="K39" s="15" t="s">
        <v>83</v>
      </c>
      <c r="L39" t="s">
        <v>151</v>
      </c>
      <c r="M39" t="s">
        <v>13</v>
      </c>
      <c r="N39" t="str">
        <f t="shared" si="0"/>
        <v>https://api.bcb.gov.br/dados/serie/bcdata.sgs.7386/dados?formato=json</v>
      </c>
      <c r="O39">
        <v>2</v>
      </c>
      <c r="P39" t="s">
        <v>79</v>
      </c>
      <c r="Q39" t="s">
        <v>79</v>
      </c>
      <c r="R39" t="s">
        <v>129</v>
      </c>
      <c r="S39" t="s">
        <v>94</v>
      </c>
    </row>
    <row r="40" spans="1:19" x14ac:dyDescent="0.25">
      <c r="A40" s="16"/>
      <c r="B40" s="16">
        <v>7387</v>
      </c>
      <c r="C40" s="17" t="s">
        <v>72</v>
      </c>
      <c r="D40" s="16" t="s">
        <v>22</v>
      </c>
      <c r="E40" s="18" t="s">
        <v>21</v>
      </c>
      <c r="F40" s="19">
        <v>32904</v>
      </c>
      <c r="G40" s="20">
        <v>45809</v>
      </c>
      <c r="H40" s="21" t="s">
        <v>69</v>
      </c>
      <c r="I40" s="16" t="s">
        <v>0</v>
      </c>
      <c r="J40" s="22"/>
      <c r="K40" s="15" t="s">
        <v>83</v>
      </c>
      <c r="L40" t="s">
        <v>151</v>
      </c>
      <c r="M40" t="s">
        <v>13</v>
      </c>
      <c r="N40" t="str">
        <f t="shared" si="0"/>
        <v>https://api.bcb.gov.br/dados/serie/bcdata.sgs.7387/dados?formato=json</v>
      </c>
      <c r="O40">
        <v>2</v>
      </c>
      <c r="P40" t="s">
        <v>79</v>
      </c>
      <c r="Q40" t="s">
        <v>79</v>
      </c>
      <c r="R40" t="s">
        <v>130</v>
      </c>
      <c r="S40" t="s">
        <v>94</v>
      </c>
    </row>
    <row r="41" spans="1:19" x14ac:dyDescent="0.25">
      <c r="A41" s="16"/>
      <c r="B41" s="16">
        <v>7389</v>
      </c>
      <c r="C41" s="17" t="s">
        <v>73</v>
      </c>
      <c r="D41" s="16" t="s">
        <v>22</v>
      </c>
      <c r="E41" s="18" t="s">
        <v>21</v>
      </c>
      <c r="F41" s="19">
        <v>32904</v>
      </c>
      <c r="G41" s="20">
        <v>45809</v>
      </c>
      <c r="H41" s="21" t="s">
        <v>69</v>
      </c>
      <c r="I41" s="16" t="s">
        <v>0</v>
      </c>
      <c r="J41" s="22"/>
      <c r="K41" s="15" t="s">
        <v>83</v>
      </c>
      <c r="L41" t="s">
        <v>151</v>
      </c>
      <c r="M41" t="s">
        <v>13</v>
      </c>
      <c r="N41" t="str">
        <f t="shared" si="0"/>
        <v>https://api.bcb.gov.br/dados/serie/bcdata.sgs.7389/dados?formato=json</v>
      </c>
      <c r="O41">
        <v>2</v>
      </c>
      <c r="P41" t="s">
        <v>79</v>
      </c>
      <c r="Q41" t="s">
        <v>79</v>
      </c>
      <c r="R41" t="s">
        <v>131</v>
      </c>
      <c r="S41" t="s">
        <v>94</v>
      </c>
    </row>
    <row r="42" spans="1:19" x14ac:dyDescent="0.25">
      <c r="A42" s="16"/>
      <c r="B42" s="16">
        <v>28527</v>
      </c>
      <c r="C42" s="17" t="s">
        <v>74</v>
      </c>
      <c r="D42" s="16" t="s">
        <v>22</v>
      </c>
      <c r="E42" s="18" t="s">
        <v>21</v>
      </c>
      <c r="F42" s="19">
        <v>37287</v>
      </c>
      <c r="G42" s="20">
        <v>45809</v>
      </c>
      <c r="H42" s="21" t="s">
        <v>59</v>
      </c>
      <c r="I42" s="16" t="s">
        <v>0</v>
      </c>
      <c r="J42" s="22"/>
      <c r="K42" s="15" t="s">
        <v>83</v>
      </c>
      <c r="L42" t="s">
        <v>150</v>
      </c>
      <c r="M42" t="s">
        <v>13</v>
      </c>
      <c r="N42" t="str">
        <f t="shared" si="0"/>
        <v>https://api.bcb.gov.br/dados/serie/bcdata.sgs.28527/dados?formato=json</v>
      </c>
      <c r="O42">
        <v>2</v>
      </c>
      <c r="P42" t="s">
        <v>79</v>
      </c>
      <c r="Q42" t="s">
        <v>79</v>
      </c>
      <c r="R42" t="s">
        <v>132</v>
      </c>
      <c r="S42" t="s">
        <v>93</v>
      </c>
    </row>
    <row r="43" spans="1:19" x14ac:dyDescent="0.25">
      <c r="A43" s="23"/>
      <c r="B43" s="23">
        <v>28528</v>
      </c>
      <c r="C43" s="24" t="s">
        <v>75</v>
      </c>
      <c r="D43" s="16" t="s">
        <v>22</v>
      </c>
      <c r="E43" s="25" t="s">
        <v>21</v>
      </c>
      <c r="F43" s="26">
        <v>38383</v>
      </c>
      <c r="G43" s="27">
        <v>45809</v>
      </c>
      <c r="H43" s="28" t="s">
        <v>59</v>
      </c>
      <c r="I43" s="23" t="s">
        <v>0</v>
      </c>
      <c r="J43" s="29"/>
      <c r="K43" s="15" t="s">
        <v>83</v>
      </c>
      <c r="L43" t="s">
        <v>151</v>
      </c>
      <c r="M43" t="s">
        <v>13</v>
      </c>
      <c r="N43" t="str">
        <f t="shared" si="0"/>
        <v>https://api.bcb.gov.br/dados/serie/bcdata.sgs.28528/dados?formato=json</v>
      </c>
      <c r="O43">
        <v>2</v>
      </c>
      <c r="P43" t="s">
        <v>79</v>
      </c>
      <c r="Q43" t="s">
        <v>79</v>
      </c>
      <c r="R43" t="s">
        <v>132</v>
      </c>
      <c r="S43" t="s">
        <v>94</v>
      </c>
    </row>
    <row r="44" spans="1:19" x14ac:dyDescent="0.25">
      <c r="A44" s="16"/>
      <c r="B44" s="16">
        <v>28529</v>
      </c>
      <c r="C44" s="17" t="s">
        <v>76</v>
      </c>
      <c r="D44" s="16" t="s">
        <v>22</v>
      </c>
      <c r="E44" s="18" t="s">
        <v>21</v>
      </c>
      <c r="F44" s="19">
        <v>38383</v>
      </c>
      <c r="G44" s="20">
        <v>45809</v>
      </c>
      <c r="H44" s="21" t="s">
        <v>59</v>
      </c>
      <c r="I44" s="16" t="s">
        <v>0</v>
      </c>
      <c r="J44" s="22"/>
      <c r="K44" s="15" t="s">
        <v>83</v>
      </c>
      <c r="L44" t="s">
        <v>151</v>
      </c>
      <c r="M44" t="s">
        <v>13</v>
      </c>
      <c r="N44" t="str">
        <f t="shared" si="0"/>
        <v>https://api.bcb.gov.br/dados/serie/bcdata.sgs.28529/dados?formato=json</v>
      </c>
      <c r="O44">
        <v>2</v>
      </c>
      <c r="P44" t="s">
        <v>79</v>
      </c>
      <c r="Q44" t="s">
        <v>79</v>
      </c>
      <c r="R44" t="s">
        <v>125</v>
      </c>
      <c r="S44" t="s">
        <v>94</v>
      </c>
    </row>
    <row r="45" spans="1:19" x14ac:dyDescent="0.25">
      <c r="A45" s="23"/>
      <c r="B45" s="23">
        <v>28530</v>
      </c>
      <c r="C45" s="24" t="s">
        <v>77</v>
      </c>
      <c r="D45" s="16" t="s">
        <v>22</v>
      </c>
      <c r="E45" s="25" t="s">
        <v>21</v>
      </c>
      <c r="F45" s="26">
        <v>38383</v>
      </c>
      <c r="G45" s="27">
        <v>45809</v>
      </c>
      <c r="H45" s="28" t="s">
        <v>59</v>
      </c>
      <c r="I45" s="23" t="s">
        <v>0</v>
      </c>
      <c r="J45" s="29"/>
      <c r="K45" s="15" t="s">
        <v>83</v>
      </c>
      <c r="L45" t="s">
        <v>151</v>
      </c>
      <c r="M45" t="s">
        <v>13</v>
      </c>
      <c r="N45" t="str">
        <f t="shared" si="0"/>
        <v>https://api.bcb.gov.br/dados/serie/bcdata.sgs.28530/dados?formato=json</v>
      </c>
      <c r="O45">
        <v>2</v>
      </c>
      <c r="P45" t="s">
        <v>79</v>
      </c>
      <c r="Q45" t="s">
        <v>79</v>
      </c>
      <c r="R45" t="s">
        <v>126</v>
      </c>
      <c r="S45" t="s">
        <v>94</v>
      </c>
    </row>
    <row r="46" spans="1:19" x14ac:dyDescent="0.25">
      <c r="A46" s="8"/>
      <c r="B46" s="8">
        <v>1389</v>
      </c>
      <c r="C46" s="9" t="s">
        <v>133</v>
      </c>
      <c r="D46" s="8" t="s">
        <v>134</v>
      </c>
      <c r="E46" s="10" t="s">
        <v>21</v>
      </c>
      <c r="F46" s="11">
        <v>28886</v>
      </c>
      <c r="G46" s="12">
        <v>45748</v>
      </c>
      <c r="H46" s="13" t="s">
        <v>135</v>
      </c>
      <c r="I46" s="8" t="s">
        <v>0</v>
      </c>
      <c r="J46" s="14"/>
      <c r="K46" s="15" t="s">
        <v>149</v>
      </c>
      <c r="L46" t="s">
        <v>152</v>
      </c>
      <c r="M46" t="s">
        <v>13</v>
      </c>
      <c r="N46" t="str">
        <f t="shared" ref="N46:N58" si="1">_xlfn.CONCAT("https://api.bcb.gov.br/dados/serie/bcdata.sgs.",B46,"/dados?formato=json")</f>
        <v>https://api.bcb.gov.br/dados/serie/bcdata.sgs.1389/dados?formato=json</v>
      </c>
      <c r="O46">
        <v>2</v>
      </c>
      <c r="P46" t="s">
        <v>79</v>
      </c>
      <c r="Q46" t="s">
        <v>79</v>
      </c>
      <c r="R46" t="s">
        <v>133</v>
      </c>
      <c r="S46" t="s">
        <v>93</v>
      </c>
    </row>
    <row r="47" spans="1:19" x14ac:dyDescent="0.25">
      <c r="A47" s="1"/>
      <c r="B47" s="1">
        <v>1390</v>
      </c>
      <c r="C47" s="2" t="s">
        <v>136</v>
      </c>
      <c r="D47" s="1" t="s">
        <v>134</v>
      </c>
      <c r="E47" s="3" t="s">
        <v>21</v>
      </c>
      <c r="F47" s="4">
        <v>28886</v>
      </c>
      <c r="G47" s="5">
        <v>45748</v>
      </c>
      <c r="H47" s="6" t="s">
        <v>135</v>
      </c>
      <c r="I47" s="1" t="s">
        <v>0</v>
      </c>
      <c r="J47" s="7"/>
      <c r="K47" s="15" t="s">
        <v>149</v>
      </c>
      <c r="L47" t="s">
        <v>154</v>
      </c>
      <c r="M47" t="s">
        <v>13</v>
      </c>
      <c r="N47" t="str">
        <f t="shared" si="1"/>
        <v>https://api.bcb.gov.br/dados/serie/bcdata.sgs.1390/dados?formato=json</v>
      </c>
      <c r="O47">
        <v>2</v>
      </c>
      <c r="P47" t="s">
        <v>79</v>
      </c>
      <c r="Q47" t="s">
        <v>79</v>
      </c>
      <c r="R47" t="s">
        <v>136</v>
      </c>
      <c r="S47" t="s">
        <v>93</v>
      </c>
    </row>
    <row r="48" spans="1:19" x14ac:dyDescent="0.25">
      <c r="A48" s="8"/>
      <c r="B48" s="8">
        <v>1391</v>
      </c>
      <c r="C48" s="9" t="s">
        <v>137</v>
      </c>
      <c r="D48" s="8" t="s">
        <v>134</v>
      </c>
      <c r="E48" s="10" t="s">
        <v>21</v>
      </c>
      <c r="F48" s="11">
        <v>28886</v>
      </c>
      <c r="G48" s="12">
        <v>45748</v>
      </c>
      <c r="H48" s="13" t="s">
        <v>135</v>
      </c>
      <c r="I48" s="8" t="s">
        <v>0</v>
      </c>
      <c r="J48" s="14"/>
      <c r="K48" s="15" t="s">
        <v>149</v>
      </c>
      <c r="L48" t="s">
        <v>156</v>
      </c>
      <c r="M48" t="s">
        <v>13</v>
      </c>
      <c r="N48" t="str">
        <f t="shared" si="1"/>
        <v>https://api.bcb.gov.br/dados/serie/bcdata.sgs.1391/dados?formato=json</v>
      </c>
      <c r="O48">
        <v>2</v>
      </c>
      <c r="P48" t="s">
        <v>79</v>
      </c>
      <c r="Q48" t="s">
        <v>79</v>
      </c>
      <c r="R48" t="s">
        <v>137</v>
      </c>
      <c r="S48" t="s">
        <v>93</v>
      </c>
    </row>
    <row r="49" spans="1:19" x14ac:dyDescent="0.25">
      <c r="A49" s="1"/>
      <c r="B49" s="1">
        <v>1392</v>
      </c>
      <c r="C49" s="2" t="s">
        <v>138</v>
      </c>
      <c r="D49" s="1" t="s">
        <v>139</v>
      </c>
      <c r="E49" s="3" t="s">
        <v>21</v>
      </c>
      <c r="F49" s="4">
        <v>28886</v>
      </c>
      <c r="G49" s="5">
        <v>45748</v>
      </c>
      <c r="H49" s="6" t="s">
        <v>135</v>
      </c>
      <c r="I49" s="1" t="s">
        <v>0</v>
      </c>
      <c r="J49" s="7"/>
      <c r="K49" s="15" t="s">
        <v>149</v>
      </c>
      <c r="L49" t="s">
        <v>153</v>
      </c>
      <c r="M49" t="s">
        <v>13</v>
      </c>
      <c r="N49" t="str">
        <f t="shared" si="1"/>
        <v>https://api.bcb.gov.br/dados/serie/bcdata.sgs.1392/dados?formato=json</v>
      </c>
      <c r="O49">
        <v>2</v>
      </c>
      <c r="P49" t="s">
        <v>79</v>
      </c>
      <c r="Q49" t="s">
        <v>79</v>
      </c>
      <c r="R49" t="s">
        <v>138</v>
      </c>
      <c r="S49" t="s">
        <v>93</v>
      </c>
    </row>
    <row r="50" spans="1:19" x14ac:dyDescent="0.25">
      <c r="A50" s="8"/>
      <c r="B50" s="8">
        <v>1393</v>
      </c>
      <c r="C50" s="9" t="s">
        <v>140</v>
      </c>
      <c r="D50" s="8" t="s">
        <v>134</v>
      </c>
      <c r="E50" s="10" t="s">
        <v>21</v>
      </c>
      <c r="F50" s="11">
        <v>28886</v>
      </c>
      <c r="G50" s="12">
        <v>45748</v>
      </c>
      <c r="H50" s="13" t="s">
        <v>135</v>
      </c>
      <c r="I50" s="8" t="s">
        <v>0</v>
      </c>
      <c r="J50" s="14"/>
      <c r="K50" s="15" t="s">
        <v>149</v>
      </c>
      <c r="L50" t="s">
        <v>157</v>
      </c>
      <c r="M50" t="s">
        <v>13</v>
      </c>
      <c r="N50" t="str">
        <f t="shared" si="1"/>
        <v>https://api.bcb.gov.br/dados/serie/bcdata.sgs.1393/dados?formato=json</v>
      </c>
      <c r="O50">
        <v>2</v>
      </c>
      <c r="P50" t="s">
        <v>79</v>
      </c>
      <c r="Q50" t="s">
        <v>79</v>
      </c>
      <c r="R50" t="s">
        <v>140</v>
      </c>
      <c r="S50" t="s">
        <v>155</v>
      </c>
    </row>
    <row r="51" spans="1:19" x14ac:dyDescent="0.25">
      <c r="A51" s="1"/>
      <c r="B51" s="1">
        <v>1394</v>
      </c>
      <c r="C51" s="2" t="s">
        <v>141</v>
      </c>
      <c r="D51" s="1" t="s">
        <v>134</v>
      </c>
      <c r="E51" s="3" t="s">
        <v>21</v>
      </c>
      <c r="F51" s="4">
        <v>28886</v>
      </c>
      <c r="G51" s="5">
        <v>45748</v>
      </c>
      <c r="H51" s="6" t="s">
        <v>135</v>
      </c>
      <c r="I51" s="1" t="s">
        <v>0</v>
      </c>
      <c r="J51" s="7"/>
      <c r="K51" s="15" t="s">
        <v>149</v>
      </c>
      <c r="L51" t="s">
        <v>158</v>
      </c>
      <c r="M51" t="s">
        <v>13</v>
      </c>
      <c r="N51" t="str">
        <f t="shared" si="1"/>
        <v>https://api.bcb.gov.br/dados/serie/bcdata.sgs.1394/dados?formato=json</v>
      </c>
      <c r="O51">
        <v>2</v>
      </c>
      <c r="P51" t="s">
        <v>79</v>
      </c>
      <c r="Q51" t="s">
        <v>79</v>
      </c>
      <c r="R51" t="s">
        <v>141</v>
      </c>
      <c r="S51" t="s">
        <v>155</v>
      </c>
    </row>
    <row r="52" spans="1:19" x14ac:dyDescent="0.25">
      <c r="A52" s="8"/>
      <c r="B52" s="8">
        <v>1395</v>
      </c>
      <c r="C52" s="9" t="s">
        <v>142</v>
      </c>
      <c r="D52" s="8" t="s">
        <v>134</v>
      </c>
      <c r="E52" s="10" t="s">
        <v>21</v>
      </c>
      <c r="F52" s="11">
        <v>28886</v>
      </c>
      <c r="G52" s="12">
        <v>45748</v>
      </c>
      <c r="H52" s="13" t="s">
        <v>135</v>
      </c>
      <c r="I52" s="8" t="s">
        <v>0</v>
      </c>
      <c r="J52" s="14"/>
      <c r="K52" s="15" t="s">
        <v>149</v>
      </c>
      <c r="L52" t="s">
        <v>159</v>
      </c>
      <c r="M52" t="s">
        <v>13</v>
      </c>
      <c r="N52" t="str">
        <f t="shared" si="1"/>
        <v>https://api.bcb.gov.br/dados/serie/bcdata.sgs.1395/dados?formato=json</v>
      </c>
      <c r="O52">
        <v>2</v>
      </c>
      <c r="P52" t="s">
        <v>79</v>
      </c>
      <c r="Q52" t="s">
        <v>79</v>
      </c>
      <c r="R52" t="s">
        <v>142</v>
      </c>
      <c r="S52" t="s">
        <v>155</v>
      </c>
    </row>
    <row r="53" spans="1:19" x14ac:dyDescent="0.25">
      <c r="A53" s="1"/>
      <c r="B53" s="1">
        <v>1396</v>
      </c>
      <c r="C53" s="2" t="s">
        <v>143</v>
      </c>
      <c r="D53" s="1" t="s">
        <v>134</v>
      </c>
      <c r="E53" s="3" t="s">
        <v>21</v>
      </c>
      <c r="F53" s="4">
        <v>28886</v>
      </c>
      <c r="G53" s="5">
        <v>45748</v>
      </c>
      <c r="H53" s="6" t="s">
        <v>135</v>
      </c>
      <c r="I53" s="1" t="s">
        <v>0</v>
      </c>
      <c r="J53" s="7"/>
      <c r="K53" s="15" t="s">
        <v>149</v>
      </c>
      <c r="L53" t="s">
        <v>160</v>
      </c>
      <c r="M53" t="s">
        <v>13</v>
      </c>
      <c r="N53" t="str">
        <f t="shared" si="1"/>
        <v>https://api.bcb.gov.br/dados/serie/bcdata.sgs.1396/dados?formato=json</v>
      </c>
      <c r="O53">
        <v>2</v>
      </c>
      <c r="P53" t="s">
        <v>79</v>
      </c>
      <c r="Q53" t="s">
        <v>79</v>
      </c>
      <c r="R53" t="s">
        <v>143</v>
      </c>
      <c r="S53" t="s">
        <v>155</v>
      </c>
    </row>
    <row r="54" spans="1:19" x14ac:dyDescent="0.25">
      <c r="A54" s="8"/>
      <c r="B54" s="8">
        <v>1397</v>
      </c>
      <c r="C54" s="9" t="s">
        <v>144</v>
      </c>
      <c r="D54" s="8" t="s">
        <v>134</v>
      </c>
      <c r="E54" s="10" t="s">
        <v>21</v>
      </c>
      <c r="F54" s="11">
        <v>28886</v>
      </c>
      <c r="G54" s="12">
        <v>45748</v>
      </c>
      <c r="H54" s="13" t="s">
        <v>135</v>
      </c>
      <c r="I54" s="8" t="s">
        <v>0</v>
      </c>
      <c r="J54" s="14"/>
      <c r="K54" s="15" t="s">
        <v>149</v>
      </c>
      <c r="L54" t="s">
        <v>161</v>
      </c>
      <c r="M54" t="s">
        <v>13</v>
      </c>
      <c r="N54" t="str">
        <f t="shared" si="1"/>
        <v>https://api.bcb.gov.br/dados/serie/bcdata.sgs.1397/dados?formato=json</v>
      </c>
      <c r="O54">
        <v>2</v>
      </c>
      <c r="P54" t="s">
        <v>79</v>
      </c>
      <c r="Q54" t="s">
        <v>79</v>
      </c>
      <c r="R54" t="s">
        <v>144</v>
      </c>
      <c r="S54" t="s">
        <v>155</v>
      </c>
    </row>
    <row r="55" spans="1:19" x14ac:dyDescent="0.25">
      <c r="A55" s="1"/>
      <c r="B55" s="1">
        <v>1398</v>
      </c>
      <c r="C55" s="2" t="s">
        <v>145</v>
      </c>
      <c r="D55" s="1" t="s">
        <v>134</v>
      </c>
      <c r="E55" s="3" t="s">
        <v>21</v>
      </c>
      <c r="F55" s="4">
        <v>28886</v>
      </c>
      <c r="G55" s="5">
        <v>45748</v>
      </c>
      <c r="H55" s="6" t="s">
        <v>135</v>
      </c>
      <c r="I55" s="1" t="s">
        <v>0</v>
      </c>
      <c r="J55" s="7"/>
      <c r="K55" s="15" t="s">
        <v>149</v>
      </c>
      <c r="L55" t="s">
        <v>162</v>
      </c>
      <c r="M55" t="s">
        <v>13</v>
      </c>
      <c r="N55" t="str">
        <f t="shared" si="1"/>
        <v>https://api.bcb.gov.br/dados/serie/bcdata.sgs.1398/dados?formato=json</v>
      </c>
      <c r="O55">
        <v>2</v>
      </c>
      <c r="P55" t="s">
        <v>79</v>
      </c>
      <c r="Q55" t="s">
        <v>79</v>
      </c>
      <c r="R55" t="s">
        <v>145</v>
      </c>
      <c r="S55" t="s">
        <v>155</v>
      </c>
    </row>
    <row r="56" spans="1:19" x14ac:dyDescent="0.25">
      <c r="A56" s="8"/>
      <c r="B56" s="8">
        <v>1399</v>
      </c>
      <c r="C56" s="9" t="s">
        <v>146</v>
      </c>
      <c r="D56" s="8" t="s">
        <v>134</v>
      </c>
      <c r="E56" s="10" t="s">
        <v>21</v>
      </c>
      <c r="F56" s="11">
        <v>28886</v>
      </c>
      <c r="G56" s="12">
        <v>45748</v>
      </c>
      <c r="H56" s="13" t="s">
        <v>135</v>
      </c>
      <c r="I56" s="8" t="s">
        <v>0</v>
      </c>
      <c r="J56" s="14"/>
      <c r="K56" s="15" t="s">
        <v>149</v>
      </c>
      <c r="L56" t="s">
        <v>163</v>
      </c>
      <c r="M56" t="s">
        <v>13</v>
      </c>
      <c r="N56" t="str">
        <f t="shared" si="1"/>
        <v>https://api.bcb.gov.br/dados/serie/bcdata.sgs.1399/dados?formato=json</v>
      </c>
      <c r="O56">
        <v>2</v>
      </c>
      <c r="P56" t="s">
        <v>79</v>
      </c>
      <c r="Q56" t="s">
        <v>79</v>
      </c>
      <c r="R56" t="s">
        <v>146</v>
      </c>
      <c r="S56" t="s">
        <v>155</v>
      </c>
    </row>
    <row r="57" spans="1:19" x14ac:dyDescent="0.25">
      <c r="A57" s="1"/>
      <c r="B57" s="1">
        <v>1400</v>
      </c>
      <c r="C57" s="2" t="s">
        <v>147</v>
      </c>
      <c r="D57" s="1" t="s">
        <v>134</v>
      </c>
      <c r="E57" s="3" t="s">
        <v>21</v>
      </c>
      <c r="F57" s="4">
        <v>28886</v>
      </c>
      <c r="G57" s="5">
        <v>45748</v>
      </c>
      <c r="H57" s="6" t="s">
        <v>135</v>
      </c>
      <c r="I57" s="1" t="s">
        <v>0</v>
      </c>
      <c r="J57" s="7"/>
      <c r="K57" s="15" t="s">
        <v>149</v>
      </c>
      <c r="L57" t="s">
        <v>164</v>
      </c>
      <c r="M57" t="s">
        <v>13</v>
      </c>
      <c r="N57" t="str">
        <f t="shared" si="1"/>
        <v>https://api.bcb.gov.br/dados/serie/bcdata.sgs.1400/dados?formato=json</v>
      </c>
      <c r="O57">
        <v>2</v>
      </c>
      <c r="P57" t="s">
        <v>79</v>
      </c>
      <c r="Q57" t="s">
        <v>79</v>
      </c>
      <c r="R57" t="s">
        <v>147</v>
      </c>
      <c r="S57" t="s">
        <v>155</v>
      </c>
    </row>
    <row r="58" spans="1:19" x14ac:dyDescent="0.25">
      <c r="A58" s="8"/>
      <c r="B58" s="8">
        <v>1401</v>
      </c>
      <c r="C58" s="9" t="s">
        <v>148</v>
      </c>
      <c r="D58" s="8" t="s">
        <v>134</v>
      </c>
      <c r="E58" s="10" t="s">
        <v>21</v>
      </c>
      <c r="F58" s="11">
        <v>28886</v>
      </c>
      <c r="G58" s="12">
        <v>45748</v>
      </c>
      <c r="H58" s="13" t="s">
        <v>135</v>
      </c>
      <c r="I58" s="8" t="s">
        <v>0</v>
      </c>
      <c r="J58" s="14"/>
      <c r="K58" s="15" t="s">
        <v>149</v>
      </c>
      <c r="L58" t="s">
        <v>165</v>
      </c>
      <c r="M58" t="s">
        <v>13</v>
      </c>
      <c r="N58" t="str">
        <f t="shared" si="1"/>
        <v>https://api.bcb.gov.br/dados/serie/bcdata.sgs.1401/dados?formato=json</v>
      </c>
      <c r="O58">
        <v>2</v>
      </c>
      <c r="P58" t="s">
        <v>79</v>
      </c>
      <c r="Q58" t="s">
        <v>79</v>
      </c>
      <c r="R58" t="s">
        <v>148</v>
      </c>
      <c r="S58" t="s">
        <v>155</v>
      </c>
    </row>
    <row r="59" spans="1:19" x14ac:dyDescent="0.25">
      <c r="C59" t="s">
        <v>166</v>
      </c>
      <c r="D59" t="s">
        <v>167</v>
      </c>
      <c r="E59" t="s">
        <v>21</v>
      </c>
      <c r="K59" s="15" t="s">
        <v>78</v>
      </c>
      <c r="L59" t="s">
        <v>168</v>
      </c>
      <c r="M59" t="s">
        <v>169</v>
      </c>
      <c r="N59" t="s">
        <v>170</v>
      </c>
      <c r="O59">
        <v>2</v>
      </c>
      <c r="P59" t="s">
        <v>79</v>
      </c>
      <c r="Q59" t="s">
        <v>79</v>
      </c>
      <c r="R59" t="s">
        <v>271</v>
      </c>
      <c r="S59" t="s">
        <v>270</v>
      </c>
    </row>
    <row r="60" spans="1:19" x14ac:dyDescent="0.25">
      <c r="C60" t="s">
        <v>171</v>
      </c>
      <c r="D60" t="s">
        <v>167</v>
      </c>
      <c r="E60" t="s">
        <v>21</v>
      </c>
      <c r="K60" t="s">
        <v>267</v>
      </c>
      <c r="L60" t="s">
        <v>172</v>
      </c>
      <c r="M60" t="s">
        <v>169</v>
      </c>
      <c r="N60" t="s">
        <v>173</v>
      </c>
      <c r="O60">
        <v>2</v>
      </c>
      <c r="P60" t="s">
        <v>79</v>
      </c>
      <c r="Q60" t="s">
        <v>79</v>
      </c>
      <c r="R60" t="s">
        <v>268</v>
      </c>
      <c r="S60" t="s">
        <v>93</v>
      </c>
    </row>
    <row r="61" spans="1:19" x14ac:dyDescent="0.25">
      <c r="C61" t="s">
        <v>171</v>
      </c>
      <c r="D61" t="s">
        <v>167</v>
      </c>
      <c r="E61" t="s">
        <v>174</v>
      </c>
      <c r="K61" t="s">
        <v>267</v>
      </c>
      <c r="L61" t="s">
        <v>172</v>
      </c>
      <c r="M61" t="s">
        <v>169</v>
      </c>
      <c r="N61" t="s">
        <v>175</v>
      </c>
      <c r="O61">
        <v>2</v>
      </c>
      <c r="P61" t="s">
        <v>79</v>
      </c>
      <c r="Q61" t="s">
        <v>79</v>
      </c>
      <c r="R61" t="s">
        <v>269</v>
      </c>
      <c r="S61" t="s">
        <v>93</v>
      </c>
    </row>
    <row r="62" spans="1:19" x14ac:dyDescent="0.25">
      <c r="C62" t="s">
        <v>176</v>
      </c>
      <c r="D62" t="s">
        <v>33</v>
      </c>
      <c r="E62" t="s">
        <v>21</v>
      </c>
      <c r="K62" s="15" t="s">
        <v>82</v>
      </c>
      <c r="L62" t="s">
        <v>321</v>
      </c>
      <c r="M62" t="s">
        <v>169</v>
      </c>
      <c r="N62" t="s">
        <v>177</v>
      </c>
      <c r="O62">
        <v>2</v>
      </c>
      <c r="P62" t="s">
        <v>79</v>
      </c>
      <c r="Q62" t="s">
        <v>79</v>
      </c>
      <c r="R62" t="s">
        <v>277</v>
      </c>
      <c r="S62" t="s">
        <v>100</v>
      </c>
    </row>
    <row r="63" spans="1:19" x14ac:dyDescent="0.25">
      <c r="C63" t="s">
        <v>178</v>
      </c>
      <c r="D63" t="s">
        <v>33</v>
      </c>
      <c r="E63" t="s">
        <v>21</v>
      </c>
      <c r="K63" s="15" t="s">
        <v>82</v>
      </c>
      <c r="L63" t="s">
        <v>321</v>
      </c>
      <c r="M63" t="s">
        <v>169</v>
      </c>
      <c r="N63" t="s">
        <v>179</v>
      </c>
      <c r="O63">
        <v>2</v>
      </c>
      <c r="P63" t="s">
        <v>79</v>
      </c>
      <c r="Q63" t="s">
        <v>79</v>
      </c>
      <c r="R63" t="s">
        <v>278</v>
      </c>
      <c r="S63" t="s">
        <v>100</v>
      </c>
    </row>
    <row r="64" spans="1:19" x14ac:dyDescent="0.25">
      <c r="C64" t="s">
        <v>180</v>
      </c>
      <c r="D64" t="s">
        <v>24</v>
      </c>
      <c r="E64" t="s">
        <v>21</v>
      </c>
      <c r="K64" s="15" t="s">
        <v>78</v>
      </c>
      <c r="L64" t="s">
        <v>319</v>
      </c>
      <c r="M64" t="s">
        <v>169</v>
      </c>
      <c r="N64" t="s">
        <v>181</v>
      </c>
      <c r="O64">
        <v>2</v>
      </c>
      <c r="P64" t="s">
        <v>79</v>
      </c>
      <c r="Q64" t="s">
        <v>79</v>
      </c>
      <c r="R64" t="s">
        <v>286</v>
      </c>
      <c r="S64" t="s">
        <v>290</v>
      </c>
    </row>
    <row r="65" spans="3:19" x14ac:dyDescent="0.25">
      <c r="C65" t="s">
        <v>182</v>
      </c>
      <c r="D65" t="s">
        <v>24</v>
      </c>
      <c r="E65" t="s">
        <v>21</v>
      </c>
      <c r="K65" s="15" t="s">
        <v>78</v>
      </c>
      <c r="L65" t="s">
        <v>320</v>
      </c>
      <c r="M65" t="s">
        <v>169</v>
      </c>
      <c r="N65" t="s">
        <v>183</v>
      </c>
      <c r="O65">
        <v>2</v>
      </c>
      <c r="P65" t="s">
        <v>79</v>
      </c>
      <c r="Q65" t="s">
        <v>79</v>
      </c>
      <c r="R65" t="s">
        <v>288</v>
      </c>
      <c r="S65" t="s">
        <v>290</v>
      </c>
    </row>
    <row r="66" spans="3:19" x14ac:dyDescent="0.25">
      <c r="C66" t="s">
        <v>184</v>
      </c>
      <c r="D66" t="s">
        <v>24</v>
      </c>
      <c r="E66" t="s">
        <v>21</v>
      </c>
      <c r="K66" s="15" t="s">
        <v>78</v>
      </c>
      <c r="L66" t="s">
        <v>320</v>
      </c>
      <c r="M66" t="s">
        <v>169</v>
      </c>
      <c r="N66" t="s">
        <v>185</v>
      </c>
      <c r="O66">
        <v>2</v>
      </c>
      <c r="P66" t="s">
        <v>79</v>
      </c>
      <c r="Q66" t="s">
        <v>79</v>
      </c>
      <c r="R66" t="s">
        <v>289</v>
      </c>
      <c r="S66" t="s">
        <v>290</v>
      </c>
    </row>
    <row r="67" spans="3:19" x14ac:dyDescent="0.25">
      <c r="C67" t="s">
        <v>186</v>
      </c>
      <c r="D67" t="s">
        <v>33</v>
      </c>
      <c r="E67" t="s">
        <v>21</v>
      </c>
      <c r="K67" s="15" t="s">
        <v>82</v>
      </c>
      <c r="L67" t="s">
        <v>279</v>
      </c>
      <c r="M67" t="s">
        <v>169</v>
      </c>
      <c r="N67" t="s">
        <v>187</v>
      </c>
      <c r="O67">
        <v>2</v>
      </c>
      <c r="P67" t="s">
        <v>79</v>
      </c>
      <c r="Q67" t="s">
        <v>79</v>
      </c>
      <c r="R67" t="s">
        <v>292</v>
      </c>
      <c r="S67" t="s">
        <v>100</v>
      </c>
    </row>
    <row r="68" spans="3:19" x14ac:dyDescent="0.25">
      <c r="C68" t="s">
        <v>188</v>
      </c>
      <c r="D68" t="s">
        <v>338</v>
      </c>
      <c r="E68" t="s">
        <v>21</v>
      </c>
      <c r="K68" s="15" t="s">
        <v>78</v>
      </c>
      <c r="L68" t="s">
        <v>280</v>
      </c>
      <c r="M68" t="s">
        <v>169</v>
      </c>
      <c r="N68" t="s">
        <v>189</v>
      </c>
      <c r="O68">
        <v>2</v>
      </c>
      <c r="P68" t="s">
        <v>79</v>
      </c>
      <c r="Q68" t="s">
        <v>79</v>
      </c>
      <c r="R68" t="s">
        <v>294</v>
      </c>
      <c r="S68" t="s">
        <v>293</v>
      </c>
    </row>
    <row r="69" spans="3:19" x14ac:dyDescent="0.25">
      <c r="C69" t="s">
        <v>190</v>
      </c>
      <c r="D69" t="s">
        <v>338</v>
      </c>
      <c r="E69" t="s">
        <v>21</v>
      </c>
      <c r="K69" s="15" t="s">
        <v>78</v>
      </c>
      <c r="L69" t="s">
        <v>281</v>
      </c>
      <c r="M69" t="s">
        <v>169</v>
      </c>
      <c r="N69" t="s">
        <v>191</v>
      </c>
      <c r="O69">
        <v>2</v>
      </c>
      <c r="P69" t="s">
        <v>79</v>
      </c>
      <c r="Q69" t="s">
        <v>79</v>
      </c>
      <c r="R69" t="s">
        <v>295</v>
      </c>
      <c r="S69" t="s">
        <v>293</v>
      </c>
    </row>
    <row r="70" spans="3:19" x14ac:dyDescent="0.25">
      <c r="C70" t="s">
        <v>192</v>
      </c>
      <c r="D70" t="s">
        <v>338</v>
      </c>
      <c r="E70" t="s">
        <v>21</v>
      </c>
      <c r="K70" s="15" t="s">
        <v>78</v>
      </c>
      <c r="L70" t="s">
        <v>282</v>
      </c>
      <c r="M70" t="s">
        <v>169</v>
      </c>
      <c r="N70" t="s">
        <v>193</v>
      </c>
      <c r="O70">
        <v>2</v>
      </c>
      <c r="P70" t="s">
        <v>79</v>
      </c>
      <c r="Q70" t="s">
        <v>79</v>
      </c>
      <c r="R70" t="s">
        <v>296</v>
      </c>
      <c r="S70" t="s">
        <v>293</v>
      </c>
    </row>
    <row r="71" spans="3:19" x14ac:dyDescent="0.25">
      <c r="C71" t="s">
        <v>194</v>
      </c>
      <c r="D71" t="s">
        <v>195</v>
      </c>
      <c r="E71" t="s">
        <v>21</v>
      </c>
      <c r="K71" t="s">
        <v>297</v>
      </c>
      <c r="L71" t="s">
        <v>196</v>
      </c>
      <c r="M71" t="s">
        <v>169</v>
      </c>
      <c r="N71" t="s">
        <v>197</v>
      </c>
      <c r="O71">
        <v>2</v>
      </c>
      <c r="P71" t="s">
        <v>79</v>
      </c>
      <c r="Q71" t="s">
        <v>79</v>
      </c>
      <c r="R71" t="s">
        <v>298</v>
      </c>
      <c r="S71" t="s">
        <v>287</v>
      </c>
    </row>
    <row r="72" spans="3:19" x14ac:dyDescent="0.25">
      <c r="C72" t="s">
        <v>198</v>
      </c>
      <c r="D72" t="s">
        <v>195</v>
      </c>
      <c r="E72" t="s">
        <v>21</v>
      </c>
      <c r="K72" t="s">
        <v>297</v>
      </c>
      <c r="L72" t="s">
        <v>199</v>
      </c>
      <c r="M72" t="s">
        <v>169</v>
      </c>
      <c r="N72" t="s">
        <v>200</v>
      </c>
      <c r="O72">
        <v>2</v>
      </c>
      <c r="P72" t="s">
        <v>79</v>
      </c>
      <c r="Q72" t="s">
        <v>79</v>
      </c>
      <c r="R72" t="s">
        <v>300</v>
      </c>
      <c r="S72" t="s">
        <v>287</v>
      </c>
    </row>
    <row r="73" spans="3:19" x14ac:dyDescent="0.25">
      <c r="C73" t="s">
        <v>201</v>
      </c>
      <c r="D73" t="s">
        <v>167</v>
      </c>
      <c r="E73" t="s">
        <v>174</v>
      </c>
      <c r="K73" t="s">
        <v>302</v>
      </c>
      <c r="L73" t="s">
        <v>283</v>
      </c>
      <c r="M73" t="s">
        <v>169</v>
      </c>
      <c r="N73" t="s">
        <v>202</v>
      </c>
      <c r="O73">
        <v>2</v>
      </c>
      <c r="P73" t="s">
        <v>79</v>
      </c>
      <c r="Q73" t="s">
        <v>79</v>
      </c>
      <c r="R73" t="s">
        <v>301</v>
      </c>
      <c r="S73" t="s">
        <v>303</v>
      </c>
    </row>
    <row r="74" spans="3:19" x14ac:dyDescent="0.25">
      <c r="C74" t="s">
        <v>203</v>
      </c>
      <c r="D74" t="s">
        <v>167</v>
      </c>
      <c r="E74" t="s">
        <v>174</v>
      </c>
      <c r="K74" t="s">
        <v>302</v>
      </c>
      <c r="L74" t="s">
        <v>284</v>
      </c>
      <c r="M74" t="s">
        <v>169</v>
      </c>
      <c r="N74" t="s">
        <v>204</v>
      </c>
      <c r="O74">
        <v>2</v>
      </c>
      <c r="P74" t="s">
        <v>79</v>
      </c>
      <c r="Q74" t="s">
        <v>79</v>
      </c>
      <c r="R74" t="s">
        <v>272</v>
      </c>
      <c r="S74" t="s">
        <v>303</v>
      </c>
    </row>
    <row r="75" spans="3:19" x14ac:dyDescent="0.25">
      <c r="C75" t="s">
        <v>205</v>
      </c>
      <c r="D75" t="s">
        <v>206</v>
      </c>
      <c r="E75" t="s">
        <v>174</v>
      </c>
      <c r="K75" t="s">
        <v>302</v>
      </c>
      <c r="L75" t="s">
        <v>207</v>
      </c>
      <c r="M75" t="s">
        <v>169</v>
      </c>
      <c r="N75" t="s">
        <v>208</v>
      </c>
      <c r="O75">
        <v>2</v>
      </c>
      <c r="P75" t="s">
        <v>79</v>
      </c>
      <c r="Q75" t="s">
        <v>79</v>
      </c>
      <c r="R75" t="s">
        <v>273</v>
      </c>
      <c r="S75" t="s">
        <v>304</v>
      </c>
    </row>
    <row r="76" spans="3:19" x14ac:dyDescent="0.25">
      <c r="C76" t="s">
        <v>209</v>
      </c>
      <c r="D76" t="s">
        <v>206</v>
      </c>
      <c r="E76" t="s">
        <v>174</v>
      </c>
      <c r="K76" t="s">
        <v>302</v>
      </c>
      <c r="L76" t="s">
        <v>210</v>
      </c>
      <c r="M76" t="s">
        <v>169</v>
      </c>
      <c r="N76" t="s">
        <v>211</v>
      </c>
      <c r="O76">
        <v>2</v>
      </c>
      <c r="P76" t="s">
        <v>79</v>
      </c>
      <c r="Q76" t="s">
        <v>79</v>
      </c>
      <c r="R76" t="s">
        <v>274</v>
      </c>
      <c r="S76" t="s">
        <v>304</v>
      </c>
    </row>
    <row r="77" spans="3:19" x14ac:dyDescent="0.25">
      <c r="C77" t="s">
        <v>212</v>
      </c>
      <c r="D77" t="s">
        <v>206</v>
      </c>
      <c r="E77" t="s">
        <v>174</v>
      </c>
      <c r="K77" t="s">
        <v>302</v>
      </c>
      <c r="L77" t="s">
        <v>207</v>
      </c>
      <c r="M77" t="s">
        <v>169</v>
      </c>
      <c r="N77" t="s">
        <v>213</v>
      </c>
      <c r="O77">
        <v>2</v>
      </c>
      <c r="P77" t="s">
        <v>79</v>
      </c>
      <c r="Q77" t="s">
        <v>79</v>
      </c>
      <c r="R77" t="s">
        <v>275</v>
      </c>
      <c r="S77" t="s">
        <v>304</v>
      </c>
    </row>
    <row r="78" spans="3:19" x14ac:dyDescent="0.25">
      <c r="C78" t="s">
        <v>214</v>
      </c>
      <c r="D78" t="s">
        <v>206</v>
      </c>
      <c r="E78" t="s">
        <v>174</v>
      </c>
      <c r="K78" t="s">
        <v>302</v>
      </c>
      <c r="L78" t="s">
        <v>207</v>
      </c>
      <c r="M78" t="s">
        <v>169</v>
      </c>
      <c r="N78" t="s">
        <v>215</v>
      </c>
      <c r="O78">
        <v>2</v>
      </c>
      <c r="P78" t="s">
        <v>79</v>
      </c>
      <c r="Q78" t="s">
        <v>79</v>
      </c>
      <c r="R78" t="s">
        <v>276</v>
      </c>
      <c r="S78" t="s">
        <v>304</v>
      </c>
    </row>
    <row r="79" spans="3:19" x14ac:dyDescent="0.25">
      <c r="C79" t="s">
        <v>216</v>
      </c>
      <c r="D79" t="s">
        <v>322</v>
      </c>
      <c r="E79" t="s">
        <v>21</v>
      </c>
      <c r="K79" t="s">
        <v>305</v>
      </c>
      <c r="L79" t="s">
        <v>285</v>
      </c>
      <c r="M79" t="s">
        <v>169</v>
      </c>
      <c r="N79" t="s">
        <v>217</v>
      </c>
      <c r="O79">
        <v>2</v>
      </c>
      <c r="P79" t="s">
        <v>79</v>
      </c>
      <c r="Q79" t="s">
        <v>79</v>
      </c>
      <c r="R79" t="s">
        <v>308</v>
      </c>
      <c r="S79" t="s">
        <v>306</v>
      </c>
    </row>
    <row r="80" spans="3:19" x14ac:dyDescent="0.25">
      <c r="C80" t="s">
        <v>218</v>
      </c>
      <c r="D80" t="s">
        <v>322</v>
      </c>
      <c r="E80" t="s">
        <v>21</v>
      </c>
      <c r="K80" t="s">
        <v>305</v>
      </c>
      <c r="L80" t="s">
        <v>285</v>
      </c>
      <c r="M80" t="s">
        <v>169</v>
      </c>
      <c r="N80" t="s">
        <v>219</v>
      </c>
      <c r="O80">
        <v>2</v>
      </c>
      <c r="P80" t="s">
        <v>79</v>
      </c>
      <c r="Q80" t="s">
        <v>79</v>
      </c>
      <c r="R80" t="s">
        <v>309</v>
      </c>
      <c r="S80" t="s">
        <v>306</v>
      </c>
    </row>
    <row r="81" spans="3:19" x14ac:dyDescent="0.25">
      <c r="C81" t="s">
        <v>220</v>
      </c>
      <c r="D81" t="s">
        <v>322</v>
      </c>
      <c r="E81" t="s">
        <v>21</v>
      </c>
      <c r="K81" t="s">
        <v>305</v>
      </c>
      <c r="L81" t="s">
        <v>285</v>
      </c>
      <c r="M81" t="s">
        <v>169</v>
      </c>
      <c r="N81" t="s">
        <v>221</v>
      </c>
      <c r="O81">
        <v>2</v>
      </c>
      <c r="P81" t="s">
        <v>79</v>
      </c>
      <c r="Q81" t="s">
        <v>79</v>
      </c>
      <c r="R81" t="s">
        <v>310</v>
      </c>
      <c r="S81" t="s">
        <v>306</v>
      </c>
    </row>
    <row r="82" spans="3:19" x14ac:dyDescent="0.25">
      <c r="C82" t="s">
        <v>222</v>
      </c>
      <c r="D82" t="s">
        <v>322</v>
      </c>
      <c r="E82" t="s">
        <v>21</v>
      </c>
      <c r="K82" t="s">
        <v>305</v>
      </c>
      <c r="L82" t="s">
        <v>285</v>
      </c>
      <c r="M82" t="s">
        <v>169</v>
      </c>
      <c r="N82" t="s">
        <v>223</v>
      </c>
      <c r="O82">
        <v>2</v>
      </c>
      <c r="P82" t="s">
        <v>79</v>
      </c>
      <c r="Q82" t="s">
        <v>79</v>
      </c>
      <c r="R82" t="s">
        <v>311</v>
      </c>
      <c r="S82" t="s">
        <v>306</v>
      </c>
    </row>
    <row r="83" spans="3:19" x14ac:dyDescent="0.25">
      <c r="C83" t="s">
        <v>224</v>
      </c>
      <c r="D83" t="s">
        <v>322</v>
      </c>
      <c r="E83" t="s">
        <v>21</v>
      </c>
      <c r="K83" t="s">
        <v>305</v>
      </c>
      <c r="L83" t="s">
        <v>285</v>
      </c>
      <c r="M83" t="s">
        <v>169</v>
      </c>
      <c r="N83" t="s">
        <v>225</v>
      </c>
      <c r="O83">
        <v>2</v>
      </c>
      <c r="P83" t="s">
        <v>79</v>
      </c>
      <c r="Q83" t="s">
        <v>79</v>
      </c>
      <c r="R83" t="s">
        <v>309</v>
      </c>
      <c r="S83" t="s">
        <v>307</v>
      </c>
    </row>
    <row r="84" spans="3:19" x14ac:dyDescent="0.25">
      <c r="C84" t="s">
        <v>226</v>
      </c>
      <c r="D84" t="s">
        <v>322</v>
      </c>
      <c r="E84" t="s">
        <v>21</v>
      </c>
      <c r="K84" t="s">
        <v>305</v>
      </c>
      <c r="L84" t="s">
        <v>285</v>
      </c>
      <c r="M84" t="s">
        <v>169</v>
      </c>
      <c r="N84" t="s">
        <v>227</v>
      </c>
      <c r="O84">
        <v>2</v>
      </c>
      <c r="P84" t="s">
        <v>79</v>
      </c>
      <c r="Q84" t="s">
        <v>79</v>
      </c>
      <c r="R84" t="s">
        <v>310</v>
      </c>
      <c r="S84" t="s">
        <v>307</v>
      </c>
    </row>
    <row r="85" spans="3:19" x14ac:dyDescent="0.25">
      <c r="C85" t="s">
        <v>228</v>
      </c>
      <c r="D85" t="s">
        <v>322</v>
      </c>
      <c r="E85" t="s">
        <v>21</v>
      </c>
      <c r="K85" t="s">
        <v>305</v>
      </c>
      <c r="L85" t="s">
        <v>285</v>
      </c>
      <c r="M85" t="s">
        <v>169</v>
      </c>
      <c r="N85" t="s">
        <v>229</v>
      </c>
      <c r="O85">
        <v>2</v>
      </c>
      <c r="P85" t="s">
        <v>79</v>
      </c>
      <c r="Q85" t="s">
        <v>79</v>
      </c>
      <c r="R85" t="s">
        <v>311</v>
      </c>
      <c r="S85" t="s">
        <v>307</v>
      </c>
    </row>
    <row r="86" spans="3:19" x14ac:dyDescent="0.25">
      <c r="C86" t="s">
        <v>216</v>
      </c>
      <c r="D86" t="s">
        <v>322</v>
      </c>
      <c r="E86" t="s">
        <v>174</v>
      </c>
      <c r="K86" t="s">
        <v>305</v>
      </c>
      <c r="L86" t="s">
        <v>285</v>
      </c>
      <c r="M86" t="s">
        <v>169</v>
      </c>
      <c r="N86" t="s">
        <v>230</v>
      </c>
      <c r="O86">
        <v>2</v>
      </c>
      <c r="P86" t="s">
        <v>79</v>
      </c>
      <c r="Q86" t="s">
        <v>79</v>
      </c>
      <c r="R86" t="s">
        <v>312</v>
      </c>
      <c r="S86" t="s">
        <v>306</v>
      </c>
    </row>
    <row r="87" spans="3:19" x14ac:dyDescent="0.25">
      <c r="C87" t="s">
        <v>218</v>
      </c>
      <c r="D87" t="s">
        <v>322</v>
      </c>
      <c r="E87" t="s">
        <v>174</v>
      </c>
      <c r="K87" t="s">
        <v>305</v>
      </c>
      <c r="L87" t="s">
        <v>285</v>
      </c>
      <c r="M87" t="s">
        <v>169</v>
      </c>
      <c r="N87" t="s">
        <v>231</v>
      </c>
      <c r="O87">
        <v>2</v>
      </c>
      <c r="P87" t="s">
        <v>79</v>
      </c>
      <c r="Q87" t="s">
        <v>79</v>
      </c>
      <c r="R87" t="s">
        <v>313</v>
      </c>
      <c r="S87" t="s">
        <v>306</v>
      </c>
    </row>
    <row r="88" spans="3:19" x14ac:dyDescent="0.25">
      <c r="C88" t="s">
        <v>220</v>
      </c>
      <c r="D88" t="s">
        <v>322</v>
      </c>
      <c r="E88" t="s">
        <v>174</v>
      </c>
      <c r="K88" t="s">
        <v>305</v>
      </c>
      <c r="L88" t="s">
        <v>285</v>
      </c>
      <c r="M88" t="s">
        <v>169</v>
      </c>
      <c r="N88" t="s">
        <v>232</v>
      </c>
      <c r="O88">
        <v>2</v>
      </c>
      <c r="P88" t="s">
        <v>79</v>
      </c>
      <c r="Q88" t="s">
        <v>79</v>
      </c>
      <c r="R88" t="s">
        <v>314</v>
      </c>
      <c r="S88" t="s">
        <v>306</v>
      </c>
    </row>
    <row r="89" spans="3:19" x14ac:dyDescent="0.25">
      <c r="C89" t="s">
        <v>222</v>
      </c>
      <c r="D89" t="s">
        <v>322</v>
      </c>
      <c r="E89" t="s">
        <v>174</v>
      </c>
      <c r="K89" t="s">
        <v>305</v>
      </c>
      <c r="L89" t="s">
        <v>285</v>
      </c>
      <c r="M89" t="s">
        <v>169</v>
      </c>
      <c r="N89" t="s">
        <v>233</v>
      </c>
      <c r="O89">
        <v>2</v>
      </c>
      <c r="P89" t="s">
        <v>79</v>
      </c>
      <c r="Q89" t="s">
        <v>79</v>
      </c>
      <c r="R89" t="s">
        <v>315</v>
      </c>
      <c r="S89" t="s">
        <v>306</v>
      </c>
    </row>
    <row r="90" spans="3:19" x14ac:dyDescent="0.25">
      <c r="C90" t="s">
        <v>228</v>
      </c>
      <c r="D90" t="s">
        <v>322</v>
      </c>
      <c r="E90" t="s">
        <v>174</v>
      </c>
      <c r="K90" t="s">
        <v>305</v>
      </c>
      <c r="L90" t="s">
        <v>285</v>
      </c>
      <c r="M90" t="s">
        <v>169</v>
      </c>
      <c r="N90" t="s">
        <v>234</v>
      </c>
      <c r="O90">
        <v>2</v>
      </c>
      <c r="P90" t="s">
        <v>79</v>
      </c>
      <c r="Q90" t="s">
        <v>79</v>
      </c>
      <c r="R90" t="s">
        <v>315</v>
      </c>
      <c r="S90" t="s">
        <v>307</v>
      </c>
    </row>
    <row r="91" spans="3:19" x14ac:dyDescent="0.25">
      <c r="C91" t="s">
        <v>235</v>
      </c>
      <c r="D91" t="s">
        <v>322</v>
      </c>
      <c r="E91" t="s">
        <v>21</v>
      </c>
      <c r="K91" t="s">
        <v>305</v>
      </c>
      <c r="L91" t="s">
        <v>285</v>
      </c>
      <c r="M91" t="s">
        <v>169</v>
      </c>
      <c r="N91" t="s">
        <v>236</v>
      </c>
      <c r="O91">
        <v>2</v>
      </c>
      <c r="P91" t="s">
        <v>79</v>
      </c>
      <c r="Q91" t="s">
        <v>79</v>
      </c>
      <c r="R91" t="s">
        <v>308</v>
      </c>
      <c r="S91" t="s">
        <v>307</v>
      </c>
    </row>
    <row r="92" spans="3:19" x14ac:dyDescent="0.25">
      <c r="C92" t="s">
        <v>235</v>
      </c>
      <c r="D92" t="s">
        <v>322</v>
      </c>
      <c r="E92" t="s">
        <v>174</v>
      </c>
      <c r="K92" t="s">
        <v>305</v>
      </c>
      <c r="L92" t="s">
        <v>285</v>
      </c>
      <c r="M92" t="s">
        <v>169</v>
      </c>
      <c r="N92" t="s">
        <v>237</v>
      </c>
      <c r="O92">
        <v>2</v>
      </c>
      <c r="P92" t="s">
        <v>79</v>
      </c>
      <c r="Q92" t="s">
        <v>79</v>
      </c>
      <c r="R92" t="s">
        <v>312</v>
      </c>
      <c r="S92" t="s">
        <v>307</v>
      </c>
    </row>
    <row r="93" spans="3:19" x14ac:dyDescent="0.25">
      <c r="C93" t="s">
        <v>224</v>
      </c>
      <c r="D93" t="s">
        <v>322</v>
      </c>
      <c r="E93" t="s">
        <v>174</v>
      </c>
      <c r="K93" t="s">
        <v>305</v>
      </c>
      <c r="L93" t="s">
        <v>285</v>
      </c>
      <c r="M93" t="s">
        <v>169</v>
      </c>
      <c r="N93" t="s">
        <v>238</v>
      </c>
      <c r="O93">
        <v>2</v>
      </c>
      <c r="P93" t="s">
        <v>79</v>
      </c>
      <c r="Q93" t="s">
        <v>79</v>
      </c>
      <c r="R93" t="s">
        <v>313</v>
      </c>
      <c r="S93" t="s">
        <v>307</v>
      </c>
    </row>
    <row r="94" spans="3:19" x14ac:dyDescent="0.25">
      <c r="C94" t="s">
        <v>226</v>
      </c>
      <c r="D94" t="s">
        <v>322</v>
      </c>
      <c r="E94" t="s">
        <v>174</v>
      </c>
      <c r="K94" t="s">
        <v>305</v>
      </c>
      <c r="L94" t="s">
        <v>285</v>
      </c>
      <c r="M94" t="s">
        <v>169</v>
      </c>
      <c r="N94" t="s">
        <v>239</v>
      </c>
      <c r="O94">
        <v>2</v>
      </c>
      <c r="P94" t="s">
        <v>79</v>
      </c>
      <c r="Q94" t="s">
        <v>79</v>
      </c>
      <c r="R94" t="s">
        <v>314</v>
      </c>
      <c r="S94" t="s">
        <v>307</v>
      </c>
    </row>
    <row r="95" spans="3:19" x14ac:dyDescent="0.25">
      <c r="C95" t="s">
        <v>240</v>
      </c>
      <c r="D95" t="s">
        <v>339</v>
      </c>
      <c r="E95" t="s">
        <v>35</v>
      </c>
      <c r="K95" t="s">
        <v>305</v>
      </c>
      <c r="L95" t="s">
        <v>285</v>
      </c>
      <c r="M95" t="s">
        <v>169</v>
      </c>
      <c r="N95" t="s">
        <v>241</v>
      </c>
      <c r="O95">
        <v>2</v>
      </c>
      <c r="P95" t="s">
        <v>79</v>
      </c>
      <c r="Q95" t="s">
        <v>79</v>
      </c>
      <c r="R95" t="s">
        <v>317</v>
      </c>
      <c r="S95" t="s">
        <v>316</v>
      </c>
    </row>
    <row r="96" spans="3:19" x14ac:dyDescent="0.25">
      <c r="C96" t="s">
        <v>240</v>
      </c>
      <c r="D96" t="s">
        <v>339</v>
      </c>
      <c r="E96" t="s">
        <v>174</v>
      </c>
      <c r="K96" t="s">
        <v>305</v>
      </c>
      <c r="L96" t="s">
        <v>285</v>
      </c>
      <c r="M96" t="s">
        <v>169</v>
      </c>
      <c r="N96" t="s">
        <v>242</v>
      </c>
      <c r="O96">
        <v>2</v>
      </c>
      <c r="P96" t="s">
        <v>79</v>
      </c>
      <c r="Q96" t="s">
        <v>79</v>
      </c>
      <c r="R96" t="s">
        <v>269</v>
      </c>
      <c r="S96" t="s">
        <v>316</v>
      </c>
    </row>
    <row r="97" spans="3:19" x14ac:dyDescent="0.25">
      <c r="C97" t="s">
        <v>243</v>
      </c>
      <c r="D97" t="s">
        <v>322</v>
      </c>
      <c r="E97" t="s">
        <v>21</v>
      </c>
      <c r="K97" t="s">
        <v>305</v>
      </c>
      <c r="L97" t="s">
        <v>285</v>
      </c>
      <c r="M97" t="s">
        <v>169</v>
      </c>
      <c r="N97" t="s">
        <v>244</v>
      </c>
      <c r="O97">
        <v>2</v>
      </c>
      <c r="P97" t="s">
        <v>79</v>
      </c>
      <c r="Q97" t="s">
        <v>79</v>
      </c>
      <c r="R97" t="s">
        <v>309</v>
      </c>
      <c r="S97" t="s">
        <v>318</v>
      </c>
    </row>
    <row r="98" spans="3:19" x14ac:dyDescent="0.25">
      <c r="C98" t="s">
        <v>245</v>
      </c>
      <c r="D98" t="s">
        <v>322</v>
      </c>
      <c r="E98" t="s">
        <v>21</v>
      </c>
      <c r="K98" t="s">
        <v>305</v>
      </c>
      <c r="L98" t="s">
        <v>285</v>
      </c>
      <c r="M98" t="s">
        <v>169</v>
      </c>
      <c r="N98" t="s">
        <v>246</v>
      </c>
      <c r="O98">
        <v>2</v>
      </c>
      <c r="P98" t="s">
        <v>79</v>
      </c>
      <c r="Q98" t="s">
        <v>79</v>
      </c>
      <c r="R98" t="s">
        <v>310</v>
      </c>
      <c r="S98" t="s">
        <v>318</v>
      </c>
    </row>
    <row r="99" spans="3:19" x14ac:dyDescent="0.25">
      <c r="C99" t="s">
        <v>247</v>
      </c>
      <c r="D99" t="s">
        <v>322</v>
      </c>
      <c r="E99" t="s">
        <v>21</v>
      </c>
      <c r="K99" t="s">
        <v>305</v>
      </c>
      <c r="L99" t="s">
        <v>285</v>
      </c>
      <c r="M99" t="s">
        <v>169</v>
      </c>
      <c r="N99" t="s">
        <v>248</v>
      </c>
      <c r="O99">
        <v>2</v>
      </c>
      <c r="P99" t="s">
        <v>79</v>
      </c>
      <c r="Q99" t="s">
        <v>79</v>
      </c>
      <c r="R99" t="s">
        <v>311</v>
      </c>
      <c r="S99" t="s">
        <v>318</v>
      </c>
    </row>
    <row r="100" spans="3:19" x14ac:dyDescent="0.25">
      <c r="C100" t="s">
        <v>249</v>
      </c>
      <c r="D100" t="s">
        <v>322</v>
      </c>
      <c r="E100" t="s">
        <v>21</v>
      </c>
      <c r="K100" t="s">
        <v>305</v>
      </c>
      <c r="L100" t="s">
        <v>285</v>
      </c>
      <c r="M100" t="s">
        <v>169</v>
      </c>
      <c r="N100" t="s">
        <v>250</v>
      </c>
      <c r="O100">
        <v>2</v>
      </c>
      <c r="P100" t="s">
        <v>79</v>
      </c>
      <c r="Q100" t="s">
        <v>79</v>
      </c>
      <c r="R100" t="s">
        <v>308</v>
      </c>
      <c r="S100" t="s">
        <v>299</v>
      </c>
    </row>
    <row r="101" spans="3:19" x14ac:dyDescent="0.25">
      <c r="C101" t="s">
        <v>251</v>
      </c>
      <c r="D101" t="s">
        <v>322</v>
      </c>
      <c r="E101" t="s">
        <v>21</v>
      </c>
      <c r="K101" t="s">
        <v>305</v>
      </c>
      <c r="L101" t="s">
        <v>285</v>
      </c>
      <c r="M101" t="s">
        <v>169</v>
      </c>
      <c r="N101" t="s">
        <v>252</v>
      </c>
      <c r="O101">
        <v>2</v>
      </c>
      <c r="P101" t="s">
        <v>79</v>
      </c>
      <c r="Q101" t="s">
        <v>79</v>
      </c>
      <c r="R101" t="s">
        <v>309</v>
      </c>
      <c r="S101" t="s">
        <v>299</v>
      </c>
    </row>
    <row r="102" spans="3:19" x14ac:dyDescent="0.25">
      <c r="C102" t="s">
        <v>253</v>
      </c>
      <c r="D102" t="s">
        <v>322</v>
      </c>
      <c r="E102" t="s">
        <v>21</v>
      </c>
      <c r="K102" t="s">
        <v>305</v>
      </c>
      <c r="L102" t="s">
        <v>285</v>
      </c>
      <c r="M102" t="s">
        <v>169</v>
      </c>
      <c r="N102" t="s">
        <v>254</v>
      </c>
      <c r="O102">
        <v>2</v>
      </c>
      <c r="P102" t="s">
        <v>79</v>
      </c>
      <c r="Q102" t="s">
        <v>79</v>
      </c>
      <c r="R102" t="s">
        <v>310</v>
      </c>
      <c r="S102" t="s">
        <v>299</v>
      </c>
    </row>
    <row r="103" spans="3:19" x14ac:dyDescent="0.25">
      <c r="C103" t="s">
        <v>255</v>
      </c>
      <c r="D103" t="s">
        <v>322</v>
      </c>
      <c r="E103" t="s">
        <v>21</v>
      </c>
      <c r="K103" t="s">
        <v>305</v>
      </c>
      <c r="L103" t="s">
        <v>285</v>
      </c>
      <c r="M103" t="s">
        <v>169</v>
      </c>
      <c r="N103" t="s">
        <v>256</v>
      </c>
      <c r="O103">
        <v>2</v>
      </c>
      <c r="P103" t="s">
        <v>79</v>
      </c>
      <c r="Q103" t="s">
        <v>79</v>
      </c>
      <c r="R103" t="s">
        <v>311</v>
      </c>
      <c r="S103" t="s">
        <v>299</v>
      </c>
    </row>
    <row r="104" spans="3:19" x14ac:dyDescent="0.25">
      <c r="C104" t="s">
        <v>247</v>
      </c>
      <c r="D104" t="s">
        <v>322</v>
      </c>
      <c r="E104" t="s">
        <v>174</v>
      </c>
      <c r="K104" t="s">
        <v>305</v>
      </c>
      <c r="L104" t="s">
        <v>285</v>
      </c>
      <c r="M104" t="s">
        <v>169</v>
      </c>
      <c r="N104" t="s">
        <v>257</v>
      </c>
      <c r="O104">
        <v>2</v>
      </c>
      <c r="P104" t="s">
        <v>79</v>
      </c>
      <c r="Q104" t="s">
        <v>79</v>
      </c>
      <c r="R104" t="s">
        <v>315</v>
      </c>
      <c r="S104" t="s">
        <v>318</v>
      </c>
    </row>
    <row r="105" spans="3:19" x14ac:dyDescent="0.25">
      <c r="C105" t="s">
        <v>251</v>
      </c>
      <c r="D105" t="s">
        <v>322</v>
      </c>
      <c r="E105" t="s">
        <v>174</v>
      </c>
      <c r="K105" t="s">
        <v>305</v>
      </c>
      <c r="L105" t="s">
        <v>285</v>
      </c>
      <c r="M105" t="s">
        <v>169</v>
      </c>
      <c r="N105" t="s">
        <v>258</v>
      </c>
      <c r="O105">
        <v>2</v>
      </c>
      <c r="P105" t="s">
        <v>79</v>
      </c>
      <c r="Q105" t="s">
        <v>79</v>
      </c>
      <c r="R105" t="s">
        <v>313</v>
      </c>
      <c r="S105" t="s">
        <v>299</v>
      </c>
    </row>
    <row r="106" spans="3:19" x14ac:dyDescent="0.25">
      <c r="C106" t="s">
        <v>253</v>
      </c>
      <c r="D106" t="s">
        <v>322</v>
      </c>
      <c r="E106" t="s">
        <v>174</v>
      </c>
      <c r="K106" t="s">
        <v>305</v>
      </c>
      <c r="L106" t="s">
        <v>285</v>
      </c>
      <c r="M106" t="s">
        <v>169</v>
      </c>
      <c r="N106" t="s">
        <v>259</v>
      </c>
      <c r="O106">
        <v>2</v>
      </c>
      <c r="P106" t="s">
        <v>79</v>
      </c>
      <c r="Q106" t="s">
        <v>79</v>
      </c>
      <c r="R106" t="s">
        <v>314</v>
      </c>
      <c r="S106" t="s">
        <v>299</v>
      </c>
    </row>
    <row r="107" spans="3:19" x14ac:dyDescent="0.25">
      <c r="C107" t="s">
        <v>255</v>
      </c>
      <c r="D107" t="s">
        <v>322</v>
      </c>
      <c r="E107" t="s">
        <v>174</v>
      </c>
      <c r="K107" t="s">
        <v>305</v>
      </c>
      <c r="L107" t="s">
        <v>285</v>
      </c>
      <c r="M107" t="s">
        <v>169</v>
      </c>
      <c r="N107" t="s">
        <v>260</v>
      </c>
      <c r="O107">
        <v>2</v>
      </c>
      <c r="P107" t="s">
        <v>79</v>
      </c>
      <c r="Q107" t="s">
        <v>79</v>
      </c>
      <c r="R107" t="s">
        <v>315</v>
      </c>
      <c r="S107" t="s">
        <v>299</v>
      </c>
    </row>
    <row r="108" spans="3:19" x14ac:dyDescent="0.25">
      <c r="C108" t="s">
        <v>261</v>
      </c>
      <c r="D108" t="s">
        <v>322</v>
      </c>
      <c r="E108" t="s">
        <v>21</v>
      </c>
      <c r="K108" t="s">
        <v>305</v>
      </c>
      <c r="L108" t="s">
        <v>285</v>
      </c>
      <c r="M108" t="s">
        <v>169</v>
      </c>
      <c r="N108" t="s">
        <v>262</v>
      </c>
      <c r="O108">
        <v>2</v>
      </c>
      <c r="P108" t="s">
        <v>79</v>
      </c>
      <c r="Q108" t="s">
        <v>79</v>
      </c>
      <c r="R108" t="s">
        <v>308</v>
      </c>
      <c r="S108" t="s">
        <v>318</v>
      </c>
    </row>
    <row r="109" spans="3:19" x14ac:dyDescent="0.25">
      <c r="C109" t="s">
        <v>261</v>
      </c>
      <c r="D109" t="s">
        <v>322</v>
      </c>
      <c r="E109" t="s">
        <v>174</v>
      </c>
      <c r="K109" t="s">
        <v>305</v>
      </c>
      <c r="L109" t="s">
        <v>285</v>
      </c>
      <c r="M109" t="s">
        <v>169</v>
      </c>
      <c r="N109" t="s">
        <v>263</v>
      </c>
      <c r="O109">
        <v>2</v>
      </c>
      <c r="P109" t="s">
        <v>79</v>
      </c>
      <c r="Q109" t="s">
        <v>79</v>
      </c>
      <c r="R109" t="s">
        <v>312</v>
      </c>
      <c r="S109" t="s">
        <v>318</v>
      </c>
    </row>
    <row r="110" spans="3:19" x14ac:dyDescent="0.25">
      <c r="C110" t="s">
        <v>243</v>
      </c>
      <c r="D110" t="s">
        <v>322</v>
      </c>
      <c r="E110" t="s">
        <v>174</v>
      </c>
      <c r="K110" t="s">
        <v>305</v>
      </c>
      <c r="L110" t="s">
        <v>285</v>
      </c>
      <c r="M110" t="s">
        <v>169</v>
      </c>
      <c r="N110" t="s">
        <v>264</v>
      </c>
      <c r="O110">
        <v>2</v>
      </c>
      <c r="P110" t="s">
        <v>79</v>
      </c>
      <c r="Q110" t="s">
        <v>79</v>
      </c>
      <c r="R110" t="s">
        <v>313</v>
      </c>
      <c r="S110" t="s">
        <v>318</v>
      </c>
    </row>
    <row r="111" spans="3:19" x14ac:dyDescent="0.25">
      <c r="C111" t="s">
        <v>245</v>
      </c>
      <c r="D111" t="s">
        <v>322</v>
      </c>
      <c r="E111" t="s">
        <v>174</v>
      </c>
      <c r="K111" t="s">
        <v>305</v>
      </c>
      <c r="L111" t="s">
        <v>285</v>
      </c>
      <c r="M111" t="s">
        <v>169</v>
      </c>
      <c r="N111" t="s">
        <v>265</v>
      </c>
      <c r="O111">
        <v>2</v>
      </c>
      <c r="P111" t="s">
        <v>79</v>
      </c>
      <c r="Q111" t="s">
        <v>79</v>
      </c>
      <c r="R111" t="s">
        <v>314</v>
      </c>
      <c r="S111" t="s">
        <v>318</v>
      </c>
    </row>
    <row r="112" spans="3:19" x14ac:dyDescent="0.25">
      <c r="C112" t="s">
        <v>249</v>
      </c>
      <c r="D112" t="s">
        <v>322</v>
      </c>
      <c r="E112" t="s">
        <v>174</v>
      </c>
      <c r="K112" t="s">
        <v>305</v>
      </c>
      <c r="L112" t="s">
        <v>285</v>
      </c>
      <c r="M112" t="s">
        <v>169</v>
      </c>
      <c r="N112" t="s">
        <v>266</v>
      </c>
      <c r="O112">
        <v>2</v>
      </c>
      <c r="P112" t="s">
        <v>79</v>
      </c>
      <c r="Q112" t="s">
        <v>79</v>
      </c>
      <c r="R112" t="s">
        <v>312</v>
      </c>
      <c r="S112" t="s">
        <v>299</v>
      </c>
    </row>
    <row r="113" spans="3:19" x14ac:dyDescent="0.25">
      <c r="C113" t="s">
        <v>323</v>
      </c>
      <c r="D113" t="s">
        <v>324</v>
      </c>
      <c r="E113" t="s">
        <v>174</v>
      </c>
      <c r="K113" t="s">
        <v>331</v>
      </c>
      <c r="L113" t="s">
        <v>332</v>
      </c>
      <c r="M113" t="s">
        <v>169</v>
      </c>
      <c r="N113" t="s">
        <v>325</v>
      </c>
      <c r="O113">
        <v>2</v>
      </c>
      <c r="P113" t="s">
        <v>79</v>
      </c>
      <c r="Q113" t="s">
        <v>79</v>
      </c>
      <c r="R113" t="s">
        <v>334</v>
      </c>
      <c r="S113" t="s">
        <v>333</v>
      </c>
    </row>
    <row r="114" spans="3:19" x14ac:dyDescent="0.25">
      <c r="C114" t="s">
        <v>323</v>
      </c>
      <c r="D114" t="s">
        <v>326</v>
      </c>
      <c r="E114" t="s">
        <v>174</v>
      </c>
      <c r="K114" t="s">
        <v>331</v>
      </c>
      <c r="L114" t="s">
        <v>332</v>
      </c>
      <c r="M114" t="s">
        <v>169</v>
      </c>
      <c r="N114" t="s">
        <v>327</v>
      </c>
      <c r="O114">
        <v>2</v>
      </c>
      <c r="P114" t="s">
        <v>79</v>
      </c>
      <c r="Q114" t="s">
        <v>79</v>
      </c>
      <c r="R114" t="s">
        <v>335</v>
      </c>
      <c r="S114" t="s">
        <v>333</v>
      </c>
    </row>
    <row r="115" spans="3:19" x14ac:dyDescent="0.25">
      <c r="C115" t="s">
        <v>328</v>
      </c>
      <c r="D115" t="s">
        <v>324</v>
      </c>
      <c r="E115" t="s">
        <v>174</v>
      </c>
      <c r="K115" t="s">
        <v>331</v>
      </c>
      <c r="L115" t="s">
        <v>332</v>
      </c>
      <c r="M115" t="s">
        <v>169</v>
      </c>
      <c r="N115" t="s">
        <v>329</v>
      </c>
      <c r="O115">
        <v>2</v>
      </c>
      <c r="P115" t="s">
        <v>79</v>
      </c>
      <c r="Q115" t="s">
        <v>79</v>
      </c>
      <c r="R115" t="s">
        <v>336</v>
      </c>
      <c r="S115" t="s">
        <v>333</v>
      </c>
    </row>
    <row r="116" spans="3:19" x14ac:dyDescent="0.25">
      <c r="C116" t="s">
        <v>328</v>
      </c>
      <c r="D116" t="s">
        <v>326</v>
      </c>
      <c r="E116" t="s">
        <v>174</v>
      </c>
      <c r="K116" t="s">
        <v>331</v>
      </c>
      <c r="L116" t="s">
        <v>332</v>
      </c>
      <c r="M116" t="s">
        <v>169</v>
      </c>
      <c r="N116" t="s">
        <v>330</v>
      </c>
      <c r="O116">
        <v>2</v>
      </c>
      <c r="P116" t="s">
        <v>79</v>
      </c>
      <c r="Q116" t="s">
        <v>79</v>
      </c>
      <c r="R116" t="s">
        <v>337</v>
      </c>
      <c r="S116" t="s">
        <v>333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kleber giovelli</dc:creator>
  <cp:lastModifiedBy>kleber giovelli</cp:lastModifiedBy>
  <dcterms:created xsi:type="dcterms:W3CDTF">2025-01-14T13:45:57Z</dcterms:created>
  <dcterms:modified xsi:type="dcterms:W3CDTF">2025-07-27T15:44:03Z</dcterms:modified>
</cp:coreProperties>
</file>