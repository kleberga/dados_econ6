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Kleber\Documents\"/>
    </mc:Choice>
  </mc:AlternateContent>
  <xr:revisionPtr revIDLastSave="0" documentId="13_ncr:1_{0A75C24F-AC86-4B63-A611-3D109656773F}" xr6:coauthVersionLast="47" xr6:coauthVersionMax="47" xr10:uidLastSave="{00000000-0000-0000-0000-000000000000}"/>
  <bookViews>
    <workbookView xWindow="-120" yWindow="-120" windowWidth="29040" windowHeight="15840" xr2:uid="{791AB8D9-6D2F-4D8C-AB27-920963627214}"/>
  </bookViews>
  <sheets>
    <sheet name="Planilha1" sheetId="1" r:id="rId1"/>
  </sheets>
  <definedNames>
    <definedName name="_xlnm._FilterDatabase" localSheetId="0" hidden="1">Planilha1!$A$1:$S$469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469" i="1" l="1"/>
  <c r="R468" i="1"/>
  <c r="R467" i="1"/>
  <c r="R466" i="1"/>
  <c r="R465" i="1"/>
  <c r="R464" i="1"/>
  <c r="R463" i="1"/>
  <c r="R462" i="1"/>
  <c r="R461" i="1"/>
  <c r="R460" i="1"/>
  <c r="R459" i="1"/>
  <c r="R458" i="1"/>
  <c r="N458" i="1"/>
  <c r="N459" i="1"/>
  <c r="N460" i="1"/>
  <c r="N461" i="1"/>
  <c r="N462" i="1"/>
  <c r="N463" i="1"/>
  <c r="N464" i="1"/>
  <c r="N465" i="1"/>
  <c r="N466" i="1"/>
  <c r="N467" i="1"/>
  <c r="N468" i="1"/>
  <c r="N469" i="1"/>
  <c r="R453" i="1"/>
  <c r="R457" i="1"/>
  <c r="R456" i="1"/>
  <c r="R455" i="1"/>
  <c r="R454" i="1"/>
  <c r="R452" i="1"/>
  <c r="R451" i="1"/>
  <c r="R450" i="1"/>
  <c r="R449" i="1"/>
  <c r="N449" i="1"/>
  <c r="N450" i="1"/>
  <c r="N451" i="1"/>
  <c r="N452" i="1"/>
  <c r="N453" i="1"/>
  <c r="N454" i="1"/>
  <c r="N455" i="1"/>
  <c r="N456" i="1"/>
  <c r="N457" i="1"/>
  <c r="R448" i="1"/>
  <c r="R447" i="1"/>
  <c r="N447" i="1"/>
  <c r="N448" i="1"/>
  <c r="R446" i="1"/>
  <c r="R445" i="1"/>
  <c r="N445" i="1"/>
  <c r="N446" i="1"/>
  <c r="R444" i="1"/>
  <c r="R443" i="1"/>
  <c r="R442" i="1"/>
  <c r="R441" i="1"/>
  <c r="R440" i="1"/>
  <c r="R439" i="1"/>
  <c r="N439" i="1"/>
  <c r="N440" i="1"/>
  <c r="N441" i="1"/>
  <c r="N442" i="1"/>
  <c r="N443" i="1"/>
  <c r="N444" i="1"/>
  <c r="R438" i="1"/>
  <c r="N438" i="1"/>
  <c r="R437" i="1"/>
  <c r="R436" i="1"/>
  <c r="R435" i="1"/>
  <c r="R434" i="1"/>
  <c r="R433" i="1"/>
  <c r="R432" i="1"/>
  <c r="R431" i="1"/>
  <c r="R430" i="1"/>
  <c r="R429" i="1"/>
  <c r="R428" i="1"/>
  <c r="R427" i="1"/>
  <c r="R426" i="1"/>
  <c r="N426" i="1"/>
  <c r="N427" i="1"/>
  <c r="N428" i="1"/>
  <c r="N429" i="1"/>
  <c r="N430" i="1"/>
  <c r="N431" i="1"/>
  <c r="N432" i="1"/>
  <c r="N433" i="1"/>
  <c r="N434" i="1"/>
  <c r="N435" i="1"/>
  <c r="N436" i="1"/>
  <c r="N437" i="1"/>
  <c r="R425" i="1"/>
  <c r="R424" i="1"/>
  <c r="R423" i="1"/>
  <c r="R422" i="1"/>
  <c r="N422" i="1"/>
  <c r="N423" i="1"/>
  <c r="N424" i="1"/>
  <c r="N425" i="1"/>
  <c r="R421" i="1"/>
  <c r="R420" i="1"/>
  <c r="R419" i="1"/>
  <c r="R418" i="1"/>
  <c r="R417" i="1"/>
  <c r="R416" i="1"/>
  <c r="R415" i="1"/>
  <c r="R414" i="1"/>
  <c r="N414" i="1"/>
  <c r="N415" i="1"/>
  <c r="N416" i="1"/>
  <c r="N417" i="1"/>
  <c r="N418" i="1"/>
  <c r="N419" i="1"/>
  <c r="N420" i="1"/>
  <c r="N421" i="1"/>
  <c r="R413" i="1"/>
  <c r="R412" i="1"/>
  <c r="R411" i="1"/>
  <c r="R410" i="1"/>
  <c r="R409" i="1"/>
  <c r="R408" i="1"/>
  <c r="R407" i="1"/>
  <c r="N407" i="1"/>
  <c r="N408" i="1"/>
  <c r="N409" i="1"/>
  <c r="N410" i="1"/>
  <c r="N411" i="1"/>
  <c r="N412" i="1"/>
  <c r="N413" i="1"/>
  <c r="R406" i="1"/>
  <c r="R405" i="1"/>
  <c r="R404" i="1"/>
  <c r="R403" i="1"/>
  <c r="R402" i="1"/>
  <c r="R401" i="1"/>
  <c r="R400" i="1"/>
  <c r="R399" i="1"/>
  <c r="R398" i="1"/>
  <c r="R397" i="1"/>
  <c r="R396" i="1"/>
  <c r="N396" i="1"/>
  <c r="N397" i="1"/>
  <c r="N398" i="1"/>
  <c r="N399" i="1"/>
  <c r="N400" i="1"/>
  <c r="N401" i="1"/>
  <c r="N402" i="1"/>
  <c r="N403" i="1"/>
  <c r="N404" i="1"/>
  <c r="N405" i="1"/>
  <c r="N406" i="1"/>
  <c r="R395" i="1"/>
  <c r="R394" i="1"/>
  <c r="R393" i="1"/>
  <c r="R392" i="1"/>
  <c r="R391" i="1"/>
  <c r="R390" i="1"/>
  <c r="R389" i="1"/>
  <c r="R388" i="1"/>
  <c r="R387" i="1"/>
  <c r="N387" i="1"/>
  <c r="N388" i="1"/>
  <c r="N389" i="1"/>
  <c r="N390" i="1"/>
  <c r="N391" i="1"/>
  <c r="N392" i="1"/>
  <c r="N393" i="1"/>
  <c r="N394" i="1"/>
  <c r="N395" i="1"/>
  <c r="R386" i="1"/>
  <c r="N386" i="1"/>
  <c r="R385" i="1"/>
  <c r="R384" i="1"/>
  <c r="R383" i="1"/>
  <c r="R382" i="1"/>
  <c r="R381" i="1"/>
  <c r="R380" i="1"/>
  <c r="R379" i="1"/>
  <c r="R378" i="1"/>
  <c r="R377" i="1"/>
  <c r="R376" i="1"/>
  <c r="R375" i="1"/>
  <c r="N375" i="1"/>
  <c r="N376" i="1"/>
  <c r="N377" i="1"/>
  <c r="N378" i="1"/>
  <c r="N379" i="1"/>
  <c r="N380" i="1"/>
  <c r="N381" i="1"/>
  <c r="N382" i="1"/>
  <c r="N383" i="1"/>
  <c r="N384" i="1"/>
  <c r="N385" i="1"/>
  <c r="R374" i="1"/>
  <c r="R373" i="1"/>
  <c r="R372" i="1"/>
  <c r="N372" i="1"/>
  <c r="N373" i="1"/>
  <c r="N374" i="1"/>
  <c r="R371" i="1"/>
  <c r="R370" i="1"/>
  <c r="R369" i="1"/>
  <c r="R368" i="1"/>
  <c r="R367" i="1"/>
  <c r="R366" i="1"/>
  <c r="R365" i="1"/>
  <c r="R364" i="1"/>
  <c r="N364" i="1"/>
  <c r="N365" i="1"/>
  <c r="N366" i="1"/>
  <c r="N367" i="1"/>
  <c r="N368" i="1"/>
  <c r="N369" i="1"/>
  <c r="N370" i="1"/>
  <c r="N371" i="1"/>
  <c r="R363" i="1"/>
  <c r="R362" i="1"/>
  <c r="R361" i="1"/>
  <c r="R360" i="1"/>
  <c r="N360" i="1"/>
  <c r="N361" i="1"/>
  <c r="N362" i="1"/>
  <c r="N363" i="1"/>
  <c r="R359" i="1"/>
  <c r="R358" i="1"/>
  <c r="R357" i="1"/>
  <c r="R356" i="1"/>
  <c r="R355" i="1"/>
  <c r="R354" i="1"/>
  <c r="R353" i="1"/>
  <c r="R352" i="1"/>
  <c r="R351" i="1"/>
  <c r="R350" i="1"/>
  <c r="N350" i="1"/>
  <c r="N351" i="1"/>
  <c r="N352" i="1"/>
  <c r="N353" i="1"/>
  <c r="N354" i="1"/>
  <c r="N355" i="1"/>
  <c r="N356" i="1"/>
  <c r="N357" i="1"/>
  <c r="N358" i="1"/>
  <c r="N359" i="1"/>
  <c r="R349" i="1"/>
  <c r="R348" i="1"/>
  <c r="R347" i="1"/>
  <c r="R346" i="1"/>
  <c r="R345" i="1"/>
  <c r="R344" i="1"/>
  <c r="N344" i="1"/>
  <c r="N345" i="1"/>
  <c r="N346" i="1"/>
  <c r="N347" i="1"/>
  <c r="N348" i="1"/>
  <c r="N349" i="1"/>
  <c r="R343" i="1"/>
  <c r="R342" i="1"/>
  <c r="R341" i="1"/>
  <c r="R340" i="1"/>
  <c r="R339" i="1"/>
  <c r="R338" i="1"/>
  <c r="R337" i="1"/>
  <c r="R336" i="1"/>
  <c r="R335" i="1"/>
  <c r="R334" i="1"/>
  <c r="R333" i="1"/>
  <c r="N333" i="1"/>
  <c r="N334" i="1"/>
  <c r="N335" i="1"/>
  <c r="N336" i="1"/>
  <c r="N337" i="1"/>
  <c r="N338" i="1"/>
  <c r="N339" i="1"/>
  <c r="N340" i="1"/>
  <c r="N341" i="1"/>
  <c r="N342" i="1"/>
  <c r="N343" i="1"/>
  <c r="R332" i="1"/>
  <c r="R331" i="1"/>
  <c r="R330" i="1"/>
  <c r="R329" i="1"/>
  <c r="R328" i="1"/>
  <c r="R327" i="1"/>
  <c r="R326" i="1"/>
  <c r="R325" i="1"/>
  <c r="R324" i="1"/>
  <c r="R323" i="1"/>
  <c r="N323" i="1"/>
  <c r="N324" i="1"/>
  <c r="N325" i="1"/>
  <c r="N326" i="1"/>
  <c r="N327" i="1"/>
  <c r="N328" i="1"/>
  <c r="N329" i="1"/>
  <c r="N330" i="1"/>
  <c r="N331" i="1"/>
  <c r="N332" i="1"/>
  <c r="R322" i="1"/>
  <c r="R321" i="1"/>
  <c r="R320" i="1"/>
  <c r="R319" i="1"/>
  <c r="R318" i="1"/>
  <c r="R317" i="1"/>
  <c r="R316" i="1"/>
  <c r="R315" i="1"/>
  <c r="R314" i="1"/>
  <c r="R313" i="1"/>
  <c r="N313" i="1"/>
  <c r="N314" i="1"/>
  <c r="N315" i="1"/>
  <c r="N316" i="1"/>
  <c r="N317" i="1"/>
  <c r="N318" i="1"/>
  <c r="N319" i="1"/>
  <c r="N320" i="1"/>
  <c r="N321" i="1"/>
  <c r="N322" i="1"/>
  <c r="R312" i="1"/>
  <c r="R311" i="1"/>
  <c r="R310" i="1"/>
  <c r="N310" i="1"/>
  <c r="N311" i="1"/>
  <c r="N312" i="1"/>
  <c r="R309" i="1"/>
  <c r="R308" i="1"/>
  <c r="R307" i="1"/>
  <c r="R306" i="1"/>
  <c r="R305" i="1"/>
  <c r="R304" i="1"/>
  <c r="R303" i="1"/>
  <c r="N303" i="1"/>
  <c r="N304" i="1"/>
  <c r="N305" i="1"/>
  <c r="N306" i="1"/>
  <c r="N307" i="1"/>
  <c r="N308" i="1"/>
  <c r="N309" i="1"/>
  <c r="R302" i="1"/>
  <c r="R301" i="1"/>
  <c r="R300" i="1"/>
  <c r="R299" i="1"/>
  <c r="R298" i="1"/>
  <c r="R297" i="1"/>
  <c r="R296" i="1"/>
  <c r="N296" i="1"/>
  <c r="N297" i="1"/>
  <c r="N298" i="1"/>
  <c r="N299" i="1"/>
  <c r="N300" i="1"/>
  <c r="N301" i="1"/>
  <c r="N302" i="1"/>
  <c r="R295" i="1"/>
  <c r="R294" i="1"/>
  <c r="R293" i="1"/>
  <c r="R292" i="1"/>
  <c r="R291" i="1"/>
  <c r="R290" i="1"/>
  <c r="R289" i="1"/>
  <c r="N289" i="1"/>
  <c r="N290" i="1"/>
  <c r="N291" i="1"/>
  <c r="N292" i="1"/>
  <c r="N293" i="1"/>
  <c r="N294" i="1"/>
  <c r="N295" i="1"/>
  <c r="R288" i="1"/>
  <c r="R287" i="1"/>
  <c r="R286" i="1"/>
  <c r="R285" i="1"/>
  <c r="R284" i="1"/>
  <c r="R283" i="1"/>
  <c r="R282" i="1"/>
  <c r="R281" i="1"/>
  <c r="R280" i="1"/>
  <c r="R279" i="1"/>
  <c r="R278" i="1"/>
  <c r="R277" i="1"/>
  <c r="N277" i="1"/>
  <c r="N278" i="1"/>
  <c r="N279" i="1"/>
  <c r="N280" i="1"/>
  <c r="N281" i="1"/>
  <c r="N282" i="1"/>
  <c r="N283" i="1"/>
  <c r="N284" i="1"/>
  <c r="N285" i="1"/>
  <c r="N286" i="1"/>
  <c r="N287" i="1"/>
  <c r="N288" i="1"/>
  <c r="R276" i="1"/>
  <c r="R275" i="1"/>
  <c r="R274" i="1"/>
  <c r="R273" i="1"/>
  <c r="R272" i="1"/>
  <c r="R271" i="1"/>
  <c r="R270" i="1"/>
  <c r="R269" i="1"/>
  <c r="R268" i="1"/>
  <c r="R267" i="1"/>
  <c r="R266" i="1"/>
  <c r="R265" i="1"/>
  <c r="R264" i="1"/>
  <c r="R263" i="1"/>
  <c r="N263" i="1"/>
  <c r="N264" i="1"/>
  <c r="N265" i="1"/>
  <c r="N266" i="1"/>
  <c r="N267" i="1"/>
  <c r="N268" i="1"/>
  <c r="N269" i="1"/>
  <c r="N270" i="1"/>
  <c r="N271" i="1"/>
  <c r="N272" i="1"/>
  <c r="N273" i="1"/>
  <c r="N274" i="1"/>
  <c r="N275" i="1"/>
  <c r="N276" i="1"/>
  <c r="R262" i="1"/>
  <c r="R261" i="1"/>
  <c r="R260" i="1"/>
  <c r="R259" i="1"/>
  <c r="R258" i="1"/>
  <c r="R257" i="1"/>
  <c r="R256" i="1"/>
  <c r="R255" i="1"/>
  <c r="R254" i="1"/>
  <c r="R253" i="1"/>
  <c r="R252" i="1"/>
  <c r="R251" i="1"/>
  <c r="R250" i="1"/>
  <c r="R249" i="1"/>
  <c r="N249" i="1"/>
  <c r="N250" i="1"/>
  <c r="N251" i="1"/>
  <c r="N252" i="1"/>
  <c r="N253" i="1"/>
  <c r="N254" i="1"/>
  <c r="N255" i="1"/>
  <c r="N256" i="1"/>
  <c r="N257" i="1"/>
  <c r="N258" i="1"/>
  <c r="N259" i="1"/>
  <c r="N260" i="1"/>
  <c r="N261" i="1"/>
  <c r="N262" i="1"/>
  <c r="R248" i="1"/>
  <c r="R247" i="1"/>
  <c r="R246" i="1"/>
  <c r="R245" i="1"/>
  <c r="R244" i="1"/>
  <c r="R243" i="1"/>
  <c r="R242" i="1"/>
  <c r="R241" i="1"/>
  <c r="R240" i="1"/>
  <c r="R239" i="1"/>
  <c r="R238" i="1"/>
  <c r="R237" i="1"/>
  <c r="R236" i="1"/>
  <c r="N236" i="1"/>
  <c r="N237" i="1"/>
  <c r="N238" i="1"/>
  <c r="N239" i="1"/>
  <c r="N240" i="1"/>
  <c r="N241" i="1"/>
  <c r="N242" i="1"/>
  <c r="N243" i="1"/>
  <c r="N244" i="1"/>
  <c r="N245" i="1"/>
  <c r="N246" i="1"/>
  <c r="N247" i="1"/>
  <c r="N248" i="1"/>
  <c r="R235" i="1"/>
  <c r="R234" i="1"/>
  <c r="R233" i="1"/>
  <c r="R232" i="1"/>
  <c r="R231" i="1"/>
  <c r="R230" i="1"/>
  <c r="R229" i="1"/>
  <c r="R228" i="1"/>
  <c r="R227" i="1"/>
  <c r="R226" i="1"/>
  <c r="R225" i="1"/>
  <c r="N225" i="1"/>
  <c r="N226" i="1"/>
  <c r="N227" i="1"/>
  <c r="N228" i="1"/>
  <c r="N229" i="1"/>
  <c r="N230" i="1"/>
  <c r="N231" i="1"/>
  <c r="N232" i="1"/>
  <c r="N233" i="1"/>
  <c r="N234" i="1"/>
  <c r="N235" i="1"/>
  <c r="R224" i="1"/>
  <c r="R223" i="1"/>
  <c r="R222" i="1"/>
  <c r="R221" i="1"/>
  <c r="R220" i="1"/>
  <c r="R219" i="1"/>
  <c r="R218" i="1"/>
  <c r="R217" i="1"/>
  <c r="R216" i="1"/>
  <c r="R215" i="1"/>
  <c r="R214" i="1"/>
  <c r="N214" i="1"/>
  <c r="N215" i="1"/>
  <c r="N216" i="1"/>
  <c r="N217" i="1"/>
  <c r="N218" i="1"/>
  <c r="N219" i="1"/>
  <c r="N220" i="1"/>
  <c r="N221" i="1"/>
  <c r="N222" i="1"/>
  <c r="N223" i="1"/>
  <c r="N224" i="1"/>
  <c r="R213" i="1"/>
  <c r="R212" i="1"/>
  <c r="R211" i="1"/>
  <c r="R210" i="1"/>
  <c r="R209" i="1"/>
  <c r="R208" i="1"/>
  <c r="R207" i="1"/>
  <c r="R206" i="1"/>
  <c r="R205" i="1"/>
  <c r="R204" i="1"/>
  <c r="R203" i="1"/>
  <c r="N203" i="1"/>
  <c r="N204" i="1"/>
  <c r="N205" i="1"/>
  <c r="N206" i="1"/>
  <c r="N207" i="1"/>
  <c r="N208" i="1"/>
  <c r="N209" i="1"/>
  <c r="N210" i="1"/>
  <c r="N211" i="1"/>
  <c r="N212" i="1"/>
  <c r="N213" i="1"/>
  <c r="R202" i="1"/>
  <c r="R201" i="1"/>
  <c r="R200" i="1"/>
  <c r="R199" i="1"/>
  <c r="R198" i="1"/>
  <c r="R197" i="1"/>
  <c r="R196" i="1"/>
  <c r="R195" i="1"/>
  <c r="R194" i="1"/>
  <c r="R193" i="1"/>
  <c r="R192" i="1"/>
  <c r="N192" i="1"/>
  <c r="N193" i="1"/>
  <c r="N194" i="1"/>
  <c r="N195" i="1"/>
  <c r="N196" i="1"/>
  <c r="N197" i="1"/>
  <c r="N198" i="1"/>
  <c r="N199" i="1"/>
  <c r="N200" i="1"/>
  <c r="N201" i="1"/>
  <c r="N202" i="1"/>
  <c r="R191" i="1"/>
  <c r="R190" i="1"/>
  <c r="R189" i="1"/>
  <c r="R188" i="1"/>
  <c r="R187" i="1"/>
  <c r="R186" i="1"/>
  <c r="R185" i="1"/>
  <c r="R184" i="1"/>
  <c r="R183" i="1"/>
  <c r="R182" i="1"/>
  <c r="R181" i="1"/>
  <c r="N181" i="1"/>
  <c r="N182" i="1"/>
  <c r="N183" i="1"/>
  <c r="N184" i="1"/>
  <c r="N185" i="1"/>
  <c r="N186" i="1"/>
  <c r="N187" i="1"/>
  <c r="N188" i="1"/>
  <c r="N189" i="1"/>
  <c r="N190" i="1"/>
  <c r="N191" i="1"/>
  <c r="R180" i="1"/>
  <c r="R179" i="1"/>
  <c r="R178" i="1"/>
  <c r="R177" i="1"/>
  <c r="R176" i="1"/>
  <c r="R175" i="1"/>
  <c r="R174" i="1"/>
  <c r="R173" i="1"/>
  <c r="R172" i="1"/>
  <c r="R171" i="1"/>
  <c r="R170" i="1"/>
  <c r="N170" i="1"/>
  <c r="N171" i="1"/>
  <c r="N172" i="1"/>
  <c r="N173" i="1"/>
  <c r="N174" i="1"/>
  <c r="N175" i="1"/>
  <c r="N176" i="1"/>
  <c r="N177" i="1"/>
  <c r="N178" i="1"/>
  <c r="N179" i="1"/>
  <c r="N180" i="1"/>
  <c r="R169" i="1"/>
  <c r="R168" i="1"/>
  <c r="R167" i="1"/>
  <c r="R166" i="1"/>
  <c r="N166" i="1"/>
  <c r="N167" i="1"/>
  <c r="N168" i="1"/>
  <c r="N169" i="1"/>
  <c r="R165" i="1"/>
  <c r="R164" i="1"/>
  <c r="N164" i="1"/>
  <c r="N165" i="1"/>
  <c r="R163" i="1"/>
  <c r="R162" i="1"/>
  <c r="R161" i="1"/>
  <c r="N161" i="1"/>
  <c r="N162" i="1"/>
  <c r="N163" i="1"/>
  <c r="R160" i="1"/>
  <c r="R159" i="1"/>
  <c r="R158" i="1"/>
  <c r="R157" i="1"/>
  <c r="R156" i="1"/>
  <c r="R155" i="1"/>
  <c r="R154" i="1"/>
  <c r="R153" i="1"/>
  <c r="R152" i="1"/>
  <c r="R151" i="1"/>
  <c r="R150" i="1"/>
  <c r="N150" i="1"/>
  <c r="N151" i="1"/>
  <c r="N152" i="1"/>
  <c r="N153" i="1"/>
  <c r="N154" i="1"/>
  <c r="N155" i="1"/>
  <c r="N156" i="1"/>
  <c r="N157" i="1"/>
  <c r="N158" i="1"/>
  <c r="N159" i="1"/>
  <c r="N160" i="1"/>
  <c r="R149" i="1"/>
  <c r="R148" i="1"/>
  <c r="R147" i="1"/>
  <c r="R146" i="1"/>
  <c r="R145" i="1"/>
  <c r="R144" i="1"/>
  <c r="R143" i="1"/>
  <c r="R142" i="1"/>
  <c r="R141" i="1"/>
  <c r="R140" i="1"/>
  <c r="R139" i="1"/>
  <c r="N139" i="1"/>
  <c r="N140" i="1"/>
  <c r="N141" i="1"/>
  <c r="N142" i="1"/>
  <c r="N143" i="1"/>
  <c r="N144" i="1"/>
  <c r="N145" i="1"/>
  <c r="N146" i="1"/>
  <c r="N147" i="1"/>
  <c r="N148" i="1"/>
  <c r="N149" i="1"/>
  <c r="R138" i="1"/>
  <c r="R137" i="1"/>
  <c r="R136" i="1"/>
  <c r="R135" i="1"/>
  <c r="R134" i="1"/>
  <c r="R133" i="1"/>
  <c r="R132" i="1"/>
  <c r="R131" i="1"/>
  <c r="R130" i="1"/>
  <c r="R129" i="1"/>
  <c r="R128" i="1"/>
  <c r="R127" i="1"/>
  <c r="R126" i="1"/>
  <c r="R125" i="1"/>
  <c r="R124" i="1"/>
  <c r="N128" i="1"/>
  <c r="N129" i="1"/>
  <c r="N130" i="1"/>
  <c r="N131" i="1"/>
  <c r="N132" i="1"/>
  <c r="N133" i="1"/>
  <c r="N134" i="1"/>
  <c r="N135" i="1"/>
  <c r="N136" i="1"/>
  <c r="N137" i="1"/>
  <c r="N138" i="1"/>
  <c r="N124" i="1"/>
  <c r="N125" i="1"/>
  <c r="N126" i="1"/>
  <c r="N127" i="1"/>
  <c r="R123" i="1"/>
  <c r="R122" i="1"/>
  <c r="N122" i="1"/>
  <c r="N123" i="1"/>
  <c r="R121" i="1"/>
  <c r="R120" i="1"/>
  <c r="R119" i="1"/>
  <c r="N119" i="1"/>
  <c r="N120" i="1"/>
  <c r="N121" i="1"/>
  <c r="R118" i="1"/>
  <c r="R117" i="1"/>
  <c r="R116" i="1"/>
  <c r="R115" i="1"/>
  <c r="R114" i="1"/>
  <c r="R113" i="1"/>
  <c r="R112" i="1"/>
  <c r="R111" i="1"/>
  <c r="R110" i="1"/>
  <c r="R109" i="1"/>
  <c r="R108" i="1"/>
  <c r="N108" i="1"/>
  <c r="N109" i="1"/>
  <c r="N110" i="1"/>
  <c r="N111" i="1"/>
  <c r="N112" i="1"/>
  <c r="N113" i="1"/>
  <c r="N114" i="1"/>
  <c r="N115" i="1"/>
  <c r="N116" i="1"/>
  <c r="N117" i="1"/>
  <c r="N118" i="1"/>
  <c r="R107" i="1"/>
  <c r="R106" i="1"/>
  <c r="R105" i="1"/>
  <c r="R104" i="1"/>
  <c r="R103" i="1"/>
  <c r="R102" i="1"/>
  <c r="R101" i="1"/>
  <c r="R100" i="1"/>
  <c r="R99" i="1"/>
  <c r="R98" i="1"/>
  <c r="R97" i="1"/>
  <c r="N97" i="1"/>
  <c r="N98" i="1"/>
  <c r="N99" i="1"/>
  <c r="N100" i="1"/>
  <c r="N101" i="1"/>
  <c r="N102" i="1"/>
  <c r="N103" i="1"/>
  <c r="N104" i="1"/>
  <c r="N105" i="1"/>
  <c r="N106" i="1"/>
  <c r="N107" i="1"/>
  <c r="R96" i="1"/>
  <c r="R95" i="1"/>
  <c r="R94" i="1"/>
  <c r="R93" i="1"/>
  <c r="R92" i="1"/>
  <c r="R91" i="1"/>
  <c r="R90" i="1"/>
  <c r="R89" i="1"/>
  <c r="R88" i="1"/>
  <c r="R87" i="1"/>
  <c r="R86" i="1"/>
  <c r="N86" i="1"/>
  <c r="N87" i="1"/>
  <c r="N88" i="1"/>
  <c r="N89" i="1"/>
  <c r="N90" i="1"/>
  <c r="N91" i="1"/>
  <c r="N92" i="1"/>
  <c r="N93" i="1"/>
  <c r="N94" i="1"/>
  <c r="N95" i="1"/>
  <c r="N96" i="1"/>
  <c r="R85" i="1"/>
  <c r="R84" i="1"/>
  <c r="R83" i="1"/>
  <c r="R82" i="1"/>
  <c r="N82" i="1"/>
  <c r="N83" i="1"/>
  <c r="N84" i="1"/>
  <c r="N85" i="1"/>
  <c r="R81" i="1"/>
  <c r="R80" i="1"/>
  <c r="N80" i="1"/>
  <c r="N81" i="1"/>
  <c r="R79" i="1"/>
  <c r="R78" i="1"/>
  <c r="R77" i="1"/>
  <c r="N77" i="1"/>
  <c r="N78" i="1"/>
  <c r="N79" i="1"/>
  <c r="R76" i="1"/>
  <c r="R75" i="1"/>
  <c r="R74" i="1"/>
  <c r="R73" i="1"/>
  <c r="R72" i="1"/>
  <c r="R71" i="1"/>
  <c r="R70" i="1"/>
  <c r="R69" i="1"/>
  <c r="R68" i="1"/>
  <c r="R67" i="1"/>
  <c r="R66" i="1"/>
  <c r="N66" i="1"/>
  <c r="N67" i="1"/>
  <c r="N68" i="1"/>
  <c r="N69" i="1"/>
  <c r="N70" i="1"/>
  <c r="N71" i="1"/>
  <c r="N72" i="1"/>
  <c r="N73" i="1"/>
  <c r="N74" i="1"/>
  <c r="N75" i="1"/>
  <c r="N76" i="1"/>
  <c r="R65" i="1"/>
  <c r="R64" i="1"/>
  <c r="R63" i="1"/>
  <c r="R62" i="1"/>
  <c r="R61" i="1"/>
  <c r="R60" i="1"/>
  <c r="R59" i="1"/>
  <c r="R58" i="1"/>
  <c r="R57" i="1"/>
  <c r="R56" i="1"/>
  <c r="R55" i="1"/>
  <c r="N55" i="1"/>
  <c r="N56" i="1"/>
  <c r="N57" i="1"/>
  <c r="N58" i="1"/>
  <c r="N59" i="1"/>
  <c r="N60" i="1"/>
  <c r="N61" i="1"/>
  <c r="N62" i="1"/>
  <c r="N63" i="1"/>
  <c r="N64" i="1"/>
  <c r="N65" i="1"/>
  <c r="R54" i="1"/>
  <c r="R53" i="1"/>
  <c r="R52" i="1"/>
  <c r="R51" i="1"/>
  <c r="R50" i="1"/>
  <c r="R49" i="1"/>
  <c r="R48" i="1"/>
  <c r="R47" i="1"/>
  <c r="R46" i="1"/>
  <c r="R45" i="1"/>
  <c r="R44" i="1"/>
  <c r="N44" i="1"/>
  <c r="N45" i="1"/>
  <c r="N46" i="1"/>
  <c r="N47" i="1"/>
  <c r="N48" i="1"/>
  <c r="N49" i="1"/>
  <c r="N50" i="1"/>
  <c r="N51" i="1"/>
  <c r="N52" i="1"/>
  <c r="N53" i="1"/>
  <c r="N54" i="1"/>
  <c r="R43" i="1"/>
  <c r="R42" i="1"/>
  <c r="R41" i="1"/>
  <c r="R40" i="1"/>
  <c r="R39" i="1"/>
  <c r="N39" i="1"/>
  <c r="N40" i="1"/>
  <c r="N41" i="1"/>
  <c r="N42" i="1"/>
  <c r="N43" i="1"/>
  <c r="R38" i="1"/>
  <c r="N38" i="1"/>
  <c r="R37" i="1"/>
  <c r="R36" i="1"/>
  <c r="R35" i="1"/>
  <c r="N35" i="1"/>
  <c r="N36" i="1"/>
  <c r="N37" i="1"/>
  <c r="R34" i="1"/>
  <c r="R33" i="1"/>
  <c r="R32" i="1"/>
  <c r="R31" i="1"/>
  <c r="R30" i="1"/>
  <c r="R29" i="1"/>
  <c r="R28" i="1"/>
  <c r="R27" i="1"/>
  <c r="R26" i="1"/>
  <c r="R25" i="1"/>
  <c r="R24" i="1"/>
  <c r="N24" i="1"/>
  <c r="N25" i="1"/>
  <c r="N26" i="1"/>
  <c r="N27" i="1"/>
  <c r="N28" i="1"/>
  <c r="N29" i="1"/>
  <c r="N30" i="1"/>
  <c r="N31" i="1"/>
  <c r="N32" i="1"/>
  <c r="N33" i="1"/>
  <c r="N34" i="1"/>
  <c r="R23" i="1"/>
  <c r="R22" i="1"/>
  <c r="R21" i="1"/>
  <c r="R20" i="1"/>
  <c r="R19" i="1"/>
  <c r="R18" i="1"/>
  <c r="R17" i="1"/>
  <c r="R16" i="1"/>
  <c r="R15" i="1"/>
  <c r="R14" i="1"/>
  <c r="R13" i="1"/>
  <c r="N13" i="1"/>
  <c r="N14" i="1"/>
  <c r="N15" i="1"/>
  <c r="N16" i="1"/>
  <c r="N17" i="1"/>
  <c r="N18" i="1"/>
  <c r="N19" i="1"/>
  <c r="N20" i="1"/>
  <c r="N21" i="1"/>
  <c r="N22" i="1"/>
  <c r="N23" i="1"/>
  <c r="R3" i="1"/>
  <c r="R4" i="1"/>
  <c r="R5" i="1"/>
  <c r="R6" i="1"/>
  <c r="R7" i="1"/>
  <c r="R8" i="1"/>
  <c r="R9" i="1"/>
  <c r="R10" i="1"/>
  <c r="R11" i="1"/>
  <c r="R12" i="1"/>
  <c r="N3" i="1"/>
  <c r="N4" i="1"/>
  <c r="N5" i="1"/>
  <c r="N6" i="1"/>
  <c r="N7" i="1"/>
  <c r="N8" i="1"/>
  <c r="N9" i="1"/>
  <c r="N10" i="1"/>
  <c r="N11" i="1"/>
  <c r="N12" i="1"/>
  <c r="N2" i="1"/>
  <c r="R2" i="1"/>
</calcChain>
</file>

<file path=xl/sharedStrings.xml><?xml version="1.0" encoding="utf-8"?>
<sst xmlns="http://schemas.openxmlformats.org/spreadsheetml/2006/main" count="5167" uniqueCount="301">
  <si>
    <t>M</t>
  </si>
  <si>
    <t>BCB-DSTAT</t>
  </si>
  <si>
    <t>N</t>
  </si>
  <si>
    <t>nula</t>
  </si>
  <si>
    <t>cod</t>
  </si>
  <si>
    <t>nome</t>
  </si>
  <si>
    <t>per</t>
  </si>
  <si>
    <t>inicio</t>
  </si>
  <si>
    <t>fim</t>
  </si>
  <si>
    <t>esp</t>
  </si>
  <si>
    <t>met</t>
  </si>
  <si>
    <t>nome_completo</t>
  </si>
  <si>
    <t>descricao</t>
  </si>
  <si>
    <t>formato</t>
  </si>
  <si>
    <t>fonte</t>
  </si>
  <si>
    <t>Banco Central do Brasil</t>
  </si>
  <si>
    <t>urlAPI</t>
  </si>
  <si>
    <t>idAssunto</t>
  </si>
  <si>
    <t>nivel_geog</t>
  </si>
  <si>
    <t>Brasil</t>
  </si>
  <si>
    <t>localidades</t>
  </si>
  <si>
    <t>categoria</t>
  </si>
  <si>
    <t>fonte_orig</t>
  </si>
  <si>
    <t>metrica</t>
  </si>
  <si>
    <t>Saldo em final de período</t>
  </si>
  <si>
    <t>Governo Federal e Banco Central</t>
  </si>
  <si>
    <t>Governo Federal</t>
  </si>
  <si>
    <t>Banco Central</t>
  </si>
  <si>
    <t>Governos estaduais e municipais</t>
  </si>
  <si>
    <t>Governos estaduais</t>
  </si>
  <si>
    <t>Governos municipais</t>
  </si>
  <si>
    <t>Empresas estatais</t>
  </si>
  <si>
    <t>Empresas estatais federais</t>
  </si>
  <si>
    <t>Empresas estatais estaduais</t>
  </si>
  <si>
    <t>Empresas estatais municipais</t>
  </si>
  <si>
    <t>Setor público consolidado</t>
  </si>
  <si>
    <t>O conceito de setor público utilizado para mensuração é o de setor público não-financeiro mais Banco Central. Considera-se como setor público não financeiro as administrações diretas federal, estaduais e municipais, as administrações indiretas, o sistema público de previdência social e as empresas estatais não-financeiras federais, estaduais e municipais, exceto as empresas do Grupo Petrobras e do Grupo Eletrobras. Considera-se também a empresa Itaipu Binacional. A exclusão da Petrobras e da Eletrobras deve-se às características específicas das empresas, seguidoras de regras de governança corporativa similares às experimentadas pelas empresas privadas de capital aberto, e com autonomia para captar recursos nos mercados interno e externo. A exclusão da Petrobras das estatísticas fiscais passou a ser realizada a partir dos dados referentes ao mês de maio de 2009. Para que fosse possível comparar os resultados com períodos anteriores, o cálculo da dívida líquida e das necessidades de financiamento do setor público, na nova abrangência, retroagiu a dezembro de 2001. A exclusão da Eletrobras ocorreu a partir da data base novembro de 2010 e, assim como foi feito no caso da Petrobras, o cálculo retroagiu a dezembro de 2001. Incluem-se também no conceito de setor público não-financeiro, os fundos públicos que não possuem característica de intermediários financeiros, isto é, aqueles cuja fonte de recursos é constituída de contribuições fiscais ou parafiscais. O Banco Central é incluído na apuração da dívida líquida pelo fato de transferir seu resultado automaticamente para o Tesouro Nacional. A Dívida Líquida do Setor Público (DLSP) é utilizada como base para o cálculo do déficit público "abaixo da linha" . A DLSP é definida como o balanceamento entre as dívidas e os créditos do setor público não-financeiro e do Banco Central. Os saldos são apurados pelo critério de competência, ou seja, a apropriação de encargos é contabilizada na forma pro-rata, independente da ocorrência de liberações ou reembolsos no período. Eventuais registros contábeis que não utilizam esse critério são corrigidos para manter a homogeneidade da apuração.</t>
  </si>
  <si>
    <t>milhões da unidade monetária vigente</t>
  </si>
  <si>
    <t>Divida líquida do governo geral</t>
  </si>
  <si>
    <t>Dívida bruta do governo geral - Metodologia utilizada até 2007</t>
  </si>
  <si>
    <t>Dívida bruta do governo geral - Metodologia utilizada a partir de 2008</t>
  </si>
  <si>
    <t>A Dívida Líquida do Governo Geral corresponde ao endividamento líquido (balanceamento de débitos e créditos) do Governo Federal (inclusive Previdência Social), dos governos estaduais e dos governos municipais, junto ao sistema financeiro público e privado, setor privado não-financeiro e resto do mundo.</t>
  </si>
  <si>
    <t>Dívida do governo geral</t>
  </si>
  <si>
    <t>Dívida fiscal líquida</t>
  </si>
  <si>
    <t>Dívida Fiscal Líquida</t>
  </si>
  <si>
    <t xml:space="preserve">A dívida fiscal líquida (DFL) informa qual seria a dívida líquida se ela fosse determinada apenas pela política fiscal, entendida como o controle do déficit do setor público (juros líquidos devidos deduzidos do superávit primário).  Em termos estatísticos, a DFL é calculada a partir de ajustes feitos na DLSP. O Bacen divulga periodicamente essas informações (http://www.bcb.gov.br/?COMPDLSP). A ideia é expurgar da DLSP fatores que não estejam estritamente relacionados à política fiscal, como os ajustes patrimoniais e cambiais, a serem explicados adiante. Assim, a variação absoluta da DFL em certo período é igual ao déficit público verificado nesse período. Aferida em relação ao PIB, a variação da DFL depende ainda da evolução do próprio PIB. Quanto maior (menor) o crescimento da economia, maior (menor) o déficit público compatível com a estabilidade da DFL em relação ao PIB. </t>
  </si>
  <si>
    <t>Ajuste de privatização</t>
  </si>
  <si>
    <t>Ajuste patrimonial</t>
  </si>
  <si>
    <t>Ajuste metodológico sobre dívida externa</t>
  </si>
  <si>
    <t>Dívida fiscal líquida com câmbio</t>
  </si>
  <si>
    <t>Ajuste metodológico sobre dívida interna</t>
  </si>
  <si>
    <t>Ajustes</t>
  </si>
  <si>
    <t>R$ milhões</t>
  </si>
  <si>
    <t>Dívida líquida do setor público - total</t>
  </si>
  <si>
    <t>%</t>
  </si>
  <si>
    <t>O conceito de setor público utilizado para mensuração é o de setor público não-financeiro mais Banco Central. Considera-se como setor público não financeiro as administrações diretas federal, estaduais e municipais, as administrações indiretas, o sistema público de previdência social e as empresas estatais não-financeiras federais, estaduais e municipais, exceto as empresas do Grupo Petrobras e do Grupo Eletrobras. Considera-se também a empresa Itaipu Binacional. A exclusão da Petrobras e da Eletrobras deve-se às características específicas das empresas, seguidoras de regras de governança corporativa similares às experimentadas pelas empresas privadas de capital aberto, e com autonomia para captar recursos nos mercados interno e externo. A exclusão da Petrobras das estatísticas fiscais passou a ser realizada a partir dos dados referentes ao mês de maio de 2009. Para que fosse possível comparar os resultados com períodos anteriores, o cálculo da dívida líquida e das necessidades de financiamento do setor público, na nova abrangência, retroagiu a dezembro de 2001. A exclusão da Eletrobras ocorreu a partir da data base novembro de 2010 e, assim como foi feito no caso da Petrobras, o cálculo retroagiu a dezembro de 2001. Incluem-se também no conceito de setor público não-financeiro, os fundos públicos que não possuem característica de intermediários financeiros, isto é, aqueles cuja fonte de recursos é constituída de contribuições fiscais ou parafiscais. O Banco Central é incluído na apuração da dívida líquida pelo fato de transferir seu resultado automaticamente para o Tesouro Nacional. A Dívida Líquida do Setor Público (DLSP) é utilizada como base para o cálculo do déficit público "abaixo da linha" . A DLSP é definida como o balanceamento entre as dívidas e os créditos do setor público não-financeiro e do Banco Central. Os saldos são apurados pelo critério de competência, ou seja, a apropriação de encargos é contabilizada na forma pro-rata, independente da ocorrência de liberações ou reembolsos no período. Eventuais registros contábeis que não utilizam esse critério são corrigidos para manter a homogeneidade da apuração. O cálculo da relação dívida/PIB considera o valor do PIB acumulado dos últimos 12 meses em valores correntes.</t>
  </si>
  <si>
    <t>% do PIB</t>
  </si>
  <si>
    <t>US$ milhões</t>
  </si>
  <si>
    <t>Dívida líquida do setor público - interna</t>
  </si>
  <si>
    <t>Dívida líquida do setor público - externa</t>
  </si>
  <si>
    <t>Dívida líquida do governo geral</t>
  </si>
  <si>
    <t>Governo Federal e Banco Cental</t>
  </si>
  <si>
    <t>NFSP sem desvalorização cambial - Resultado nominal - total</t>
  </si>
  <si>
    <t>As  Necessidades de Financiamento do Setor Público (NFSP) incluem o Governo Federal (Tesouro Nacional e Sistema de Previdência Social), os governos estaduais e municipais, as empresas estatais das três esferas de governo (exceto Petrobras e Eletrobras) e o Banco Central do Brasil. A exclusão da Petrobras e da Eletrobras deve-se às características específicas das empresas, seguidoras de regras de governança corporativa similares às experimentadas pelas empresas privadas de capital aberto, e com autonomia para captar recursos nos mercados interno e externo. A exclusão da Petrobras das estatísticas fiscais passou a ser realizada a partir dos dados referentes ao mês de maio de 2009. Para que fosse possível comparar os resultados com períodos anteriores, o cálculo da dívida líquida e das necessidades de financiamento do setor público, na nova abrangência, retroagiu a dezembro de 2001. No caso das séries com a inclusão da Petrobras, as informações foram encerradas em abril de 2009, permanecendo disponíveis para consulta nas séries especiais (http://www.bcb.gov.br/?SERIEDLSP).  A exclusão da Eletrobras ocorreu a partir da data base novembro de 2010 e, assim como foi feito no caso da Petrobras, o cálculo retroagiu a dezembro de 2001. Os dados são divulgados em termos agregados e separadamente para cada esfera de governo. O resultado primário é calculado segundo o critério de caixa; e os juros nominais, segundo o critério de competência. Os principais indicadores de déficit ou superávit das diversas esferas de governo, apurados pela ótica do financiamento (metodologia “abaixo da linha”) são os seguintes: Resultado nominal: corresponde à variação nominal dos saldos da dívida líquida, deduzidos os ajustes patrimoniais e metodológicos efetuados no período. Abrange o componente de atualização monetária da dívida, os juros reais e o resultado fiscal primário; Juros nominais: refere-se ao fluxo de juros, apropriados por competência, incidentes sobre a dívida interna e externa. Engloba os juros reais e o componente de atualização monetária da dívida. Corresponde ao componente financeiro do resultado fiscal. Exclui o impacto da variação cambial sobre a dívida externa e sobre a dívida mobiliária interna indexada ao dólar; e Resultado primário: é o componente não-financeiro do resultado fiscal do setor público. Corresponde ao resultado nominal menos os juros nominais apropriados por competência, incidentes sobre a dívida.</t>
  </si>
  <si>
    <t>Fluxo acumulado no período</t>
  </si>
  <si>
    <t>NFSP sem desvalorização cambial - Fluxo mensal corrente (u.m.c.) - Resultado nominal - Interna - Governo Federal</t>
  </si>
  <si>
    <t>NFSP sem desvalorização cambial - Fluxo mensal corrente (u.m.c.) - Resultado nominal - Interna - Banco Central</t>
  </si>
  <si>
    <t>NFSP sem desvalorização cambial - Fluxo mensal corrente (u.m.c.) - Resultado nominal - Interna - Governos estaduais</t>
  </si>
  <si>
    <t>NFSP sem desvalorização cambial - Fluxo mensal corrente (u.m.c.) - Resultado nominal - Interna - Governos municipais</t>
  </si>
  <si>
    <t>NFSP sem desvalorização cambial - Resultado nominal - interna</t>
  </si>
  <si>
    <t>NFSP sem desvalorização cambial - Fluxo mensal corrente (u.m.c.) - Resultado nominal - Externa - Governo Federal</t>
  </si>
  <si>
    <t>NFSP sem desvalorização cambial - Fluxo mensal corrente (u.m.c.) - Resultado nominal - Externa - Banco Central</t>
  </si>
  <si>
    <t>NFSP sem desvalorização cambial - Fluxo mensal corrente (u.m.c.) - Resultado nominal - Externa - Governos estaduais</t>
  </si>
  <si>
    <t>NFSP sem desvalorização cambial - Fluxo mensal corrente (u.m.c.) - Resultado nominal - Externa - Governos municipais</t>
  </si>
  <si>
    <t>NFSP sem desvalorização cambial - Resultado nominal - externa</t>
  </si>
  <si>
    <t>Juros nominais: refere-se ao fluxo de juros, apropriados por competência, incidentes sobre a dívida interna e externa. Engloba os juros reais e o componente de atualização monetária da dívida. Corresponde ao componente financeiro do resultado fiscal. Exclui o impacto da variação cambial sobre a dívida externa e sobre a dívida mobiliária interna indexada ao dólar.</t>
  </si>
  <si>
    <t>Juros nominais - total</t>
  </si>
  <si>
    <t>NFSP sem desvalorização cambial - Fluxo mensal corrente (u.m.c.) - Juros nominais - Interna - Governo Federal</t>
  </si>
  <si>
    <t>NFSP sem desvalorização cambial - Fluxo mensal corrente (u.m.c.) - Juros nominais - Interna - Banco Central</t>
  </si>
  <si>
    <t>NFSP sem desvalorização cambial - Fluxo mensal corrente (u.m.c.) - Juros nominais - Interna - Governos estaduais</t>
  </si>
  <si>
    <t>NFSP sem desvalorização cambial - Fluxo mensal corrente (u.m.c.) - Juros nominais - Interna - Governos municipais</t>
  </si>
  <si>
    <t>NFSP sem desvalorização cambial - Fluxo mensal corrente (u.m.c.) - Juros nominais - Interna - Empresas estatais federais</t>
  </si>
  <si>
    <t>Juros nominais - interna</t>
  </si>
  <si>
    <t>NFSP sem desvalorização cambial - Fluxo mensal corrente (u.m.c.) - Juros nominais - Externa - Governo Federal</t>
  </si>
  <si>
    <t>NFSP sem desvalorização cambial - Fluxo mensal corrente (u.m.c.) - Juros nominais - Externa - Banco Central</t>
  </si>
  <si>
    <t>NFSP sem desvalorização cambial - Fluxo mensal corrente (u.m.c.) - Juros nominais - Externa - Governos estaduais</t>
  </si>
  <si>
    <t>NFSP sem desvalorização cambial - Fluxo mensal corrente (u.m.c.) - Juros nominais - Externa - Governos municipais</t>
  </si>
  <si>
    <t>NFSP sem desvalorização cambial - Fluxo mensal corrente (u.m.c.) - Juros nominais - Externa - Empresas estatais federais</t>
  </si>
  <si>
    <t>Juros nominais - externa</t>
  </si>
  <si>
    <t>NFSP sem desvalorização cambial - Fluxo mensal corrente (u.m.c.) - Resultado primário - Total - Governo Federal</t>
  </si>
  <si>
    <t>NFSP sem desvalorização cambial - Fluxo mensal corrente (u.m.c.) - Resultado primário - Total - Banco Central</t>
  </si>
  <si>
    <t>NFSP sem desvalorização cambial - Fluxo mensal corrente (u.m.c.) - Resultado primário - Total - Governos estaduais</t>
  </si>
  <si>
    <t>NFSP sem desvalorização cambial - Fluxo mensal corrente (u.m.c.) - Resultado primário - Total - Governos municipais</t>
  </si>
  <si>
    <t>Governo Federal sem INSS</t>
  </si>
  <si>
    <t>NFSP - Fluxo mensal corrente (u.m.c.) - Resultado primário - Total - INSS</t>
  </si>
  <si>
    <t>Resultado primário total</t>
  </si>
  <si>
    <t>Resultado primário: é o componente não-financeiro do resultado fiscal do setor público. Corresponde ao resultado nominal menos os juros nominais apropriados por competência, incidentes sobre a dívida.</t>
  </si>
  <si>
    <t>Total emitido</t>
  </si>
  <si>
    <t>Carteira do Banco Central</t>
  </si>
  <si>
    <t>Títulos Públicos Federais (posição de custódia)</t>
  </si>
  <si>
    <t>Total em mercado</t>
  </si>
  <si>
    <t>Títulos do Tesouro Nacional-posição em carteira - LTN</t>
  </si>
  <si>
    <t>Títulos do Tesouro Nacional-posição em carteira - LFT</t>
  </si>
  <si>
    <t>Títulos do Tesouro Nacional-posição em carteira - NTN</t>
  </si>
  <si>
    <t>Títulos do Tesouro Nacional-posição em carteira - CTN</t>
  </si>
  <si>
    <t>Títulos do Tesouro Nacional-posição em carteira - CFT</t>
  </si>
  <si>
    <t>Títulos do Tesouro Nacional-posição em carteira - BTN</t>
  </si>
  <si>
    <t>Títulos do Tesouro Nacional-posição em carteira - Créditos securitizados</t>
  </si>
  <si>
    <t>Títulos do Tesouro Nacional-posição em carteira - Dívida agrícola</t>
  </si>
  <si>
    <t>Títulos do Tesouro Nacional-posição em carteira - TDA</t>
  </si>
  <si>
    <t>Títulos do Tesouro Nacional-posição em carteira - CDP</t>
  </si>
  <si>
    <t>Tesouraria MP nº 1.789</t>
  </si>
  <si>
    <t>Títulos do Tesouro Nacional - posição de custódia - LTN</t>
  </si>
  <si>
    <t>Títulos do Tesouro Nacional - posição de custódia - LFT</t>
  </si>
  <si>
    <t>Títulos do Tesouro Nacional - posição de custódia - NTN</t>
  </si>
  <si>
    <t>Títulos do Tesouro Nacional - posição de custódia - CTN</t>
  </si>
  <si>
    <t>Títulos do Tesouro Nacional - posição de custódia - CFT</t>
  </si>
  <si>
    <t>Títulos do Tesouro Nacional - posição de custódia - BTN</t>
  </si>
  <si>
    <t>Títulos do Tesouro Nacional - posição de custódia - Créditos securitizados</t>
  </si>
  <si>
    <t>Títulos do Tesouro Nacional - posição de custódia - Dívida agrícola</t>
  </si>
  <si>
    <t>Títulos do Tesouro Nacional - posição de custódia - TDA</t>
  </si>
  <si>
    <t>Títulos do Tesouro Nacional - posição de custódia - CDP</t>
  </si>
  <si>
    <t>Emitidos em oferta pública - prazo e duração médios - NTN-B</t>
  </si>
  <si>
    <t>Meses</t>
  </si>
  <si>
    <t>BCB-Demab</t>
  </si>
  <si>
    <t>Emitidos em oferta pública - prazo e duração médios - NTN-C</t>
  </si>
  <si>
    <t>Emitidos em oferta pública - prazo e duração médios - NTN-D</t>
  </si>
  <si>
    <t>Emitidos em oferta pública - prazo e duração médios - NTN-E e NTN-H</t>
  </si>
  <si>
    <t>Emitidos em oferta pública - prazo e duração médios - NTN-S</t>
  </si>
  <si>
    <t>Emitidos em oferta pública - prazo e duração médios - LTN</t>
  </si>
  <si>
    <t>Emitidos em oferta pública - prazo médio - LFT</t>
  </si>
  <si>
    <t>Emitidos em oferta pública - duração média - LFT</t>
  </si>
  <si>
    <t>Dívida mobiliária federal - Títulos do Tesouro Nacional - Emitidos em oferta pública - prazo médio - Total</t>
  </si>
  <si>
    <t>Dívida mobiliária federal - Títulos do Tesouro Nacional - Emitidos em oferta pública - duração média - Total</t>
  </si>
  <si>
    <t>Dívida mobiliária federal - Títulos do Tesouro Nacional - Emitidos - prazo médio - Total</t>
  </si>
  <si>
    <t>Emitidos em oferta pública - prazo e duração médios - NTN-F</t>
  </si>
  <si>
    <t xml:space="preserve">Dívida pública interna do Tesouro Nacional, constituída pelos títulos públicos de sua emissão registrados no Sistema Especial de Liquidação e Custódia (Selic) ou na Câmara de Custódia e Liquidação (Cetip), colocados e resgatados em moeda nacional. São dois os conceitos para se avaliar o valor monetário da dívida pública mobiliária federal: posição de custódia e posição de carteira. A posição de custódia leva em consideração as operações compromissadas ocorridas no mercado secundário. Os dois conceitos estão relacionados pela seguinte equação: posição de custódia = posição de carteira + operações de recompra - operações de revenda. Operações de recompra são vendas de títulos ao mercado, pelo Banco Central, com o compromisso de recompra; e operações de revenda são operações de compra de títulos do mercado, pelo Banco Central, com o compromisso de revenda. O cálculo do valor monetário é obtido pelo conceito do preço unitário na curva, que leva em consideração as características de cada papel: data de emissão, data de vencimento, taxa de juros, existência de pagamento ou não de cupons e indexadores. </t>
  </si>
  <si>
    <t>Dívida mobiliária (Saldos) - Títulos do Banco Central-posição em carteira - LBC e LBC-E</t>
  </si>
  <si>
    <t>Dívida mobiliária (Saldos) - Títulos do Banco Central-posição em carteira - BBC</t>
  </si>
  <si>
    <t>Dívida mobiliária (Saldos) - Títulos do Banco Central-posição em carteira - BBC-A</t>
  </si>
  <si>
    <t>Dívida mobiliária (Saldos) - Títulos do Banco Central-posição em carteira - NBC-A</t>
  </si>
  <si>
    <t>Dívida mobiliária (Saldos) - Títulos do Banco Central-posição em carteira - NBC-E</t>
  </si>
  <si>
    <t>Dívida mobiliária (Saldos) - Títulos do Banco Central-posição em carteira - NBC-F</t>
  </si>
  <si>
    <t>Dívida pública interna do Banco Central do Brasil constituída pelos títulos públicos de sua emissão registrados no Sistema Especial de Liquidação e Custódia (Selic), colocados e resgatados em moeda nacional. Em 2006, foram resgatados os últimos títulos de emissão do Banco Central, tendo deixado de existir, desde então, dívida mobiliária emitida pela Autoridade Monetária, em função da proibição estabelecida pela Lei Complementar 101, de 4.5.2000.</t>
  </si>
  <si>
    <t>Dívida mobiliária (Saldos) - Títulos do Banco Central - posição de custódia - LBC e LBC-E</t>
  </si>
  <si>
    <t>Dívida mobiliária (Saldos) - Títulos do Banco Central - posição de custódia - BBC</t>
  </si>
  <si>
    <t>Dívida mobiliária (Saldos) - Títulos do Banco Central - posição de custódia - BBC-A</t>
  </si>
  <si>
    <t>Dívida mobiliária (Saldos) - Títulos do Banco Central - posição de custódia - NBC-A</t>
  </si>
  <si>
    <t>Dívida mobiliária (Saldos) - Títulos do Banco Central - posição de custódia - NBC-E</t>
  </si>
  <si>
    <t>Dívida mobiliária (Saldos) - Títulos do Banco Central - posição de custódia - NBC-F</t>
  </si>
  <si>
    <t>Emitidos em oferta pública - prazo e duração médios - BBC</t>
  </si>
  <si>
    <t>Emitidos em oferta pública - prazo e duração médios - BBC-A</t>
  </si>
  <si>
    <t>Emitidos em oferta pública - prazo e duração médios - NBC-A</t>
  </si>
  <si>
    <t>Emitidos em oferta pública - prazo e duração médios - NBC-E</t>
  </si>
  <si>
    <t>Emitidos em oferta pública - prazo e duração médios - NBC-F</t>
  </si>
  <si>
    <t>Emitidos em oferta pública - prazo e duração médios - LBC</t>
  </si>
  <si>
    <t>Emitidos em oferta pública - prazo e duração médios - Total</t>
  </si>
  <si>
    <t>Dívida mobiliária federal - Títulos consolidados do Tesouro Nacional e Banco Central - Emitidos em oferta pública - praz</t>
  </si>
  <si>
    <t>Dívida mobiliária federal - Títulos consolidados do Tesouro Nacional e Banco Central - Emitidos em oferta pública - dura</t>
  </si>
  <si>
    <t>Dívida mobiliária federal - Títulos consolidados do Tesouro Nacional e Banco Central - Emitidos - prazo médio - Total</t>
  </si>
  <si>
    <t>Câmbio</t>
  </si>
  <si>
    <t>TR</t>
  </si>
  <si>
    <t>IGP-M</t>
  </si>
  <si>
    <t>IGP-DI</t>
  </si>
  <si>
    <t>Over/Selic</t>
  </si>
  <si>
    <t>Prefixado</t>
  </si>
  <si>
    <t>TJLP</t>
  </si>
  <si>
    <t>OUTROS</t>
  </si>
  <si>
    <t>IPCA</t>
  </si>
  <si>
    <t>INPC</t>
  </si>
  <si>
    <t>Dívida mobiliária federal - Participação por indexador - Posição em carteira</t>
  </si>
  <si>
    <t>Dívida mobiliária federal - Títulos do Tesouro Nacional - Posição em carteira (saldos)</t>
  </si>
  <si>
    <t>Dívida mobiliária federal - Títulos do Tesouro Nacional - Posição em custódia (saldos)</t>
  </si>
  <si>
    <t>Dívida mobiliária federal - Títulos do Tesouro Nacional - Duração e prazo médio</t>
  </si>
  <si>
    <t>Dívida mobiliária federal - Títulos do Banco Central - Posição em carteira (saldos)</t>
  </si>
  <si>
    <t>Dívida mobiliária federal - Títulos do Banco Central - Posição em custódia (saldos)</t>
  </si>
  <si>
    <t>Dívida mobiliária federal - Títulos do Banco Central - Duração e prazo médio</t>
  </si>
  <si>
    <t>Dívida mobiliária federal - Títulos consolidados do TN e BC - duração e prazo médio</t>
  </si>
  <si>
    <t>% de participação no total</t>
  </si>
  <si>
    <t>Dívida mobiliária federal - Participação por indexador - Posição de custódia</t>
  </si>
  <si>
    <t>Selic</t>
  </si>
  <si>
    <t>Outros</t>
  </si>
  <si>
    <t>Operações de mercado aberto</t>
  </si>
  <si>
    <t>Dívida mobiliária federal - Participação por indexador - Posição de custódia explicitando operações de mercado aberto</t>
  </si>
  <si>
    <t>A dívida mobiliária federal é constituída dos títulos emitidos pelo Tesouro Nacional e pelo Banco Central do Brasil e contempla os valores que estão em poder do mercado ou em carteira no Banco Central. Dívida pública interna do Tesouro Nacional (TN), constituída pelos títulos públicos de sua emissão registrados no Sistema Especial de Liquidação e Custódia (Selic) ou na Câmara de Custódia e Liquidação (Cetip), colocados e resgatados em moeda nacional. São dois os conceitos para se avaliar o valor monetário da dívida pública mobiliária federal: posição de custódia e posição de carteira. A posição de custódia leva em consideração as operações compromissadas ocorridas no mercado secundário. Os dois conceitos estão relacionados pela seguinte equação: posição de custódia = posição de carteira + operações de recompra - operações de revenda. Operações de recompra são vendas de títulos ao mercado, pelo Banco Central, com o compromisso de recompra; e operações de revenda são operações de compra de títulos do mercado, pelo Banco Central, com o compromisso de revenda. O cálculo do valor monetário é obtido pelo conceito do preço unitário na curva, que leva em consideração as características de cada papel: data de emissão, data de vencimento, taxa de juros, existência de pagamento ou não de cupons e indexadores.  Dívida pública interna do Banco Central do Brasil (BC) constituída pelos títulos públicos de sua emissão registrados no Sistema Especial de Liquidação e Custódia (Selic), colocados e resgatados em moeda nacional. Em 2006, foram resgatados os últimos títulos de emissão do Banco Central, tendo deixado de existir, desde então, dívida mobiliária emitida pela Autoridade Monetária, em função da proibição estabelecida pela Lei Complementar 101, de 4.5.2000. Dívidas securitizadas: Inclui dívidas vencidas e renegociadas (DVR), que correspondem aos débitos de empresas estatais (exceto Petrobras), assumidos e renegociados pelo governo federal mediante securitização, com emissão de títulos registrados na Cetip; e os títulos da dívida agrária (TDA) em mercado, emitidos pelo Tesouro Nacional nos processos de desapropriação de terras para reforma agrária.</t>
  </si>
  <si>
    <t>MF-STN</t>
  </si>
  <si>
    <t>Total</t>
  </si>
  <si>
    <t>Título indexado a Selic - LBC/LBCE</t>
  </si>
  <si>
    <t>Título indexado a Selic - LFT</t>
  </si>
  <si>
    <t>Título indexado a Selic - Crédito securitizado</t>
  </si>
  <si>
    <t>Título indexado a Selic - Dívida agrícola</t>
  </si>
  <si>
    <t>Título indexado a Selic - CFT-C</t>
  </si>
  <si>
    <t>Dívida mobiliária federal - Títulos por indexador - Posição em carteira - Selic</t>
  </si>
  <si>
    <t>IGP-M - Total</t>
  </si>
  <si>
    <t>Título indexado ao IGP-DI - CFT-A</t>
  </si>
  <si>
    <t>Título indexado ao IGP-DI - Crédito securitizado</t>
  </si>
  <si>
    <t>Título indexado ao IGP-DI - Total</t>
  </si>
  <si>
    <t>Título indexado ao IPC-A - NTN-B</t>
  </si>
  <si>
    <t>Título indexado ao INPC - Crédito securitizado</t>
  </si>
  <si>
    <t>Título indexado ao IGP-M - CFT-E</t>
  </si>
  <si>
    <t>Título indexado ao IGP-M - CTN</t>
  </si>
  <si>
    <t>Título indexado ao IGP-M - Crédito securitizado</t>
  </si>
  <si>
    <t>Título indexado ao IGP-M - NTN-C</t>
  </si>
  <si>
    <t>Dívida mobiliária federal - Títulos por indexador - Posição em carteira - Índice de preços</t>
  </si>
  <si>
    <t>NTN-F</t>
  </si>
  <si>
    <t>Título pré-fixado - LTN</t>
  </si>
  <si>
    <t>Título pré-fixado - Dívida agrícola</t>
  </si>
  <si>
    <t>Dívida mobiliária federal - Títulos por indexador - Posição em carteira - Prefixados</t>
  </si>
  <si>
    <t>Título indexado a TR - NTN-H</t>
  </si>
  <si>
    <t>Título indexado a TR - Crédito securitizado</t>
  </si>
  <si>
    <t>Título indexado a TR - Dívida agrícola</t>
  </si>
  <si>
    <t>Título indexado a TR - TDA</t>
  </si>
  <si>
    <t>Título indexado a TR - CDP</t>
  </si>
  <si>
    <t>Título indexado a TR - CFT-B</t>
  </si>
  <si>
    <t>Título indexado a TR - NTN-P</t>
  </si>
  <si>
    <t>Dívida mobiliária federal - Títulos por indexador - Posição em carteira - TR</t>
  </si>
  <si>
    <t>Dívida mobiliária federal - Títulos por indexador - Posição em carteira - TJLP</t>
  </si>
  <si>
    <t>Título indexado a TJLP - Crédito securitizado</t>
  </si>
  <si>
    <t>Título indexado a TJLP - NTN-U</t>
  </si>
  <si>
    <t>Dívida mobiliária federal - Títulos por indexador - Posição em carteira - Câmbio</t>
  </si>
  <si>
    <t>Título indexado ao câmbio - NBCE</t>
  </si>
  <si>
    <t>Título indexado ao câmbio - NBCF</t>
  </si>
  <si>
    <t>Título indexado ao câmbio - BTN-BIB</t>
  </si>
  <si>
    <t>Título indexado ao câmbio - CFT-D</t>
  </si>
  <si>
    <t>Título indexado ao câmbio - NTN-A</t>
  </si>
  <si>
    <t>Título indexado ao câmbio - NTN-D</t>
  </si>
  <si>
    <t>Título indexado ao câmbio - NTN-I</t>
  </si>
  <si>
    <t>Título indexado ao câmbio - NTN-M</t>
  </si>
  <si>
    <t>Título indexado ao câmbio - Crédito securitizado</t>
  </si>
  <si>
    <t>Título indexado ao câmbio - NTN-R</t>
  </si>
  <si>
    <t>Dívida mobiliária federal - Títulos por indexador - Posição em carteira - Outros indexadores</t>
  </si>
  <si>
    <t>Título indexado a outros indexadores</t>
  </si>
  <si>
    <t>BBCA</t>
  </si>
  <si>
    <t>Dívida mobiliária federal - Títulos por indexador - Posição em custódia - Selic</t>
  </si>
  <si>
    <t>IGP-M - NTN-B</t>
  </si>
  <si>
    <t>Título indexado a Selic - NBCA</t>
  </si>
  <si>
    <t>Título indexado a Selic - NTN-S</t>
  </si>
  <si>
    <t>Dívida mobiliária federal - Títulos por indexador - Posição em custódia - Índice de preços</t>
  </si>
  <si>
    <t>BBC e BBCA</t>
  </si>
  <si>
    <t>NTN-J</t>
  </si>
  <si>
    <t>Dívida mobiliária federal - Títulos por indexador - Posição em custódia - Prefixados</t>
  </si>
  <si>
    <t>Título pré-fixado - NTN-S</t>
  </si>
  <si>
    <t>Dívida mobiliária federal - Títulos por indexador - Posição em custódia - TR</t>
  </si>
  <si>
    <t>NTN-T</t>
  </si>
  <si>
    <t>Dívida mobiliária federal - Títulos por indexador - Posição em custódia - TJLP</t>
  </si>
  <si>
    <t>Título indexado ao câmbio - NBCA</t>
  </si>
  <si>
    <t>Dívida mobiliária federal - Títulos por indexador - Posição em custódia - Câmbio</t>
  </si>
  <si>
    <t>Outros indexadores</t>
  </si>
  <si>
    <t>Dívida mobiliária federal - Títulos por indexador - Posição em custódia - Outros indexadores</t>
  </si>
  <si>
    <t>Títulos do Tesouro Nacional (valor)</t>
  </si>
  <si>
    <t>Títulos do Tesouro Nacional (taxa)</t>
  </si>
  <si>
    <t>% a.m.</t>
  </si>
  <si>
    <t>Depósitos compulsórios remunerados (valor)</t>
  </si>
  <si>
    <t>Depósitos compulsórios remunerados (taxa)</t>
  </si>
  <si>
    <t>Total (valor)</t>
  </si>
  <si>
    <t>Total (taxa)</t>
  </si>
  <si>
    <t>Dívida mobiliária federal - Custo da dívida não-monetária - Custo real</t>
  </si>
  <si>
    <t>Títulos do Banco Central, compulsórios remunerados</t>
  </si>
  <si>
    <t>% a.a.</t>
  </si>
  <si>
    <t>Títulos do Banco Central, extramercado e compulsórios, exceto depósitos à vista</t>
  </si>
  <si>
    <t>Dívida mobiliária federal - Custo da dívida não-monetária - Custo médio de captação</t>
  </si>
  <si>
    <t>Custo compulsórios remunerados e não remunerados</t>
  </si>
  <si>
    <t>Custo compulsórios remunerados e não remunerados mais reserva bancária</t>
  </si>
  <si>
    <t>Dívida mobiliária federal - Custo da dívida não-monetária - Custo de remuneração de compulsórios</t>
  </si>
  <si>
    <t>Mercado primário - colocações</t>
  </si>
  <si>
    <t>Mercado primário - resgates</t>
  </si>
  <si>
    <t>Mercado primário - saldo</t>
  </si>
  <si>
    <t>Mercado secundário - vendas e financiamentos líquidos tomados</t>
  </si>
  <si>
    <t>Mercado secundário - compras e financiamentos concedidos</t>
  </si>
  <si>
    <t>Mercado secundário - saldo</t>
  </si>
  <si>
    <t>Total - colocações, vendas e financiamentos tomados</t>
  </si>
  <si>
    <t>Total - resgates, compras e financiamentos concedidos</t>
  </si>
  <si>
    <t>Saldo total das operações</t>
  </si>
  <si>
    <t>Dívida mobiliária federal - Impacto monetário das operações com títulos (fluxos)</t>
  </si>
  <si>
    <t>Swap cambial - Resultado caixa</t>
  </si>
  <si>
    <t>Swap cambial - Valor competência</t>
  </si>
  <si>
    <t>Reservas Internacionais - Rentabilidade</t>
  </si>
  <si>
    <t>Reservas Internacionais - Resultado líquido</t>
  </si>
  <si>
    <t>Resultado do Banco Central - Operações cambiais</t>
  </si>
  <si>
    <t>Resultado do Banco Central - Outros, exceto operações cambiais</t>
  </si>
  <si>
    <t>Resultado do Banco Central - Total</t>
  </si>
  <si>
    <t>Resultado do Banco Central a ser transferido para o Tesouro Nacional - Acumulado no período</t>
  </si>
  <si>
    <t>Resultado do Banco Central a ser coberto</t>
  </si>
  <si>
    <t>Estoque de reservas de resultado cambial</t>
  </si>
  <si>
    <t>Operações de swap cambial - Valor Nocional</t>
  </si>
  <si>
    <t>Operações de swap cambial - Valor Nocional em dólares</t>
  </si>
  <si>
    <t>Operações cambiais do Banco Central do Brasil</t>
  </si>
  <si>
    <t>O resultado das operações de swap cambial por competência inclui ganhos e perdas ocorridos no mês, independentemente da data de sua liquidação financeira. A liquidação financeira desse resultado (Caixa) ocorre no dia útil seguinte (D+1).</t>
  </si>
  <si>
    <t>NFSP sem desvalorização cambial - Fluxo mensal corrente (u.m.c.) - Resultado nominal - Externa - Empresas estatais federais</t>
  </si>
  <si>
    <t>NFSP sem desvalorização cambial - Fluxo mensal corrente (u.m.c.) - Resultado nominal - Interna - Empresas estatais federais</t>
  </si>
  <si>
    <t>NFSP sem desvalorização cambial - Fluxo mensal corrente (u.m.c.) - Resultado primário - Total - Empresas estatais federais</t>
  </si>
  <si>
    <t>NFSP sem desvalorização cambial - Fluxo mensal corrente (u.m.c.) - Resultado nominal - Interna - Empresas estatais estaduais</t>
  </si>
  <si>
    <t>NFSP sem desvalorização cambial - Fluxo mensal corrente (u.m.c.) - Resultado nominal - Externa - Empresas estatais estaduais</t>
  </si>
  <si>
    <t>NFSP sem desvalorização cambial - Fluxo mensal corrente (u.m.c.) - Juros nominais - Interna - Empresas estatais estaduais</t>
  </si>
  <si>
    <t>NFSP sem desvalorização cambial - Fluxo mensal corrente (u.m.c.) - Juros nominais - Externa - Empresas estatais estaduais</t>
  </si>
  <si>
    <t>NFSP sem desvalorização cambial - Fluxo mensal corrente (u.m.c.) - Resultado primário - Total - Empresas estatais estaduais</t>
  </si>
  <si>
    <t>NFSP sem desvalorização cambial - Fluxo mensal corrente (u.m.c.) - Resultado nominal - Interna - Empresas estatais municipais</t>
  </si>
  <si>
    <t>NFSP sem desvalorização cambial - Fluxo mensal corrente (u.m.c.) - Resultado nominal - Externa - Empresas estatais municipais</t>
  </si>
  <si>
    <t>NFSP sem desvalorização cambial - Fluxo mensal corrente (u.m.c.) - Juros nominais - Externa - Empresas estatais municipais</t>
  </si>
  <si>
    <t>NFSP sem desvalorização cambial - Fluxo mensal corrente (u.m.c.) - Resultado primário - Total - Empresas estatais municipais</t>
  </si>
  <si>
    <t>NFSP sem desvalorização cambial - Fluxo mensal corrente (u.m.c.) - Juros nominais - Interna - Empresas estatais municipais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</si>
</sst>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Verdana"/>
      <family val="2"/>
    </font>
    <font>
      <sz val="8"/>
      <color rgb="FF000000"/>
      <name val="Verdana"/>
      <family val="2"/>
    </font>
    <font>
      <sz val="10"/>
      <color rgb="FF0036D7"/>
      <name val="Verdana"/>
      <family val="2"/>
    </font>
  </fonts>
  <fills count="5">
    <fill>
      <patternFill patternType="none"/>
    </fill>
    <fill>
      <patternFill patternType="gray125"/>
    </fill>
    <fill>
      <patternFill patternType="solid">
        <fgColor rgb="FFF2F4F6"/>
        <bgColor indexed="64"/>
      </patternFill>
    </fill>
    <fill>
      <patternFill patternType="solid">
        <fgColor rgb="FFE5E9ED"/>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0" fontId="1" fillId="2" borderId="0" xfId="0" applyFont="1" applyFill="1" applyAlignment="1">
      <alignment horizontal="left" vertical="center"/>
    </xf>
    <xf numFmtId="0" fontId="2" fillId="2" borderId="0" xfId="0" applyFont="1" applyFill="1" applyAlignment="1">
      <alignment horizontal="center" vertical="center"/>
    </xf>
    <xf numFmtId="14" fontId="1" fillId="2" borderId="0" xfId="0" applyNumberFormat="1" applyFont="1" applyFill="1" applyAlignment="1">
      <alignment horizontal="center" vertical="center"/>
    </xf>
    <xf numFmtId="17" fontId="1" fillId="2" borderId="0" xfId="0" applyNumberFormat="1" applyFont="1" applyFill="1" applyAlignment="1">
      <alignment horizontal="center" vertical="center"/>
    </xf>
    <xf numFmtId="0" fontId="1" fillId="2" borderId="0" xfId="0" applyFont="1" applyFill="1" applyAlignment="1">
      <alignment vertical="center"/>
    </xf>
    <xf numFmtId="0" fontId="3" fillId="2" borderId="0" xfId="0" applyFont="1" applyFill="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2" fillId="3" borderId="0" xfId="0" applyFont="1" applyFill="1" applyAlignment="1">
      <alignment horizontal="center" vertical="center"/>
    </xf>
    <xf numFmtId="14" fontId="1" fillId="3" borderId="0" xfId="0" applyNumberFormat="1" applyFont="1" applyFill="1" applyAlignment="1">
      <alignment horizontal="center" vertical="center"/>
    </xf>
    <xf numFmtId="17" fontId="1" fillId="3" borderId="0" xfId="0" applyNumberFormat="1" applyFont="1" applyFill="1" applyAlignment="1">
      <alignment horizontal="center" vertical="center"/>
    </xf>
    <xf numFmtId="0" fontId="1" fillId="3" borderId="0" xfId="0" applyFont="1" applyFill="1" applyAlignment="1">
      <alignment vertical="center"/>
    </xf>
    <xf numFmtId="0" fontId="3" fillId="3" borderId="0" xfId="0" applyFont="1" applyFill="1" applyAlignment="1">
      <alignment horizontal="center" vertical="center"/>
    </xf>
    <xf numFmtId="0" fontId="2" fillId="4" borderId="0" xfId="0" applyFont="1" applyFill="1"/>
    <xf numFmtId="0" fontId="0" fillId="4" borderId="0" xfId="0" applyFill="1"/>
    <xf numFmtId="0" fontId="1" fillId="0" borderId="0" xfId="0" applyFont="1" applyAlignment="1">
      <alignment horizontal="lef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2" fillId="2" borderId="0" xfId="0" applyFont="1" applyFill="1" applyAlignment="1">
      <alignment horizontal="center" vertical="center" wrapText="1"/>
    </xf>
    <xf numFmtId="14" fontId="1" fillId="2" borderId="0" xfId="0" applyNumberFormat="1" applyFont="1" applyFill="1" applyAlignment="1">
      <alignment horizontal="center" vertical="center" wrapText="1"/>
    </xf>
    <xf numFmtId="17" fontId="1" fillId="2" borderId="0" xfId="0" applyNumberFormat="1" applyFont="1" applyFill="1" applyAlignment="1">
      <alignment horizontal="center" vertical="center" wrapText="1"/>
    </xf>
    <xf numFmtId="0" fontId="1" fillId="2" borderId="0" xfId="0" applyFont="1" applyFill="1" applyAlignment="1">
      <alignment vertical="center" wrapText="1"/>
    </xf>
    <xf numFmtId="0" fontId="3"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3" borderId="0" xfId="0" applyFont="1" applyFill="1" applyAlignment="1">
      <alignment horizontal="left" vertical="center" wrapText="1"/>
    </xf>
    <xf numFmtId="0" fontId="2" fillId="3" borderId="0" xfId="0" applyFont="1" applyFill="1" applyAlignment="1">
      <alignment horizontal="center" vertical="center" wrapText="1"/>
    </xf>
    <xf numFmtId="14" fontId="1" fillId="3" borderId="0" xfId="0" applyNumberFormat="1" applyFont="1" applyFill="1" applyAlignment="1">
      <alignment horizontal="center" vertical="center" wrapText="1"/>
    </xf>
    <xf numFmtId="17" fontId="1" fillId="3" borderId="0" xfId="0" applyNumberFormat="1" applyFont="1" applyFill="1" applyAlignment="1">
      <alignment horizontal="center" vertical="center" wrapText="1"/>
    </xf>
    <xf numFmtId="0" fontId="1" fillId="3" borderId="0" xfId="0" applyFont="1" applyFill="1" applyAlignment="1">
      <alignment vertical="center" wrapText="1"/>
    </xf>
    <xf numFmtId="0" fontId="3" fillId="3" borderId="0" xfId="0" applyFont="1" applyFill="1" applyAlignment="1">
      <alignment horizontal="center" vertical="center" wrapText="1"/>
    </xf>
    <xf numFmtId="0" fontId="1" fillId="0" borderId="0" xfId="0" applyFont="1"/>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162E-A69F-41A1-A154-84AE35CF5DDF}">
  <sheetPr codeName="Planilha1"/>
  <dimension ref="A1:S469"/>
  <sheetViews>
    <sheetView tabSelected="1" workbookViewId="0">
      <pane xSplit="3" ySplit="1" topLeftCell="D122" activePane="bottomRight" state="frozen"/>
      <selection pane="topRight" activeCell="D1" sqref="D1"/>
      <selection pane="bottomLeft" activeCell="A2" sqref="A2"/>
      <selection pane="bottomRight" activeCell="C137" sqref="C137"/>
    </sheetView>
  </sheetViews>
  <sheetFormatPr defaultRowHeight="15" x14ac:dyDescent="0.25"/>
  <cols>
    <col min="2" max="2" width="11.28515625" bestFit="1" customWidth="1"/>
    <col min="3" max="3" width="73.140625" customWidth="1"/>
    <col min="4" max="4" width="38.28515625" bestFit="1" customWidth="1"/>
    <col min="6" max="7" width="11.85546875" bestFit="1" customWidth="1"/>
    <col min="8" max="8" width="12" bestFit="1" customWidth="1"/>
    <col min="11" max="11" width="60.140625" bestFit="1" customWidth="1"/>
    <col min="12" max="12" width="37.42578125" customWidth="1"/>
    <col min="13" max="13" width="21.5703125" bestFit="1" customWidth="1"/>
    <col min="14" max="14" width="67.42578125" bestFit="1" customWidth="1"/>
    <col min="15" max="15" width="9.85546875" bestFit="1" customWidth="1"/>
    <col min="16" max="16" width="10.7109375" bestFit="1" customWidth="1"/>
    <col min="17" max="17" width="11" bestFit="1" customWidth="1"/>
    <col min="18" max="18" width="70.42578125" customWidth="1"/>
    <col min="19" max="19" width="36" bestFit="1" customWidth="1"/>
  </cols>
  <sheetData>
    <row r="1" spans="1:19" x14ac:dyDescent="0.25">
      <c r="A1" s="15" t="s">
        <v>3</v>
      </c>
      <c r="B1" s="16" t="s">
        <v>4</v>
      </c>
      <c r="C1" s="16" t="s">
        <v>11</v>
      </c>
      <c r="D1" s="16" t="s">
        <v>13</v>
      </c>
      <c r="E1" s="16" t="s">
        <v>6</v>
      </c>
      <c r="F1" s="16" t="s">
        <v>7</v>
      </c>
      <c r="G1" s="16" t="s">
        <v>8</v>
      </c>
      <c r="H1" s="16" t="s">
        <v>22</v>
      </c>
      <c r="I1" s="16" t="s">
        <v>9</v>
      </c>
      <c r="J1" s="16" t="s">
        <v>10</v>
      </c>
      <c r="K1" t="s">
        <v>5</v>
      </c>
      <c r="L1" t="s">
        <v>12</v>
      </c>
      <c r="M1" t="s">
        <v>14</v>
      </c>
      <c r="N1" t="s">
        <v>16</v>
      </c>
      <c r="O1" t="s">
        <v>17</v>
      </c>
      <c r="P1" t="s">
        <v>18</v>
      </c>
      <c r="Q1" t="s">
        <v>20</v>
      </c>
      <c r="R1" t="s">
        <v>21</v>
      </c>
      <c r="S1" t="s">
        <v>23</v>
      </c>
    </row>
    <row r="2" spans="1:19" x14ac:dyDescent="0.25">
      <c r="A2" s="18"/>
      <c r="B2" s="18">
        <v>2053</v>
      </c>
      <c r="C2" s="19" t="s">
        <v>25</v>
      </c>
      <c r="D2" s="18" t="s">
        <v>37</v>
      </c>
      <c r="E2" s="20" t="s">
        <v>0</v>
      </c>
      <c r="F2" s="21">
        <v>33269</v>
      </c>
      <c r="G2" s="22">
        <v>45597</v>
      </c>
      <c r="H2" s="23" t="s">
        <v>1</v>
      </c>
      <c r="I2" s="18" t="s">
        <v>2</v>
      </c>
      <c r="J2" s="24"/>
      <c r="K2" s="17" t="s">
        <v>53</v>
      </c>
      <c r="L2" t="s">
        <v>36</v>
      </c>
      <c r="M2" t="s">
        <v>15</v>
      </c>
      <c r="N2" t="str">
        <f>_xlfn.CONCAT("https://api.bcb.gov.br/dados/serie/bcdata.sgs.",B2,"/dados?formato=json")</f>
        <v>https://api.bcb.gov.br/dados/serie/bcdata.sgs.2053/dados?formato=json</v>
      </c>
      <c r="O2">
        <v>7</v>
      </c>
      <c r="P2" t="s">
        <v>19</v>
      </c>
      <c r="Q2" t="s">
        <v>19</v>
      </c>
      <c r="R2" t="str">
        <f>C2</f>
        <v>Governo Federal e Banco Central</v>
      </c>
      <c r="S2" t="s">
        <v>24</v>
      </c>
    </row>
    <row r="3" spans="1:19" x14ac:dyDescent="0.25">
      <c r="A3" s="25"/>
      <c r="B3" s="25">
        <v>2054</v>
      </c>
      <c r="C3" s="26" t="s">
        <v>26</v>
      </c>
      <c r="D3" s="18" t="s">
        <v>37</v>
      </c>
      <c r="E3" s="27" t="s">
        <v>0</v>
      </c>
      <c r="F3" s="28">
        <v>35826</v>
      </c>
      <c r="G3" s="29">
        <v>45597</v>
      </c>
      <c r="H3" s="30" t="s">
        <v>1</v>
      </c>
      <c r="I3" s="25" t="s">
        <v>2</v>
      </c>
      <c r="J3" s="31"/>
      <c r="K3" s="17" t="s">
        <v>53</v>
      </c>
      <c r="L3" t="s">
        <v>36</v>
      </c>
      <c r="M3" t="s">
        <v>15</v>
      </c>
      <c r="N3" t="str">
        <f t="shared" ref="N3:N12" si="0">_xlfn.CONCAT("https://api.bcb.gov.br/dados/serie/bcdata.sgs.",B3,"/dados?formato=json")</f>
        <v>https://api.bcb.gov.br/dados/serie/bcdata.sgs.2054/dados?formato=json</v>
      </c>
      <c r="O3">
        <v>7</v>
      </c>
      <c r="P3" t="s">
        <v>19</v>
      </c>
      <c r="Q3" t="s">
        <v>19</v>
      </c>
      <c r="R3" t="str">
        <f t="shared" ref="R3:R12" si="1">C3</f>
        <v>Governo Federal</v>
      </c>
      <c r="S3" t="s">
        <v>24</v>
      </c>
    </row>
    <row r="4" spans="1:19" x14ac:dyDescent="0.25">
      <c r="A4" s="18"/>
      <c r="B4" s="18">
        <v>2055</v>
      </c>
      <c r="C4" s="19" t="s">
        <v>27</v>
      </c>
      <c r="D4" s="18" t="s">
        <v>37</v>
      </c>
      <c r="E4" s="20" t="s">
        <v>0</v>
      </c>
      <c r="F4" s="21">
        <v>35826</v>
      </c>
      <c r="G4" s="22">
        <v>45597</v>
      </c>
      <c r="H4" s="23" t="s">
        <v>1</v>
      </c>
      <c r="I4" s="18" t="s">
        <v>2</v>
      </c>
      <c r="J4" s="24"/>
      <c r="K4" s="17" t="s">
        <v>53</v>
      </c>
      <c r="L4" t="s">
        <v>36</v>
      </c>
      <c r="M4" t="s">
        <v>15</v>
      </c>
      <c r="N4" t="str">
        <f t="shared" si="0"/>
        <v>https://api.bcb.gov.br/dados/serie/bcdata.sgs.2055/dados?formato=json</v>
      </c>
      <c r="O4">
        <v>7</v>
      </c>
      <c r="P4" t="s">
        <v>19</v>
      </c>
      <c r="Q4" t="s">
        <v>19</v>
      </c>
      <c r="R4" t="str">
        <f t="shared" si="1"/>
        <v>Banco Central</v>
      </c>
      <c r="S4" t="s">
        <v>24</v>
      </c>
    </row>
    <row r="5" spans="1:19" x14ac:dyDescent="0.25">
      <c r="A5" s="25"/>
      <c r="B5" s="25">
        <v>2056</v>
      </c>
      <c r="C5" s="26" t="s">
        <v>28</v>
      </c>
      <c r="D5" s="18" t="s">
        <v>37</v>
      </c>
      <c r="E5" s="27" t="s">
        <v>0</v>
      </c>
      <c r="F5" s="28">
        <v>33269</v>
      </c>
      <c r="G5" s="29">
        <v>45597</v>
      </c>
      <c r="H5" s="30" t="s">
        <v>1</v>
      </c>
      <c r="I5" s="25" t="s">
        <v>2</v>
      </c>
      <c r="J5" s="31"/>
      <c r="K5" s="17" t="s">
        <v>53</v>
      </c>
      <c r="L5" t="s">
        <v>36</v>
      </c>
      <c r="M5" t="s">
        <v>15</v>
      </c>
      <c r="N5" t="str">
        <f t="shared" si="0"/>
        <v>https://api.bcb.gov.br/dados/serie/bcdata.sgs.2056/dados?formato=json</v>
      </c>
      <c r="O5">
        <v>7</v>
      </c>
      <c r="P5" t="s">
        <v>19</v>
      </c>
      <c r="Q5" t="s">
        <v>19</v>
      </c>
      <c r="R5" t="str">
        <f t="shared" si="1"/>
        <v>Governos estaduais e municipais</v>
      </c>
      <c r="S5" t="s">
        <v>24</v>
      </c>
    </row>
    <row r="6" spans="1:19" x14ac:dyDescent="0.25">
      <c r="A6" s="18"/>
      <c r="B6" s="18">
        <v>2057</v>
      </c>
      <c r="C6" s="19" t="s">
        <v>29</v>
      </c>
      <c r="D6" s="18" t="s">
        <v>37</v>
      </c>
      <c r="E6" s="20" t="s">
        <v>0</v>
      </c>
      <c r="F6" s="21">
        <v>35826</v>
      </c>
      <c r="G6" s="22">
        <v>45597</v>
      </c>
      <c r="H6" s="23" t="s">
        <v>1</v>
      </c>
      <c r="I6" s="18" t="s">
        <v>2</v>
      </c>
      <c r="J6" s="24"/>
      <c r="K6" s="17" t="s">
        <v>53</v>
      </c>
      <c r="L6" t="s">
        <v>36</v>
      </c>
      <c r="M6" t="s">
        <v>15</v>
      </c>
      <c r="N6" t="str">
        <f t="shared" si="0"/>
        <v>https://api.bcb.gov.br/dados/serie/bcdata.sgs.2057/dados?formato=json</v>
      </c>
      <c r="O6">
        <v>7</v>
      </c>
      <c r="P6" t="s">
        <v>19</v>
      </c>
      <c r="Q6" t="s">
        <v>19</v>
      </c>
      <c r="R6" t="str">
        <f t="shared" si="1"/>
        <v>Governos estaduais</v>
      </c>
      <c r="S6" t="s">
        <v>24</v>
      </c>
    </row>
    <row r="7" spans="1:19" x14ac:dyDescent="0.25">
      <c r="A7" s="25"/>
      <c r="B7" s="25">
        <v>2058</v>
      </c>
      <c r="C7" s="26" t="s">
        <v>30</v>
      </c>
      <c r="D7" s="18" t="s">
        <v>37</v>
      </c>
      <c r="E7" s="27" t="s">
        <v>0</v>
      </c>
      <c r="F7" s="28">
        <v>35826</v>
      </c>
      <c r="G7" s="29">
        <v>45597</v>
      </c>
      <c r="H7" s="30" t="s">
        <v>1</v>
      </c>
      <c r="I7" s="25" t="s">
        <v>2</v>
      </c>
      <c r="J7" s="31"/>
      <c r="K7" s="17" t="s">
        <v>53</v>
      </c>
      <c r="L7" t="s">
        <v>36</v>
      </c>
      <c r="M7" t="s">
        <v>15</v>
      </c>
      <c r="N7" t="str">
        <f t="shared" si="0"/>
        <v>https://api.bcb.gov.br/dados/serie/bcdata.sgs.2058/dados?formato=json</v>
      </c>
      <c r="O7">
        <v>7</v>
      </c>
      <c r="P7" t="s">
        <v>19</v>
      </c>
      <c r="Q7" t="s">
        <v>19</v>
      </c>
      <c r="R7" t="str">
        <f t="shared" si="1"/>
        <v>Governos municipais</v>
      </c>
      <c r="S7" t="s">
        <v>24</v>
      </c>
    </row>
    <row r="8" spans="1:19" x14ac:dyDescent="0.25">
      <c r="A8" s="18"/>
      <c r="B8" s="18">
        <v>2059</v>
      </c>
      <c r="C8" s="19" t="s">
        <v>31</v>
      </c>
      <c r="D8" s="18" t="s">
        <v>37</v>
      </c>
      <c r="E8" s="20" t="s">
        <v>0</v>
      </c>
      <c r="F8" s="21">
        <v>37226</v>
      </c>
      <c r="G8" s="22">
        <v>45597</v>
      </c>
      <c r="H8" s="23" t="s">
        <v>1</v>
      </c>
      <c r="I8" s="18" t="s">
        <v>2</v>
      </c>
      <c r="J8" s="24"/>
      <c r="K8" s="17" t="s">
        <v>53</v>
      </c>
      <c r="L8" t="s">
        <v>36</v>
      </c>
      <c r="M8" t="s">
        <v>15</v>
      </c>
      <c r="N8" t="str">
        <f t="shared" si="0"/>
        <v>https://api.bcb.gov.br/dados/serie/bcdata.sgs.2059/dados?formato=json</v>
      </c>
      <c r="O8">
        <v>7</v>
      </c>
      <c r="P8" t="s">
        <v>19</v>
      </c>
      <c r="Q8" t="s">
        <v>19</v>
      </c>
      <c r="R8" t="str">
        <f t="shared" si="1"/>
        <v>Empresas estatais</v>
      </c>
      <c r="S8" t="s">
        <v>24</v>
      </c>
    </row>
    <row r="9" spans="1:19" x14ac:dyDescent="0.25">
      <c r="A9" s="25"/>
      <c r="B9" s="25">
        <v>2060</v>
      </c>
      <c r="C9" s="26" t="s">
        <v>32</v>
      </c>
      <c r="D9" s="18" t="s">
        <v>37</v>
      </c>
      <c r="E9" s="27" t="s">
        <v>0</v>
      </c>
      <c r="F9" s="28">
        <v>37226</v>
      </c>
      <c r="G9" s="29">
        <v>45597</v>
      </c>
      <c r="H9" s="30" t="s">
        <v>1</v>
      </c>
      <c r="I9" s="25" t="s">
        <v>2</v>
      </c>
      <c r="J9" s="31"/>
      <c r="K9" s="17" t="s">
        <v>53</v>
      </c>
      <c r="L9" t="s">
        <v>36</v>
      </c>
      <c r="M9" t="s">
        <v>15</v>
      </c>
      <c r="N9" t="str">
        <f t="shared" si="0"/>
        <v>https://api.bcb.gov.br/dados/serie/bcdata.sgs.2060/dados?formato=json</v>
      </c>
      <c r="O9">
        <v>7</v>
      </c>
      <c r="P9" t="s">
        <v>19</v>
      </c>
      <c r="Q9" t="s">
        <v>19</v>
      </c>
      <c r="R9" t="str">
        <f t="shared" si="1"/>
        <v>Empresas estatais federais</v>
      </c>
      <c r="S9" t="s">
        <v>24</v>
      </c>
    </row>
    <row r="10" spans="1:19" x14ac:dyDescent="0.25">
      <c r="A10" s="18"/>
      <c r="B10" s="18">
        <v>2061</v>
      </c>
      <c r="C10" s="19" t="s">
        <v>33</v>
      </c>
      <c r="D10" s="18" t="s">
        <v>37</v>
      </c>
      <c r="E10" s="20" t="s">
        <v>0</v>
      </c>
      <c r="F10" s="21">
        <v>35826</v>
      </c>
      <c r="G10" s="22">
        <v>45597</v>
      </c>
      <c r="H10" s="23" t="s">
        <v>1</v>
      </c>
      <c r="I10" s="18" t="s">
        <v>2</v>
      </c>
      <c r="J10" s="24"/>
      <c r="K10" s="17" t="s">
        <v>53</v>
      </c>
      <c r="L10" t="s">
        <v>36</v>
      </c>
      <c r="M10" t="s">
        <v>15</v>
      </c>
      <c r="N10" t="str">
        <f t="shared" si="0"/>
        <v>https://api.bcb.gov.br/dados/serie/bcdata.sgs.2061/dados?formato=json</v>
      </c>
      <c r="O10">
        <v>7</v>
      </c>
      <c r="P10" t="s">
        <v>19</v>
      </c>
      <c r="Q10" t="s">
        <v>19</v>
      </c>
      <c r="R10" t="str">
        <f t="shared" si="1"/>
        <v>Empresas estatais estaduais</v>
      </c>
      <c r="S10" t="s">
        <v>24</v>
      </c>
    </row>
    <row r="11" spans="1:19" x14ac:dyDescent="0.25">
      <c r="A11" s="25"/>
      <c r="B11" s="25">
        <v>2062</v>
      </c>
      <c r="C11" s="26" t="s">
        <v>34</v>
      </c>
      <c r="D11" s="18" t="s">
        <v>37</v>
      </c>
      <c r="E11" s="27" t="s">
        <v>0</v>
      </c>
      <c r="F11" s="28">
        <v>35826</v>
      </c>
      <c r="G11" s="29">
        <v>45597</v>
      </c>
      <c r="H11" s="30" t="s">
        <v>1</v>
      </c>
      <c r="I11" s="25" t="s">
        <v>2</v>
      </c>
      <c r="J11" s="31"/>
      <c r="K11" s="17" t="s">
        <v>53</v>
      </c>
      <c r="L11" t="s">
        <v>36</v>
      </c>
      <c r="M11" t="s">
        <v>15</v>
      </c>
      <c r="N11" t="str">
        <f t="shared" si="0"/>
        <v>https://api.bcb.gov.br/dados/serie/bcdata.sgs.2062/dados?formato=json</v>
      </c>
      <c r="O11">
        <v>7</v>
      </c>
      <c r="P11" t="s">
        <v>19</v>
      </c>
      <c r="Q11" t="s">
        <v>19</v>
      </c>
      <c r="R11" t="str">
        <f t="shared" si="1"/>
        <v>Empresas estatais municipais</v>
      </c>
      <c r="S11" t="s">
        <v>24</v>
      </c>
    </row>
    <row r="12" spans="1:19" x14ac:dyDescent="0.25">
      <c r="A12" s="18"/>
      <c r="B12" s="18">
        <v>4003</v>
      </c>
      <c r="C12" s="19" t="s">
        <v>35</v>
      </c>
      <c r="D12" s="18" t="s">
        <v>37</v>
      </c>
      <c r="E12" s="20" t="s">
        <v>0</v>
      </c>
      <c r="F12" s="21">
        <v>37226</v>
      </c>
      <c r="G12" s="22">
        <v>45597</v>
      </c>
      <c r="H12" s="23" t="s">
        <v>1</v>
      </c>
      <c r="I12" s="18" t="s">
        <v>2</v>
      </c>
      <c r="J12" s="24"/>
      <c r="K12" s="17" t="s">
        <v>53</v>
      </c>
      <c r="L12" t="s">
        <v>36</v>
      </c>
      <c r="M12" t="s">
        <v>15</v>
      </c>
      <c r="N12" t="str">
        <f t="shared" si="0"/>
        <v>https://api.bcb.gov.br/dados/serie/bcdata.sgs.4003/dados?formato=json</v>
      </c>
      <c r="O12">
        <v>7</v>
      </c>
      <c r="P12" t="s">
        <v>19</v>
      </c>
      <c r="Q12" t="s">
        <v>19</v>
      </c>
      <c r="R12" t="str">
        <f t="shared" si="1"/>
        <v>Setor público consolidado</v>
      </c>
      <c r="S12" t="s">
        <v>24</v>
      </c>
    </row>
    <row r="13" spans="1:19" x14ac:dyDescent="0.25">
      <c r="A13" s="18"/>
      <c r="B13" s="18">
        <v>2063</v>
      </c>
      <c r="C13" s="19" t="s">
        <v>25</v>
      </c>
      <c r="D13" s="18" t="s">
        <v>37</v>
      </c>
      <c r="E13" s="20" t="s">
        <v>0</v>
      </c>
      <c r="F13" s="21">
        <v>33269</v>
      </c>
      <c r="G13" s="22">
        <v>45597</v>
      </c>
      <c r="H13" s="23" t="s">
        <v>1</v>
      </c>
      <c r="I13" s="18" t="s">
        <v>2</v>
      </c>
      <c r="J13" s="24"/>
      <c r="K13" s="17" t="s">
        <v>58</v>
      </c>
      <c r="L13" t="s">
        <v>36</v>
      </c>
      <c r="M13" t="s">
        <v>15</v>
      </c>
      <c r="N13" t="str">
        <f t="shared" ref="N13:N23" si="2">_xlfn.CONCAT("https://api.bcb.gov.br/dados/serie/bcdata.sgs.",B13,"/dados?formato=json")</f>
        <v>https://api.bcb.gov.br/dados/serie/bcdata.sgs.2063/dados?formato=json</v>
      </c>
      <c r="O13">
        <v>7</v>
      </c>
      <c r="P13" t="s">
        <v>19</v>
      </c>
      <c r="Q13" t="s">
        <v>19</v>
      </c>
      <c r="R13" t="str">
        <f t="shared" ref="R13:R23" si="3">C13</f>
        <v>Governo Federal e Banco Central</v>
      </c>
      <c r="S13" t="s">
        <v>24</v>
      </c>
    </row>
    <row r="14" spans="1:19" x14ac:dyDescent="0.25">
      <c r="A14" s="8"/>
      <c r="B14" s="8">
        <v>2064</v>
      </c>
      <c r="C14" s="9" t="s">
        <v>26</v>
      </c>
      <c r="D14" s="18" t="s">
        <v>37</v>
      </c>
      <c r="E14" s="10" t="s">
        <v>0</v>
      </c>
      <c r="F14" s="11">
        <v>35826</v>
      </c>
      <c r="G14" s="12">
        <v>45597</v>
      </c>
      <c r="H14" s="13" t="s">
        <v>1</v>
      </c>
      <c r="I14" s="8" t="s">
        <v>2</v>
      </c>
      <c r="J14" s="14"/>
      <c r="K14" s="17" t="s">
        <v>58</v>
      </c>
      <c r="L14" t="s">
        <v>36</v>
      </c>
      <c r="M14" t="s">
        <v>15</v>
      </c>
      <c r="N14" t="str">
        <f t="shared" si="2"/>
        <v>https://api.bcb.gov.br/dados/serie/bcdata.sgs.2064/dados?formato=json</v>
      </c>
      <c r="O14">
        <v>7</v>
      </c>
      <c r="P14" t="s">
        <v>19</v>
      </c>
      <c r="Q14" t="s">
        <v>19</v>
      </c>
      <c r="R14" t="str">
        <f t="shared" si="3"/>
        <v>Governo Federal</v>
      </c>
      <c r="S14" t="s">
        <v>24</v>
      </c>
    </row>
    <row r="15" spans="1:19" x14ac:dyDescent="0.25">
      <c r="A15" s="1"/>
      <c r="B15" s="1">
        <v>2065</v>
      </c>
      <c r="C15" s="2" t="s">
        <v>27</v>
      </c>
      <c r="D15" s="18" t="s">
        <v>37</v>
      </c>
      <c r="E15" s="3" t="s">
        <v>0</v>
      </c>
      <c r="F15" s="4">
        <v>35826</v>
      </c>
      <c r="G15" s="5">
        <v>45597</v>
      </c>
      <c r="H15" s="6" t="s">
        <v>1</v>
      </c>
      <c r="I15" s="1" t="s">
        <v>2</v>
      </c>
      <c r="J15" s="7"/>
      <c r="K15" s="17" t="s">
        <v>58</v>
      </c>
      <c r="L15" t="s">
        <v>36</v>
      </c>
      <c r="M15" t="s">
        <v>15</v>
      </c>
      <c r="N15" t="str">
        <f t="shared" si="2"/>
        <v>https://api.bcb.gov.br/dados/serie/bcdata.sgs.2065/dados?formato=json</v>
      </c>
      <c r="O15">
        <v>7</v>
      </c>
      <c r="P15" t="s">
        <v>19</v>
      </c>
      <c r="Q15" t="s">
        <v>19</v>
      </c>
      <c r="R15" t="str">
        <f t="shared" si="3"/>
        <v>Banco Central</v>
      </c>
      <c r="S15" t="s">
        <v>24</v>
      </c>
    </row>
    <row r="16" spans="1:19" x14ac:dyDescent="0.25">
      <c r="A16" s="8"/>
      <c r="B16" s="8">
        <v>2066</v>
      </c>
      <c r="C16" s="9" t="s">
        <v>28</v>
      </c>
      <c r="D16" s="18" t="s">
        <v>37</v>
      </c>
      <c r="E16" s="10" t="s">
        <v>0</v>
      </c>
      <c r="F16" s="11">
        <v>33269</v>
      </c>
      <c r="G16" s="12">
        <v>45597</v>
      </c>
      <c r="H16" s="13" t="s">
        <v>1</v>
      </c>
      <c r="I16" s="8" t="s">
        <v>2</v>
      </c>
      <c r="J16" s="14"/>
      <c r="K16" s="17" t="s">
        <v>58</v>
      </c>
      <c r="L16" t="s">
        <v>36</v>
      </c>
      <c r="M16" t="s">
        <v>15</v>
      </c>
      <c r="N16" t="str">
        <f t="shared" si="2"/>
        <v>https://api.bcb.gov.br/dados/serie/bcdata.sgs.2066/dados?formato=json</v>
      </c>
      <c r="O16">
        <v>7</v>
      </c>
      <c r="P16" t="s">
        <v>19</v>
      </c>
      <c r="Q16" t="s">
        <v>19</v>
      </c>
      <c r="R16" t="str">
        <f t="shared" si="3"/>
        <v>Governos estaduais e municipais</v>
      </c>
      <c r="S16" t="s">
        <v>24</v>
      </c>
    </row>
    <row r="17" spans="1:19" x14ac:dyDescent="0.25">
      <c r="A17" s="1"/>
      <c r="B17" s="1">
        <v>2067</v>
      </c>
      <c r="C17" s="2" t="s">
        <v>29</v>
      </c>
      <c r="D17" s="18" t="s">
        <v>37</v>
      </c>
      <c r="E17" s="3" t="s">
        <v>0</v>
      </c>
      <c r="F17" s="4">
        <v>35826</v>
      </c>
      <c r="G17" s="5">
        <v>45597</v>
      </c>
      <c r="H17" s="6" t="s">
        <v>1</v>
      </c>
      <c r="I17" s="1" t="s">
        <v>2</v>
      </c>
      <c r="J17" s="7"/>
      <c r="K17" s="17" t="s">
        <v>58</v>
      </c>
      <c r="L17" t="s">
        <v>36</v>
      </c>
      <c r="M17" t="s">
        <v>15</v>
      </c>
      <c r="N17" t="str">
        <f t="shared" si="2"/>
        <v>https://api.bcb.gov.br/dados/serie/bcdata.sgs.2067/dados?formato=json</v>
      </c>
      <c r="O17">
        <v>7</v>
      </c>
      <c r="P17" t="s">
        <v>19</v>
      </c>
      <c r="Q17" t="s">
        <v>19</v>
      </c>
      <c r="R17" t="str">
        <f t="shared" si="3"/>
        <v>Governos estaduais</v>
      </c>
      <c r="S17" t="s">
        <v>24</v>
      </c>
    </row>
    <row r="18" spans="1:19" x14ac:dyDescent="0.25">
      <c r="A18" s="8"/>
      <c r="B18" s="8">
        <v>2068</v>
      </c>
      <c r="C18" s="9" t="s">
        <v>30</v>
      </c>
      <c r="D18" s="18" t="s">
        <v>37</v>
      </c>
      <c r="E18" s="10" t="s">
        <v>0</v>
      </c>
      <c r="F18" s="11">
        <v>35826</v>
      </c>
      <c r="G18" s="12">
        <v>45597</v>
      </c>
      <c r="H18" s="13" t="s">
        <v>1</v>
      </c>
      <c r="I18" s="8" t="s">
        <v>2</v>
      </c>
      <c r="J18" s="14"/>
      <c r="K18" s="17" t="s">
        <v>58</v>
      </c>
      <c r="L18" t="s">
        <v>36</v>
      </c>
      <c r="M18" t="s">
        <v>15</v>
      </c>
      <c r="N18" t="str">
        <f t="shared" si="2"/>
        <v>https://api.bcb.gov.br/dados/serie/bcdata.sgs.2068/dados?formato=json</v>
      </c>
      <c r="O18">
        <v>7</v>
      </c>
      <c r="P18" t="s">
        <v>19</v>
      </c>
      <c r="Q18" t="s">
        <v>19</v>
      </c>
      <c r="R18" t="str">
        <f t="shared" si="3"/>
        <v>Governos municipais</v>
      </c>
      <c r="S18" t="s">
        <v>24</v>
      </c>
    </row>
    <row r="19" spans="1:19" x14ac:dyDescent="0.25">
      <c r="A19" s="1"/>
      <c r="B19" s="1">
        <v>2069</v>
      </c>
      <c r="C19" s="2" t="s">
        <v>31</v>
      </c>
      <c r="D19" s="18" t="s">
        <v>37</v>
      </c>
      <c r="E19" s="3" t="s">
        <v>0</v>
      </c>
      <c r="F19" s="4">
        <v>37226</v>
      </c>
      <c r="G19" s="5">
        <v>45597</v>
      </c>
      <c r="H19" s="6" t="s">
        <v>1</v>
      </c>
      <c r="I19" s="1" t="s">
        <v>2</v>
      </c>
      <c r="J19" s="7"/>
      <c r="K19" s="17" t="s">
        <v>58</v>
      </c>
      <c r="L19" t="s">
        <v>36</v>
      </c>
      <c r="M19" t="s">
        <v>15</v>
      </c>
      <c r="N19" t="str">
        <f t="shared" si="2"/>
        <v>https://api.bcb.gov.br/dados/serie/bcdata.sgs.2069/dados?formato=json</v>
      </c>
      <c r="O19">
        <v>7</v>
      </c>
      <c r="P19" t="s">
        <v>19</v>
      </c>
      <c r="Q19" t="s">
        <v>19</v>
      </c>
      <c r="R19" t="str">
        <f t="shared" si="3"/>
        <v>Empresas estatais</v>
      </c>
      <c r="S19" t="s">
        <v>24</v>
      </c>
    </row>
    <row r="20" spans="1:19" x14ac:dyDescent="0.25">
      <c r="A20" s="8"/>
      <c r="B20" s="8">
        <v>2070</v>
      </c>
      <c r="C20" s="9" t="s">
        <v>32</v>
      </c>
      <c r="D20" s="18" t="s">
        <v>37</v>
      </c>
      <c r="E20" s="10" t="s">
        <v>0</v>
      </c>
      <c r="F20" s="11">
        <v>37226</v>
      </c>
      <c r="G20" s="12">
        <v>45597</v>
      </c>
      <c r="H20" s="13" t="s">
        <v>1</v>
      </c>
      <c r="I20" s="8" t="s">
        <v>2</v>
      </c>
      <c r="J20" s="14"/>
      <c r="K20" s="17" t="s">
        <v>58</v>
      </c>
      <c r="L20" t="s">
        <v>36</v>
      </c>
      <c r="M20" t="s">
        <v>15</v>
      </c>
      <c r="N20" t="str">
        <f t="shared" si="2"/>
        <v>https://api.bcb.gov.br/dados/serie/bcdata.sgs.2070/dados?formato=json</v>
      </c>
      <c r="O20">
        <v>7</v>
      </c>
      <c r="P20" t="s">
        <v>19</v>
      </c>
      <c r="Q20" t="s">
        <v>19</v>
      </c>
      <c r="R20" t="str">
        <f t="shared" si="3"/>
        <v>Empresas estatais federais</v>
      </c>
      <c r="S20" t="s">
        <v>24</v>
      </c>
    </row>
    <row r="21" spans="1:19" x14ac:dyDescent="0.25">
      <c r="A21" s="1"/>
      <c r="B21" s="1">
        <v>2071</v>
      </c>
      <c r="C21" s="2" t="s">
        <v>33</v>
      </c>
      <c r="D21" s="18" t="s">
        <v>37</v>
      </c>
      <c r="E21" s="3" t="s">
        <v>0</v>
      </c>
      <c r="F21" s="4">
        <v>35826</v>
      </c>
      <c r="G21" s="5">
        <v>45597</v>
      </c>
      <c r="H21" s="6" t="s">
        <v>1</v>
      </c>
      <c r="I21" s="1" t="s">
        <v>2</v>
      </c>
      <c r="J21" s="7"/>
      <c r="K21" s="17" t="s">
        <v>58</v>
      </c>
      <c r="L21" t="s">
        <v>36</v>
      </c>
      <c r="M21" t="s">
        <v>15</v>
      </c>
      <c r="N21" t="str">
        <f t="shared" si="2"/>
        <v>https://api.bcb.gov.br/dados/serie/bcdata.sgs.2071/dados?formato=json</v>
      </c>
      <c r="O21">
        <v>7</v>
      </c>
      <c r="P21" t="s">
        <v>19</v>
      </c>
      <c r="Q21" t="s">
        <v>19</v>
      </c>
      <c r="R21" t="str">
        <f t="shared" si="3"/>
        <v>Empresas estatais estaduais</v>
      </c>
      <c r="S21" t="s">
        <v>24</v>
      </c>
    </row>
    <row r="22" spans="1:19" x14ac:dyDescent="0.25">
      <c r="A22" s="8"/>
      <c r="B22" s="8">
        <v>2072</v>
      </c>
      <c r="C22" s="9" t="s">
        <v>34</v>
      </c>
      <c r="D22" s="18" t="s">
        <v>37</v>
      </c>
      <c r="E22" s="10" t="s">
        <v>0</v>
      </c>
      <c r="F22" s="11">
        <v>35826</v>
      </c>
      <c r="G22" s="12">
        <v>45597</v>
      </c>
      <c r="H22" s="13" t="s">
        <v>1</v>
      </c>
      <c r="I22" s="8" t="s">
        <v>2</v>
      </c>
      <c r="J22" s="14"/>
      <c r="K22" s="17" t="s">
        <v>58</v>
      </c>
      <c r="L22" t="s">
        <v>36</v>
      </c>
      <c r="M22" t="s">
        <v>15</v>
      </c>
      <c r="N22" t="str">
        <f t="shared" si="2"/>
        <v>https://api.bcb.gov.br/dados/serie/bcdata.sgs.2072/dados?formato=json</v>
      </c>
      <c r="O22">
        <v>7</v>
      </c>
      <c r="P22" t="s">
        <v>19</v>
      </c>
      <c r="Q22" t="s">
        <v>19</v>
      </c>
      <c r="R22" t="str">
        <f t="shared" si="3"/>
        <v>Empresas estatais municipais</v>
      </c>
      <c r="S22" t="s">
        <v>24</v>
      </c>
    </row>
    <row r="23" spans="1:19" x14ac:dyDescent="0.25">
      <c r="A23" s="1"/>
      <c r="B23" s="1">
        <v>4004</v>
      </c>
      <c r="C23" s="2" t="s">
        <v>35</v>
      </c>
      <c r="D23" s="18" t="s">
        <v>37</v>
      </c>
      <c r="E23" s="3" t="s">
        <v>0</v>
      </c>
      <c r="F23" s="4">
        <v>37226</v>
      </c>
      <c r="G23" s="5">
        <v>45597</v>
      </c>
      <c r="H23" s="6" t="s">
        <v>1</v>
      </c>
      <c r="I23" s="1" t="s">
        <v>2</v>
      </c>
      <c r="J23" s="7"/>
      <c r="K23" s="17" t="s">
        <v>58</v>
      </c>
      <c r="L23" t="s">
        <v>36</v>
      </c>
      <c r="M23" t="s">
        <v>15</v>
      </c>
      <c r="N23" t="str">
        <f t="shared" si="2"/>
        <v>https://api.bcb.gov.br/dados/serie/bcdata.sgs.4004/dados?formato=json</v>
      </c>
      <c r="O23">
        <v>7</v>
      </c>
      <c r="P23" t="s">
        <v>19</v>
      </c>
      <c r="Q23" t="s">
        <v>19</v>
      </c>
      <c r="R23" t="str">
        <f t="shared" si="3"/>
        <v>Setor público consolidado</v>
      </c>
      <c r="S23" t="s">
        <v>24</v>
      </c>
    </row>
    <row r="24" spans="1:19" x14ac:dyDescent="0.25">
      <c r="A24" s="1"/>
      <c r="B24" s="1">
        <v>2073</v>
      </c>
      <c r="C24" s="2" t="s">
        <v>25</v>
      </c>
      <c r="D24" s="18" t="s">
        <v>37</v>
      </c>
      <c r="E24" s="3" t="s">
        <v>0</v>
      </c>
      <c r="F24" s="4">
        <v>33269</v>
      </c>
      <c r="G24" s="5">
        <v>45597</v>
      </c>
      <c r="H24" s="6" t="s">
        <v>1</v>
      </c>
      <c r="I24" s="1" t="s">
        <v>2</v>
      </c>
      <c r="J24" s="7"/>
      <c r="K24" s="17" t="s">
        <v>59</v>
      </c>
      <c r="L24" t="s">
        <v>36</v>
      </c>
      <c r="M24" t="s">
        <v>15</v>
      </c>
      <c r="N24" t="str">
        <f t="shared" ref="N24:N34" si="4">_xlfn.CONCAT("https://api.bcb.gov.br/dados/serie/bcdata.sgs.",B24,"/dados?formato=json")</f>
        <v>https://api.bcb.gov.br/dados/serie/bcdata.sgs.2073/dados?formato=json</v>
      </c>
      <c r="O24">
        <v>7</v>
      </c>
      <c r="P24" t="s">
        <v>19</v>
      </c>
      <c r="Q24" t="s">
        <v>19</v>
      </c>
      <c r="R24" t="str">
        <f t="shared" ref="R24:R34" si="5">C24</f>
        <v>Governo Federal e Banco Central</v>
      </c>
      <c r="S24" t="s">
        <v>24</v>
      </c>
    </row>
    <row r="25" spans="1:19" x14ac:dyDescent="0.25">
      <c r="A25" s="8"/>
      <c r="B25" s="8">
        <v>2074</v>
      </c>
      <c r="C25" s="9" t="s">
        <v>26</v>
      </c>
      <c r="D25" s="18" t="s">
        <v>37</v>
      </c>
      <c r="E25" s="10" t="s">
        <v>0</v>
      </c>
      <c r="F25" s="11">
        <v>35826</v>
      </c>
      <c r="G25" s="12">
        <v>45597</v>
      </c>
      <c r="H25" s="13" t="s">
        <v>1</v>
      </c>
      <c r="I25" s="8" t="s">
        <v>2</v>
      </c>
      <c r="J25" s="14"/>
      <c r="K25" s="17" t="s">
        <v>59</v>
      </c>
      <c r="L25" t="s">
        <v>36</v>
      </c>
      <c r="M25" t="s">
        <v>15</v>
      </c>
      <c r="N25" t="str">
        <f t="shared" si="4"/>
        <v>https://api.bcb.gov.br/dados/serie/bcdata.sgs.2074/dados?formato=json</v>
      </c>
      <c r="O25">
        <v>7</v>
      </c>
      <c r="P25" t="s">
        <v>19</v>
      </c>
      <c r="Q25" t="s">
        <v>19</v>
      </c>
      <c r="R25" t="str">
        <f t="shared" si="5"/>
        <v>Governo Federal</v>
      </c>
      <c r="S25" t="s">
        <v>24</v>
      </c>
    </row>
    <row r="26" spans="1:19" x14ac:dyDescent="0.25">
      <c r="A26" s="1"/>
      <c r="B26" s="1">
        <v>2075</v>
      </c>
      <c r="C26" s="2" t="s">
        <v>27</v>
      </c>
      <c r="D26" s="18" t="s">
        <v>37</v>
      </c>
      <c r="E26" s="3" t="s">
        <v>0</v>
      </c>
      <c r="F26" s="4">
        <v>35826</v>
      </c>
      <c r="G26" s="5">
        <v>45597</v>
      </c>
      <c r="H26" s="6" t="s">
        <v>1</v>
      </c>
      <c r="I26" s="1" t="s">
        <v>2</v>
      </c>
      <c r="J26" s="7"/>
      <c r="K26" s="17" t="s">
        <v>59</v>
      </c>
      <c r="L26" t="s">
        <v>36</v>
      </c>
      <c r="M26" t="s">
        <v>15</v>
      </c>
      <c r="N26" t="str">
        <f t="shared" si="4"/>
        <v>https://api.bcb.gov.br/dados/serie/bcdata.sgs.2075/dados?formato=json</v>
      </c>
      <c r="O26">
        <v>7</v>
      </c>
      <c r="P26" t="s">
        <v>19</v>
      </c>
      <c r="Q26" t="s">
        <v>19</v>
      </c>
      <c r="R26" t="str">
        <f t="shared" si="5"/>
        <v>Banco Central</v>
      </c>
      <c r="S26" t="s">
        <v>24</v>
      </c>
    </row>
    <row r="27" spans="1:19" x14ac:dyDescent="0.25">
      <c r="A27" s="8"/>
      <c r="B27" s="8">
        <v>2076</v>
      </c>
      <c r="C27" s="9" t="s">
        <v>28</v>
      </c>
      <c r="D27" s="18" t="s">
        <v>37</v>
      </c>
      <c r="E27" s="10" t="s">
        <v>0</v>
      </c>
      <c r="F27" s="11">
        <v>33269</v>
      </c>
      <c r="G27" s="12">
        <v>45597</v>
      </c>
      <c r="H27" s="13" t="s">
        <v>1</v>
      </c>
      <c r="I27" s="8" t="s">
        <v>2</v>
      </c>
      <c r="J27" s="14"/>
      <c r="K27" s="17" t="s">
        <v>59</v>
      </c>
      <c r="L27" t="s">
        <v>36</v>
      </c>
      <c r="M27" t="s">
        <v>15</v>
      </c>
      <c r="N27" t="str">
        <f t="shared" si="4"/>
        <v>https://api.bcb.gov.br/dados/serie/bcdata.sgs.2076/dados?formato=json</v>
      </c>
      <c r="O27">
        <v>7</v>
      </c>
      <c r="P27" t="s">
        <v>19</v>
      </c>
      <c r="Q27" t="s">
        <v>19</v>
      </c>
      <c r="R27" t="str">
        <f t="shared" si="5"/>
        <v>Governos estaduais e municipais</v>
      </c>
      <c r="S27" t="s">
        <v>24</v>
      </c>
    </row>
    <row r="28" spans="1:19" x14ac:dyDescent="0.25">
      <c r="A28" s="1"/>
      <c r="B28" s="1">
        <v>2077</v>
      </c>
      <c r="C28" s="2" t="s">
        <v>29</v>
      </c>
      <c r="D28" s="18" t="s">
        <v>37</v>
      </c>
      <c r="E28" s="3" t="s">
        <v>0</v>
      </c>
      <c r="F28" s="4">
        <v>35826</v>
      </c>
      <c r="G28" s="5">
        <v>45597</v>
      </c>
      <c r="H28" s="6" t="s">
        <v>1</v>
      </c>
      <c r="I28" s="1" t="s">
        <v>2</v>
      </c>
      <c r="J28" s="7"/>
      <c r="K28" s="17" t="s">
        <v>59</v>
      </c>
      <c r="L28" t="s">
        <v>36</v>
      </c>
      <c r="M28" t="s">
        <v>15</v>
      </c>
      <c r="N28" t="str">
        <f t="shared" si="4"/>
        <v>https://api.bcb.gov.br/dados/serie/bcdata.sgs.2077/dados?formato=json</v>
      </c>
      <c r="O28">
        <v>7</v>
      </c>
      <c r="P28" t="s">
        <v>19</v>
      </c>
      <c r="Q28" t="s">
        <v>19</v>
      </c>
      <c r="R28" t="str">
        <f t="shared" si="5"/>
        <v>Governos estaduais</v>
      </c>
      <c r="S28" t="s">
        <v>24</v>
      </c>
    </row>
    <row r="29" spans="1:19" x14ac:dyDescent="0.25">
      <c r="A29" s="8"/>
      <c r="B29" s="8">
        <v>2078</v>
      </c>
      <c r="C29" s="9" t="s">
        <v>30</v>
      </c>
      <c r="D29" s="18" t="s">
        <v>37</v>
      </c>
      <c r="E29" s="10" t="s">
        <v>0</v>
      </c>
      <c r="F29" s="11">
        <v>35826</v>
      </c>
      <c r="G29" s="12">
        <v>45597</v>
      </c>
      <c r="H29" s="13" t="s">
        <v>1</v>
      </c>
      <c r="I29" s="8" t="s">
        <v>2</v>
      </c>
      <c r="J29" s="14"/>
      <c r="K29" s="17" t="s">
        <v>59</v>
      </c>
      <c r="L29" t="s">
        <v>36</v>
      </c>
      <c r="M29" t="s">
        <v>15</v>
      </c>
      <c r="N29" t="str">
        <f t="shared" si="4"/>
        <v>https://api.bcb.gov.br/dados/serie/bcdata.sgs.2078/dados?formato=json</v>
      </c>
      <c r="O29">
        <v>7</v>
      </c>
      <c r="P29" t="s">
        <v>19</v>
      </c>
      <c r="Q29" t="s">
        <v>19</v>
      </c>
      <c r="R29" t="str">
        <f t="shared" si="5"/>
        <v>Governos municipais</v>
      </c>
      <c r="S29" t="s">
        <v>24</v>
      </c>
    </row>
    <row r="30" spans="1:19" x14ac:dyDescent="0.25">
      <c r="A30" s="1"/>
      <c r="B30" s="1">
        <v>2079</v>
      </c>
      <c r="C30" s="2" t="s">
        <v>31</v>
      </c>
      <c r="D30" s="18" t="s">
        <v>37</v>
      </c>
      <c r="E30" s="3" t="s">
        <v>0</v>
      </c>
      <c r="F30" s="4">
        <v>37226</v>
      </c>
      <c r="G30" s="5">
        <v>45597</v>
      </c>
      <c r="H30" s="6" t="s">
        <v>1</v>
      </c>
      <c r="I30" s="1" t="s">
        <v>2</v>
      </c>
      <c r="J30" s="7"/>
      <c r="K30" s="17" t="s">
        <v>59</v>
      </c>
      <c r="L30" t="s">
        <v>36</v>
      </c>
      <c r="M30" t="s">
        <v>15</v>
      </c>
      <c r="N30" t="str">
        <f t="shared" si="4"/>
        <v>https://api.bcb.gov.br/dados/serie/bcdata.sgs.2079/dados?formato=json</v>
      </c>
      <c r="O30">
        <v>7</v>
      </c>
      <c r="P30" t="s">
        <v>19</v>
      </c>
      <c r="Q30" t="s">
        <v>19</v>
      </c>
      <c r="R30" t="str">
        <f t="shared" si="5"/>
        <v>Empresas estatais</v>
      </c>
      <c r="S30" t="s">
        <v>24</v>
      </c>
    </row>
    <row r="31" spans="1:19" x14ac:dyDescent="0.25">
      <c r="A31" s="8"/>
      <c r="B31" s="8">
        <v>2080</v>
      </c>
      <c r="C31" s="9" t="s">
        <v>32</v>
      </c>
      <c r="D31" s="18" t="s">
        <v>37</v>
      </c>
      <c r="E31" s="10" t="s">
        <v>0</v>
      </c>
      <c r="F31" s="11">
        <v>37226</v>
      </c>
      <c r="G31" s="12">
        <v>45597</v>
      </c>
      <c r="H31" s="13" t="s">
        <v>1</v>
      </c>
      <c r="I31" s="8" t="s">
        <v>2</v>
      </c>
      <c r="J31" s="14"/>
      <c r="K31" s="17" t="s">
        <v>59</v>
      </c>
      <c r="L31" t="s">
        <v>36</v>
      </c>
      <c r="M31" t="s">
        <v>15</v>
      </c>
      <c r="N31" t="str">
        <f t="shared" si="4"/>
        <v>https://api.bcb.gov.br/dados/serie/bcdata.sgs.2080/dados?formato=json</v>
      </c>
      <c r="O31">
        <v>7</v>
      </c>
      <c r="P31" t="s">
        <v>19</v>
      </c>
      <c r="Q31" t="s">
        <v>19</v>
      </c>
      <c r="R31" t="str">
        <f t="shared" si="5"/>
        <v>Empresas estatais federais</v>
      </c>
      <c r="S31" t="s">
        <v>24</v>
      </c>
    </row>
    <row r="32" spans="1:19" x14ac:dyDescent="0.25">
      <c r="A32" s="1"/>
      <c r="B32" s="1">
        <v>2081</v>
      </c>
      <c r="C32" s="2" t="s">
        <v>33</v>
      </c>
      <c r="D32" s="18" t="s">
        <v>37</v>
      </c>
      <c r="E32" s="3" t="s">
        <v>0</v>
      </c>
      <c r="F32" s="4">
        <v>35826</v>
      </c>
      <c r="G32" s="5">
        <v>45597</v>
      </c>
      <c r="H32" s="6" t="s">
        <v>1</v>
      </c>
      <c r="I32" s="1" t="s">
        <v>2</v>
      </c>
      <c r="J32" s="7"/>
      <c r="K32" s="17" t="s">
        <v>59</v>
      </c>
      <c r="L32" t="s">
        <v>36</v>
      </c>
      <c r="M32" t="s">
        <v>15</v>
      </c>
      <c r="N32" t="str">
        <f t="shared" si="4"/>
        <v>https://api.bcb.gov.br/dados/serie/bcdata.sgs.2081/dados?formato=json</v>
      </c>
      <c r="O32">
        <v>7</v>
      </c>
      <c r="P32" t="s">
        <v>19</v>
      </c>
      <c r="Q32" t="s">
        <v>19</v>
      </c>
      <c r="R32" t="str">
        <f t="shared" si="5"/>
        <v>Empresas estatais estaduais</v>
      </c>
      <c r="S32" t="s">
        <v>24</v>
      </c>
    </row>
    <row r="33" spans="1:19" x14ac:dyDescent="0.25">
      <c r="A33" s="8"/>
      <c r="B33" s="8">
        <v>2082</v>
      </c>
      <c r="C33" s="9" t="s">
        <v>34</v>
      </c>
      <c r="D33" s="18" t="s">
        <v>37</v>
      </c>
      <c r="E33" s="10" t="s">
        <v>0</v>
      </c>
      <c r="F33" s="11">
        <v>35826</v>
      </c>
      <c r="G33" s="12">
        <v>45597</v>
      </c>
      <c r="H33" s="13" t="s">
        <v>1</v>
      </c>
      <c r="I33" s="8" t="s">
        <v>2</v>
      </c>
      <c r="J33" s="14"/>
      <c r="K33" s="17" t="s">
        <v>59</v>
      </c>
      <c r="L33" t="s">
        <v>36</v>
      </c>
      <c r="M33" t="s">
        <v>15</v>
      </c>
      <c r="N33" t="str">
        <f t="shared" si="4"/>
        <v>https://api.bcb.gov.br/dados/serie/bcdata.sgs.2082/dados?formato=json</v>
      </c>
      <c r="O33">
        <v>7</v>
      </c>
      <c r="P33" t="s">
        <v>19</v>
      </c>
      <c r="Q33" t="s">
        <v>19</v>
      </c>
      <c r="R33" t="str">
        <f t="shared" si="5"/>
        <v>Empresas estatais municipais</v>
      </c>
      <c r="S33" t="s">
        <v>24</v>
      </c>
    </row>
    <row r="34" spans="1:19" x14ac:dyDescent="0.25">
      <c r="A34" s="1"/>
      <c r="B34" s="1">
        <v>4005</v>
      </c>
      <c r="C34" s="2" t="s">
        <v>35</v>
      </c>
      <c r="D34" s="18" t="s">
        <v>37</v>
      </c>
      <c r="E34" s="3" t="s">
        <v>0</v>
      </c>
      <c r="F34" s="4">
        <v>37226</v>
      </c>
      <c r="G34" s="5">
        <v>45597</v>
      </c>
      <c r="H34" s="6" t="s">
        <v>1</v>
      </c>
      <c r="I34" s="1" t="s">
        <v>2</v>
      </c>
      <c r="J34" s="7"/>
      <c r="K34" s="17" t="s">
        <v>59</v>
      </c>
      <c r="L34" t="s">
        <v>36</v>
      </c>
      <c r="M34" t="s">
        <v>15</v>
      </c>
      <c r="N34" t="str">
        <f t="shared" si="4"/>
        <v>https://api.bcb.gov.br/dados/serie/bcdata.sgs.4005/dados?formato=json</v>
      </c>
      <c r="O34">
        <v>7</v>
      </c>
      <c r="P34" t="s">
        <v>19</v>
      </c>
      <c r="Q34" t="s">
        <v>19</v>
      </c>
      <c r="R34" t="str">
        <f t="shared" si="5"/>
        <v>Setor público consolidado</v>
      </c>
      <c r="S34" t="s">
        <v>24</v>
      </c>
    </row>
    <row r="35" spans="1:19" x14ac:dyDescent="0.25">
      <c r="A35" s="18"/>
      <c r="B35" s="18">
        <v>4181</v>
      </c>
      <c r="C35" s="19" t="s">
        <v>38</v>
      </c>
      <c r="D35" s="18" t="s">
        <v>37</v>
      </c>
      <c r="E35" s="20" t="s">
        <v>0</v>
      </c>
      <c r="F35" s="21">
        <v>35826</v>
      </c>
      <c r="G35" s="22">
        <v>45597</v>
      </c>
      <c r="H35" s="23" t="s">
        <v>1</v>
      </c>
      <c r="I35" s="18" t="s">
        <v>2</v>
      </c>
      <c r="J35" s="24"/>
      <c r="K35" s="17" t="s">
        <v>42</v>
      </c>
      <c r="L35" t="s">
        <v>41</v>
      </c>
      <c r="M35" t="s">
        <v>15</v>
      </c>
      <c r="N35" t="str">
        <f t="shared" ref="N35:N37" si="6">_xlfn.CONCAT("https://api.bcb.gov.br/dados/serie/bcdata.sgs.",B35,"/dados?formato=json")</f>
        <v>https://api.bcb.gov.br/dados/serie/bcdata.sgs.4181/dados?formato=json</v>
      </c>
      <c r="O35">
        <v>7</v>
      </c>
      <c r="P35" t="s">
        <v>19</v>
      </c>
      <c r="Q35" t="s">
        <v>19</v>
      </c>
      <c r="R35" t="str">
        <f t="shared" ref="R35:R37" si="7">C35</f>
        <v>Divida líquida do governo geral</v>
      </c>
      <c r="S35" t="s">
        <v>24</v>
      </c>
    </row>
    <row r="36" spans="1:19" x14ac:dyDescent="0.25">
      <c r="A36" s="25"/>
      <c r="B36" s="25">
        <v>4182</v>
      </c>
      <c r="C36" s="26" t="s">
        <v>39</v>
      </c>
      <c r="D36" s="18" t="s">
        <v>37</v>
      </c>
      <c r="E36" s="27" t="s">
        <v>0</v>
      </c>
      <c r="F36" s="28">
        <v>35826</v>
      </c>
      <c r="G36" s="29">
        <v>45597</v>
      </c>
      <c r="H36" s="30" t="s">
        <v>1</v>
      </c>
      <c r="I36" s="25" t="s">
        <v>2</v>
      </c>
      <c r="J36" s="31"/>
      <c r="K36" s="17" t="s">
        <v>42</v>
      </c>
      <c r="L36" t="s">
        <v>41</v>
      </c>
      <c r="M36" t="s">
        <v>15</v>
      </c>
      <c r="N36" t="str">
        <f t="shared" si="6"/>
        <v>https://api.bcb.gov.br/dados/serie/bcdata.sgs.4182/dados?formato=json</v>
      </c>
      <c r="O36">
        <v>7</v>
      </c>
      <c r="P36" t="s">
        <v>19</v>
      </c>
      <c r="Q36" t="s">
        <v>19</v>
      </c>
      <c r="R36" t="str">
        <f t="shared" si="7"/>
        <v>Dívida bruta do governo geral - Metodologia utilizada até 2007</v>
      </c>
      <c r="S36" t="s">
        <v>24</v>
      </c>
    </row>
    <row r="37" spans="1:19" x14ac:dyDescent="0.25">
      <c r="A37" s="18"/>
      <c r="B37" s="18">
        <v>13741</v>
      </c>
      <c r="C37" s="19" t="s">
        <v>40</v>
      </c>
      <c r="D37" s="18" t="s">
        <v>37</v>
      </c>
      <c r="E37" s="20" t="s">
        <v>0</v>
      </c>
      <c r="F37" s="21">
        <v>39052</v>
      </c>
      <c r="G37" s="22">
        <v>45597</v>
      </c>
      <c r="H37" s="23" t="s">
        <v>1</v>
      </c>
      <c r="I37" s="18" t="s">
        <v>2</v>
      </c>
      <c r="J37" s="24"/>
      <c r="K37" s="17" t="s">
        <v>42</v>
      </c>
      <c r="L37" t="s">
        <v>41</v>
      </c>
      <c r="M37" t="s">
        <v>15</v>
      </c>
      <c r="N37" t="str">
        <f t="shared" si="6"/>
        <v>https://api.bcb.gov.br/dados/serie/bcdata.sgs.13741/dados?formato=json</v>
      </c>
      <c r="O37">
        <v>7</v>
      </c>
      <c r="P37" t="s">
        <v>19</v>
      </c>
      <c r="Q37" t="s">
        <v>19</v>
      </c>
      <c r="R37" t="str">
        <f t="shared" si="7"/>
        <v>Dívida bruta do governo geral - Metodologia utilizada a partir de 2008</v>
      </c>
      <c r="S37" t="s">
        <v>24</v>
      </c>
    </row>
    <row r="38" spans="1:19" x14ac:dyDescent="0.25">
      <c r="A38" s="1"/>
      <c r="B38" s="1">
        <v>10819</v>
      </c>
      <c r="C38" s="2" t="s">
        <v>43</v>
      </c>
      <c r="D38" s="1" t="s">
        <v>37</v>
      </c>
      <c r="E38" s="3" t="s">
        <v>0</v>
      </c>
      <c r="F38" s="4">
        <v>37226</v>
      </c>
      <c r="G38" s="5">
        <v>45597</v>
      </c>
      <c r="H38" s="6" t="s">
        <v>1</v>
      </c>
      <c r="I38" s="1" t="s">
        <v>2</v>
      </c>
      <c r="J38" s="7"/>
      <c r="K38" s="17" t="s">
        <v>44</v>
      </c>
      <c r="L38" t="s">
        <v>45</v>
      </c>
      <c r="M38" t="s">
        <v>15</v>
      </c>
      <c r="N38" t="str">
        <f t="shared" ref="N38" si="8">_xlfn.CONCAT("https://api.bcb.gov.br/dados/serie/bcdata.sgs.",B38,"/dados?formato=json")</f>
        <v>https://api.bcb.gov.br/dados/serie/bcdata.sgs.10819/dados?formato=json</v>
      </c>
      <c r="O38">
        <v>7</v>
      </c>
      <c r="P38" t="s">
        <v>19</v>
      </c>
      <c r="Q38" t="s">
        <v>19</v>
      </c>
      <c r="R38" t="str">
        <f t="shared" ref="R38" si="9">C38</f>
        <v>Dívida fiscal líquida</v>
      </c>
      <c r="S38" t="s">
        <v>24</v>
      </c>
    </row>
    <row r="39" spans="1:19" x14ac:dyDescent="0.25">
      <c r="A39" s="18"/>
      <c r="B39" s="18">
        <v>10814</v>
      </c>
      <c r="C39" s="19" t="s">
        <v>46</v>
      </c>
      <c r="D39" s="1" t="s">
        <v>37</v>
      </c>
      <c r="E39" s="20" t="s">
        <v>0</v>
      </c>
      <c r="F39" s="21">
        <v>37226</v>
      </c>
      <c r="G39" s="22">
        <v>45597</v>
      </c>
      <c r="H39" s="23" t="s">
        <v>1</v>
      </c>
      <c r="I39" s="18" t="s">
        <v>2</v>
      </c>
      <c r="J39" s="24"/>
      <c r="K39" s="17" t="s">
        <v>51</v>
      </c>
      <c r="L39" t="s">
        <v>46</v>
      </c>
      <c r="M39" t="s">
        <v>15</v>
      </c>
      <c r="N39" t="str">
        <f t="shared" ref="N39:N43" si="10">_xlfn.CONCAT("https://api.bcb.gov.br/dados/serie/bcdata.sgs.",B39,"/dados?formato=json")</f>
        <v>https://api.bcb.gov.br/dados/serie/bcdata.sgs.10814/dados?formato=json</v>
      </c>
      <c r="O39">
        <v>7</v>
      </c>
      <c r="P39" t="s">
        <v>19</v>
      </c>
      <c r="Q39" t="s">
        <v>19</v>
      </c>
      <c r="R39" t="str">
        <f t="shared" ref="R39:R43" si="11">C39</f>
        <v>Ajuste de privatização</v>
      </c>
      <c r="S39" t="s">
        <v>24</v>
      </c>
    </row>
    <row r="40" spans="1:19" x14ac:dyDescent="0.25">
      <c r="A40" s="25"/>
      <c r="B40" s="25">
        <v>10815</v>
      </c>
      <c r="C40" s="26" t="s">
        <v>47</v>
      </c>
      <c r="D40" s="1" t="s">
        <v>37</v>
      </c>
      <c r="E40" s="27" t="s">
        <v>0</v>
      </c>
      <c r="F40" s="28">
        <v>37226</v>
      </c>
      <c r="G40" s="29">
        <v>45597</v>
      </c>
      <c r="H40" s="30" t="s">
        <v>1</v>
      </c>
      <c r="I40" s="25" t="s">
        <v>2</v>
      </c>
      <c r="J40" s="31"/>
      <c r="K40" s="17" t="s">
        <v>51</v>
      </c>
      <c r="L40" t="s">
        <v>47</v>
      </c>
      <c r="M40" t="s">
        <v>15</v>
      </c>
      <c r="N40" t="str">
        <f t="shared" si="10"/>
        <v>https://api.bcb.gov.br/dados/serie/bcdata.sgs.10815/dados?formato=json</v>
      </c>
      <c r="O40">
        <v>7</v>
      </c>
      <c r="P40" t="s">
        <v>19</v>
      </c>
      <c r="Q40" t="s">
        <v>19</v>
      </c>
      <c r="R40" t="str">
        <f t="shared" si="11"/>
        <v>Ajuste patrimonial</v>
      </c>
      <c r="S40" t="s">
        <v>24</v>
      </c>
    </row>
    <row r="41" spans="1:19" x14ac:dyDescent="0.25">
      <c r="A41" s="18"/>
      <c r="B41" s="18">
        <v>10816</v>
      </c>
      <c r="C41" s="19" t="s">
        <v>48</v>
      </c>
      <c r="D41" s="1" t="s">
        <v>37</v>
      </c>
      <c r="E41" s="20" t="s">
        <v>0</v>
      </c>
      <c r="F41" s="21">
        <v>37226</v>
      </c>
      <c r="G41" s="22">
        <v>45597</v>
      </c>
      <c r="H41" s="23" t="s">
        <v>1</v>
      </c>
      <c r="I41" s="18" t="s">
        <v>2</v>
      </c>
      <c r="J41" s="24"/>
      <c r="K41" s="17" t="s">
        <v>51</v>
      </c>
      <c r="L41" t="s">
        <v>48</v>
      </c>
      <c r="M41" t="s">
        <v>15</v>
      </c>
      <c r="N41" t="str">
        <f t="shared" si="10"/>
        <v>https://api.bcb.gov.br/dados/serie/bcdata.sgs.10816/dados?formato=json</v>
      </c>
      <c r="O41">
        <v>7</v>
      </c>
      <c r="P41" t="s">
        <v>19</v>
      </c>
      <c r="Q41" t="s">
        <v>19</v>
      </c>
      <c r="R41" t="str">
        <f t="shared" si="11"/>
        <v>Ajuste metodológico sobre dívida externa</v>
      </c>
      <c r="S41" t="s">
        <v>24</v>
      </c>
    </row>
    <row r="42" spans="1:19" x14ac:dyDescent="0.25">
      <c r="A42" s="25"/>
      <c r="B42" s="25">
        <v>10817</v>
      </c>
      <c r="C42" s="26" t="s">
        <v>49</v>
      </c>
      <c r="D42" s="1" t="s">
        <v>37</v>
      </c>
      <c r="E42" s="27" t="s">
        <v>0</v>
      </c>
      <c r="F42" s="28">
        <v>37226</v>
      </c>
      <c r="G42" s="29">
        <v>45597</v>
      </c>
      <c r="H42" s="30" t="s">
        <v>1</v>
      </c>
      <c r="I42" s="25" t="s">
        <v>2</v>
      </c>
      <c r="J42" s="31"/>
      <c r="K42" s="17" t="s">
        <v>51</v>
      </c>
      <c r="L42" t="s">
        <v>49</v>
      </c>
      <c r="M42" t="s">
        <v>15</v>
      </c>
      <c r="N42" t="str">
        <f t="shared" si="10"/>
        <v>https://api.bcb.gov.br/dados/serie/bcdata.sgs.10817/dados?formato=json</v>
      </c>
      <c r="O42">
        <v>7</v>
      </c>
      <c r="P42" t="s">
        <v>19</v>
      </c>
      <c r="Q42" t="s">
        <v>19</v>
      </c>
      <c r="R42" t="str">
        <f t="shared" si="11"/>
        <v>Dívida fiscal líquida com câmbio</v>
      </c>
      <c r="S42" t="s">
        <v>24</v>
      </c>
    </row>
    <row r="43" spans="1:19" x14ac:dyDescent="0.25">
      <c r="A43" s="18"/>
      <c r="B43" s="18">
        <v>10818</v>
      </c>
      <c r="C43" s="19" t="s">
        <v>50</v>
      </c>
      <c r="D43" s="1" t="s">
        <v>37</v>
      </c>
      <c r="E43" s="20" t="s">
        <v>0</v>
      </c>
      <c r="F43" s="21">
        <v>37226</v>
      </c>
      <c r="G43" s="22">
        <v>45597</v>
      </c>
      <c r="H43" s="23" t="s">
        <v>1</v>
      </c>
      <c r="I43" s="18" t="s">
        <v>2</v>
      </c>
      <c r="J43" s="24"/>
      <c r="K43" s="17" t="s">
        <v>51</v>
      </c>
      <c r="L43" t="s">
        <v>50</v>
      </c>
      <c r="M43" t="s">
        <v>15</v>
      </c>
      <c r="N43" t="str">
        <f t="shared" si="10"/>
        <v>https://api.bcb.gov.br/dados/serie/bcdata.sgs.10818/dados?formato=json</v>
      </c>
      <c r="O43">
        <v>7</v>
      </c>
      <c r="P43" t="s">
        <v>19</v>
      </c>
      <c r="Q43" t="s">
        <v>19</v>
      </c>
      <c r="R43" t="str">
        <f t="shared" si="11"/>
        <v>Ajuste metodológico sobre dívida interna</v>
      </c>
      <c r="S43" t="s">
        <v>24</v>
      </c>
    </row>
    <row r="44" spans="1:19" x14ac:dyDescent="0.25">
      <c r="A44" s="18"/>
      <c r="B44" s="18">
        <v>4468</v>
      </c>
      <c r="C44" s="19" t="s">
        <v>25</v>
      </c>
      <c r="D44" s="18" t="s">
        <v>52</v>
      </c>
      <c r="E44" s="20" t="s">
        <v>0</v>
      </c>
      <c r="F44" s="21">
        <v>33269</v>
      </c>
      <c r="G44" s="22">
        <v>45597</v>
      </c>
      <c r="H44" s="23" t="s">
        <v>1</v>
      </c>
      <c r="I44" s="18" t="s">
        <v>2</v>
      </c>
      <c r="J44" s="24"/>
      <c r="K44" s="17" t="s">
        <v>53</v>
      </c>
      <c r="L44" t="s">
        <v>36</v>
      </c>
      <c r="M44" t="s">
        <v>15</v>
      </c>
      <c r="N44" t="str">
        <f t="shared" ref="N44:N54" si="12">_xlfn.CONCAT("https://api.bcb.gov.br/dados/serie/bcdata.sgs.",B44,"/dados?formato=json")</f>
        <v>https://api.bcb.gov.br/dados/serie/bcdata.sgs.4468/dados?formato=json</v>
      </c>
      <c r="O44">
        <v>7</v>
      </c>
      <c r="P44" t="s">
        <v>19</v>
      </c>
      <c r="Q44" t="s">
        <v>19</v>
      </c>
      <c r="R44" t="str">
        <f t="shared" ref="R44:R54" si="13">C44</f>
        <v>Governo Federal e Banco Central</v>
      </c>
      <c r="S44" t="s">
        <v>24</v>
      </c>
    </row>
    <row r="45" spans="1:19" x14ac:dyDescent="0.25">
      <c r="A45" s="25"/>
      <c r="B45" s="25">
        <v>4469</v>
      </c>
      <c r="C45" s="26" t="s">
        <v>26</v>
      </c>
      <c r="D45" s="18" t="s">
        <v>52</v>
      </c>
      <c r="E45" s="27" t="s">
        <v>0</v>
      </c>
      <c r="F45" s="28">
        <v>35826</v>
      </c>
      <c r="G45" s="29">
        <v>45597</v>
      </c>
      <c r="H45" s="30" t="s">
        <v>1</v>
      </c>
      <c r="I45" s="25" t="s">
        <v>2</v>
      </c>
      <c r="J45" s="31"/>
      <c r="K45" s="17" t="s">
        <v>53</v>
      </c>
      <c r="L45" t="s">
        <v>36</v>
      </c>
      <c r="M45" t="s">
        <v>15</v>
      </c>
      <c r="N45" t="str">
        <f t="shared" si="12"/>
        <v>https://api.bcb.gov.br/dados/serie/bcdata.sgs.4469/dados?formato=json</v>
      </c>
      <c r="O45">
        <v>7</v>
      </c>
      <c r="P45" t="s">
        <v>19</v>
      </c>
      <c r="Q45" t="s">
        <v>19</v>
      </c>
      <c r="R45" t="str">
        <f t="shared" si="13"/>
        <v>Governo Federal</v>
      </c>
      <c r="S45" t="s">
        <v>24</v>
      </c>
    </row>
    <row r="46" spans="1:19" x14ac:dyDescent="0.25">
      <c r="A46" s="18"/>
      <c r="B46" s="18">
        <v>4470</v>
      </c>
      <c r="C46" s="19" t="s">
        <v>27</v>
      </c>
      <c r="D46" s="18" t="s">
        <v>52</v>
      </c>
      <c r="E46" s="20" t="s">
        <v>0</v>
      </c>
      <c r="F46" s="21">
        <v>35826</v>
      </c>
      <c r="G46" s="22">
        <v>45597</v>
      </c>
      <c r="H46" s="23" t="s">
        <v>1</v>
      </c>
      <c r="I46" s="18" t="s">
        <v>2</v>
      </c>
      <c r="J46" s="24"/>
      <c r="K46" s="17" t="s">
        <v>53</v>
      </c>
      <c r="L46" t="s">
        <v>36</v>
      </c>
      <c r="M46" t="s">
        <v>15</v>
      </c>
      <c r="N46" t="str">
        <f t="shared" si="12"/>
        <v>https://api.bcb.gov.br/dados/serie/bcdata.sgs.4470/dados?formato=json</v>
      </c>
      <c r="O46">
        <v>7</v>
      </c>
      <c r="P46" t="s">
        <v>19</v>
      </c>
      <c r="Q46" t="s">
        <v>19</v>
      </c>
      <c r="R46" t="str">
        <f t="shared" si="13"/>
        <v>Banco Central</v>
      </c>
      <c r="S46" t="s">
        <v>24</v>
      </c>
    </row>
    <row r="47" spans="1:19" x14ac:dyDescent="0.25">
      <c r="A47" s="25"/>
      <c r="B47" s="25">
        <v>4471</v>
      </c>
      <c r="C47" s="26" t="s">
        <v>28</v>
      </c>
      <c r="D47" s="18" t="s">
        <v>52</v>
      </c>
      <c r="E47" s="27" t="s">
        <v>0</v>
      </c>
      <c r="F47" s="28">
        <v>33269</v>
      </c>
      <c r="G47" s="29">
        <v>45597</v>
      </c>
      <c r="H47" s="30" t="s">
        <v>1</v>
      </c>
      <c r="I47" s="25" t="s">
        <v>2</v>
      </c>
      <c r="J47" s="31"/>
      <c r="K47" s="17" t="s">
        <v>53</v>
      </c>
      <c r="L47" t="s">
        <v>36</v>
      </c>
      <c r="M47" t="s">
        <v>15</v>
      </c>
      <c r="N47" t="str">
        <f t="shared" si="12"/>
        <v>https://api.bcb.gov.br/dados/serie/bcdata.sgs.4471/dados?formato=json</v>
      </c>
      <c r="O47">
        <v>7</v>
      </c>
      <c r="P47" t="s">
        <v>19</v>
      </c>
      <c r="Q47" t="s">
        <v>19</v>
      </c>
      <c r="R47" t="str">
        <f t="shared" si="13"/>
        <v>Governos estaduais e municipais</v>
      </c>
      <c r="S47" t="s">
        <v>24</v>
      </c>
    </row>
    <row r="48" spans="1:19" x14ac:dyDescent="0.25">
      <c r="A48" s="18"/>
      <c r="B48" s="18">
        <v>4472</v>
      </c>
      <c r="C48" s="19" t="s">
        <v>29</v>
      </c>
      <c r="D48" s="18" t="s">
        <v>52</v>
      </c>
      <c r="E48" s="20" t="s">
        <v>0</v>
      </c>
      <c r="F48" s="21">
        <v>35826</v>
      </c>
      <c r="G48" s="22">
        <v>45597</v>
      </c>
      <c r="H48" s="23" t="s">
        <v>1</v>
      </c>
      <c r="I48" s="18" t="s">
        <v>2</v>
      </c>
      <c r="J48" s="24"/>
      <c r="K48" s="17" t="s">
        <v>53</v>
      </c>
      <c r="L48" t="s">
        <v>36</v>
      </c>
      <c r="M48" t="s">
        <v>15</v>
      </c>
      <c r="N48" t="str">
        <f t="shared" si="12"/>
        <v>https://api.bcb.gov.br/dados/serie/bcdata.sgs.4472/dados?formato=json</v>
      </c>
      <c r="O48">
        <v>7</v>
      </c>
      <c r="P48" t="s">
        <v>19</v>
      </c>
      <c r="Q48" t="s">
        <v>19</v>
      </c>
      <c r="R48" t="str">
        <f t="shared" si="13"/>
        <v>Governos estaduais</v>
      </c>
      <c r="S48" t="s">
        <v>24</v>
      </c>
    </row>
    <row r="49" spans="1:19" x14ac:dyDescent="0.25">
      <c r="A49" s="25"/>
      <c r="B49" s="25">
        <v>4473</v>
      </c>
      <c r="C49" s="26" t="s">
        <v>30</v>
      </c>
      <c r="D49" s="18" t="s">
        <v>52</v>
      </c>
      <c r="E49" s="27" t="s">
        <v>0</v>
      </c>
      <c r="F49" s="28">
        <v>35826</v>
      </c>
      <c r="G49" s="29">
        <v>45597</v>
      </c>
      <c r="H49" s="30" t="s">
        <v>1</v>
      </c>
      <c r="I49" s="25" t="s">
        <v>2</v>
      </c>
      <c r="J49" s="31"/>
      <c r="K49" s="17" t="s">
        <v>53</v>
      </c>
      <c r="L49" t="s">
        <v>36</v>
      </c>
      <c r="M49" t="s">
        <v>15</v>
      </c>
      <c r="N49" t="str">
        <f t="shared" si="12"/>
        <v>https://api.bcb.gov.br/dados/serie/bcdata.sgs.4473/dados?formato=json</v>
      </c>
      <c r="O49">
        <v>7</v>
      </c>
      <c r="P49" t="s">
        <v>19</v>
      </c>
      <c r="Q49" t="s">
        <v>19</v>
      </c>
      <c r="R49" t="str">
        <f t="shared" si="13"/>
        <v>Governos municipais</v>
      </c>
      <c r="S49" t="s">
        <v>24</v>
      </c>
    </row>
    <row r="50" spans="1:19" x14ac:dyDescent="0.25">
      <c r="A50" s="18"/>
      <c r="B50" s="18">
        <v>4474</v>
      </c>
      <c r="C50" s="19" t="s">
        <v>31</v>
      </c>
      <c r="D50" s="18" t="s">
        <v>52</v>
      </c>
      <c r="E50" s="20" t="s">
        <v>0</v>
      </c>
      <c r="F50" s="21">
        <v>37226</v>
      </c>
      <c r="G50" s="22">
        <v>45597</v>
      </c>
      <c r="H50" s="23" t="s">
        <v>1</v>
      </c>
      <c r="I50" s="18" t="s">
        <v>2</v>
      </c>
      <c r="J50" s="24"/>
      <c r="K50" s="17" t="s">
        <v>53</v>
      </c>
      <c r="L50" t="s">
        <v>36</v>
      </c>
      <c r="M50" t="s">
        <v>15</v>
      </c>
      <c r="N50" t="str">
        <f t="shared" si="12"/>
        <v>https://api.bcb.gov.br/dados/serie/bcdata.sgs.4474/dados?formato=json</v>
      </c>
      <c r="O50">
        <v>7</v>
      </c>
      <c r="P50" t="s">
        <v>19</v>
      </c>
      <c r="Q50" t="s">
        <v>19</v>
      </c>
      <c r="R50" t="str">
        <f t="shared" si="13"/>
        <v>Empresas estatais</v>
      </c>
      <c r="S50" t="s">
        <v>24</v>
      </c>
    </row>
    <row r="51" spans="1:19" x14ac:dyDescent="0.25">
      <c r="A51" s="25"/>
      <c r="B51" s="25">
        <v>4475</v>
      </c>
      <c r="C51" s="26" t="s">
        <v>32</v>
      </c>
      <c r="D51" s="18" t="s">
        <v>52</v>
      </c>
      <c r="E51" s="27" t="s">
        <v>0</v>
      </c>
      <c r="F51" s="28">
        <v>37226</v>
      </c>
      <c r="G51" s="29">
        <v>45597</v>
      </c>
      <c r="H51" s="30" t="s">
        <v>1</v>
      </c>
      <c r="I51" s="25" t="s">
        <v>2</v>
      </c>
      <c r="J51" s="31"/>
      <c r="K51" s="17" t="s">
        <v>53</v>
      </c>
      <c r="L51" t="s">
        <v>36</v>
      </c>
      <c r="M51" t="s">
        <v>15</v>
      </c>
      <c r="N51" t="str">
        <f t="shared" si="12"/>
        <v>https://api.bcb.gov.br/dados/serie/bcdata.sgs.4475/dados?formato=json</v>
      </c>
      <c r="O51">
        <v>7</v>
      </c>
      <c r="P51" t="s">
        <v>19</v>
      </c>
      <c r="Q51" t="s">
        <v>19</v>
      </c>
      <c r="R51" t="str">
        <f t="shared" si="13"/>
        <v>Empresas estatais federais</v>
      </c>
      <c r="S51" t="s">
        <v>24</v>
      </c>
    </row>
    <row r="52" spans="1:19" x14ac:dyDescent="0.25">
      <c r="A52" s="18"/>
      <c r="B52" s="18">
        <v>4476</v>
      </c>
      <c r="C52" s="19" t="s">
        <v>33</v>
      </c>
      <c r="D52" s="18" t="s">
        <v>52</v>
      </c>
      <c r="E52" s="20" t="s">
        <v>0</v>
      </c>
      <c r="F52" s="21">
        <v>35826</v>
      </c>
      <c r="G52" s="22">
        <v>45597</v>
      </c>
      <c r="H52" s="23" t="s">
        <v>1</v>
      </c>
      <c r="I52" s="18" t="s">
        <v>2</v>
      </c>
      <c r="J52" s="24"/>
      <c r="K52" s="17" t="s">
        <v>53</v>
      </c>
      <c r="L52" t="s">
        <v>36</v>
      </c>
      <c r="M52" t="s">
        <v>15</v>
      </c>
      <c r="N52" t="str">
        <f t="shared" si="12"/>
        <v>https://api.bcb.gov.br/dados/serie/bcdata.sgs.4476/dados?formato=json</v>
      </c>
      <c r="O52">
        <v>7</v>
      </c>
      <c r="P52" t="s">
        <v>19</v>
      </c>
      <c r="Q52" t="s">
        <v>19</v>
      </c>
      <c r="R52" t="str">
        <f t="shared" si="13"/>
        <v>Empresas estatais estaduais</v>
      </c>
      <c r="S52" t="s">
        <v>24</v>
      </c>
    </row>
    <row r="53" spans="1:19" x14ac:dyDescent="0.25">
      <c r="A53" s="25"/>
      <c r="B53" s="25">
        <v>4477</v>
      </c>
      <c r="C53" s="26" t="s">
        <v>34</v>
      </c>
      <c r="D53" s="18" t="s">
        <v>52</v>
      </c>
      <c r="E53" s="27" t="s">
        <v>0</v>
      </c>
      <c r="F53" s="28">
        <v>35826</v>
      </c>
      <c r="G53" s="29">
        <v>45597</v>
      </c>
      <c r="H53" s="30" t="s">
        <v>1</v>
      </c>
      <c r="I53" s="25" t="s">
        <v>2</v>
      </c>
      <c r="J53" s="31"/>
      <c r="K53" s="17" t="s">
        <v>53</v>
      </c>
      <c r="L53" t="s">
        <v>36</v>
      </c>
      <c r="M53" t="s">
        <v>15</v>
      </c>
      <c r="N53" t="str">
        <f t="shared" si="12"/>
        <v>https://api.bcb.gov.br/dados/serie/bcdata.sgs.4477/dados?formato=json</v>
      </c>
      <c r="O53">
        <v>7</v>
      </c>
      <c r="P53" t="s">
        <v>19</v>
      </c>
      <c r="Q53" t="s">
        <v>19</v>
      </c>
      <c r="R53" t="str">
        <f t="shared" si="13"/>
        <v>Empresas estatais municipais</v>
      </c>
      <c r="S53" t="s">
        <v>24</v>
      </c>
    </row>
    <row r="54" spans="1:19" x14ac:dyDescent="0.25">
      <c r="A54" s="18"/>
      <c r="B54" s="18">
        <v>4478</v>
      </c>
      <c r="C54" s="19" t="s">
        <v>35</v>
      </c>
      <c r="D54" s="18" t="s">
        <v>52</v>
      </c>
      <c r="E54" s="20" t="s">
        <v>0</v>
      </c>
      <c r="F54" s="21">
        <v>37226</v>
      </c>
      <c r="G54" s="22">
        <v>45597</v>
      </c>
      <c r="H54" s="23" t="s">
        <v>1</v>
      </c>
      <c r="I54" s="18" t="s">
        <v>2</v>
      </c>
      <c r="J54" s="24"/>
      <c r="K54" s="17" t="s">
        <v>53</v>
      </c>
      <c r="L54" t="s">
        <v>36</v>
      </c>
      <c r="M54" t="s">
        <v>15</v>
      </c>
      <c r="N54" t="str">
        <f t="shared" si="12"/>
        <v>https://api.bcb.gov.br/dados/serie/bcdata.sgs.4478/dados?formato=json</v>
      </c>
      <c r="O54">
        <v>7</v>
      </c>
      <c r="P54" t="s">
        <v>19</v>
      </c>
      <c r="Q54" t="s">
        <v>19</v>
      </c>
      <c r="R54" t="str">
        <f t="shared" si="13"/>
        <v>Setor público consolidado</v>
      </c>
      <c r="S54" t="s">
        <v>24</v>
      </c>
    </row>
    <row r="55" spans="1:19" x14ac:dyDescent="0.25">
      <c r="A55" s="18"/>
      <c r="B55" s="18">
        <v>4479</v>
      </c>
      <c r="C55" s="19" t="s">
        <v>25</v>
      </c>
      <c r="D55" s="18" t="s">
        <v>52</v>
      </c>
      <c r="E55" s="20" t="s">
        <v>0</v>
      </c>
      <c r="F55" s="21">
        <v>33269</v>
      </c>
      <c r="G55" s="22">
        <v>45597</v>
      </c>
      <c r="H55" s="23" t="s">
        <v>1</v>
      </c>
      <c r="I55" s="18" t="s">
        <v>2</v>
      </c>
      <c r="J55" s="24"/>
      <c r="K55" s="17" t="s">
        <v>58</v>
      </c>
      <c r="L55" t="s">
        <v>36</v>
      </c>
      <c r="M55" t="s">
        <v>15</v>
      </c>
      <c r="N55" t="str">
        <f t="shared" ref="N55:N65" si="14">_xlfn.CONCAT("https://api.bcb.gov.br/dados/serie/bcdata.sgs.",B55,"/dados?formato=json")</f>
        <v>https://api.bcb.gov.br/dados/serie/bcdata.sgs.4479/dados?formato=json</v>
      </c>
      <c r="O55">
        <v>7</v>
      </c>
      <c r="P55" t="s">
        <v>19</v>
      </c>
      <c r="Q55" t="s">
        <v>19</v>
      </c>
      <c r="R55" t="str">
        <f t="shared" ref="R55:R65" si="15">C55</f>
        <v>Governo Federal e Banco Central</v>
      </c>
      <c r="S55" t="s">
        <v>24</v>
      </c>
    </row>
    <row r="56" spans="1:19" x14ac:dyDescent="0.25">
      <c r="A56" s="25"/>
      <c r="B56" s="25">
        <v>4480</v>
      </c>
      <c r="C56" s="26" t="s">
        <v>26</v>
      </c>
      <c r="D56" s="18" t="s">
        <v>52</v>
      </c>
      <c r="E56" s="27" t="s">
        <v>0</v>
      </c>
      <c r="F56" s="28">
        <v>35826</v>
      </c>
      <c r="G56" s="29">
        <v>45597</v>
      </c>
      <c r="H56" s="30" t="s">
        <v>1</v>
      </c>
      <c r="I56" s="25" t="s">
        <v>2</v>
      </c>
      <c r="J56" s="31"/>
      <c r="K56" s="17" t="s">
        <v>58</v>
      </c>
      <c r="L56" t="s">
        <v>36</v>
      </c>
      <c r="M56" t="s">
        <v>15</v>
      </c>
      <c r="N56" t="str">
        <f t="shared" si="14"/>
        <v>https://api.bcb.gov.br/dados/serie/bcdata.sgs.4480/dados?formato=json</v>
      </c>
      <c r="O56">
        <v>7</v>
      </c>
      <c r="P56" t="s">
        <v>19</v>
      </c>
      <c r="Q56" t="s">
        <v>19</v>
      </c>
      <c r="R56" t="str">
        <f t="shared" si="15"/>
        <v>Governo Federal</v>
      </c>
      <c r="S56" t="s">
        <v>24</v>
      </c>
    </row>
    <row r="57" spans="1:19" x14ac:dyDescent="0.25">
      <c r="A57" s="18"/>
      <c r="B57" s="18">
        <v>4481</v>
      </c>
      <c r="C57" s="19" t="s">
        <v>27</v>
      </c>
      <c r="D57" s="18" t="s">
        <v>52</v>
      </c>
      <c r="E57" s="20" t="s">
        <v>0</v>
      </c>
      <c r="F57" s="21">
        <v>35826</v>
      </c>
      <c r="G57" s="22">
        <v>45597</v>
      </c>
      <c r="H57" s="23" t="s">
        <v>1</v>
      </c>
      <c r="I57" s="18" t="s">
        <v>2</v>
      </c>
      <c r="J57" s="24"/>
      <c r="K57" s="17" t="s">
        <v>58</v>
      </c>
      <c r="L57" t="s">
        <v>36</v>
      </c>
      <c r="M57" t="s">
        <v>15</v>
      </c>
      <c r="N57" t="str">
        <f t="shared" si="14"/>
        <v>https://api.bcb.gov.br/dados/serie/bcdata.sgs.4481/dados?formato=json</v>
      </c>
      <c r="O57">
        <v>7</v>
      </c>
      <c r="P57" t="s">
        <v>19</v>
      </c>
      <c r="Q57" t="s">
        <v>19</v>
      </c>
      <c r="R57" t="str">
        <f t="shared" si="15"/>
        <v>Banco Central</v>
      </c>
      <c r="S57" t="s">
        <v>24</v>
      </c>
    </row>
    <row r="58" spans="1:19" x14ac:dyDescent="0.25">
      <c r="A58" s="25"/>
      <c r="B58" s="25">
        <v>4482</v>
      </c>
      <c r="C58" s="26" t="s">
        <v>28</v>
      </c>
      <c r="D58" s="18" t="s">
        <v>52</v>
      </c>
      <c r="E58" s="27" t="s">
        <v>0</v>
      </c>
      <c r="F58" s="28">
        <v>33269</v>
      </c>
      <c r="G58" s="29">
        <v>45597</v>
      </c>
      <c r="H58" s="30" t="s">
        <v>1</v>
      </c>
      <c r="I58" s="25" t="s">
        <v>2</v>
      </c>
      <c r="J58" s="31"/>
      <c r="K58" s="17" t="s">
        <v>58</v>
      </c>
      <c r="L58" t="s">
        <v>36</v>
      </c>
      <c r="M58" t="s">
        <v>15</v>
      </c>
      <c r="N58" t="str">
        <f t="shared" si="14"/>
        <v>https://api.bcb.gov.br/dados/serie/bcdata.sgs.4482/dados?formato=json</v>
      </c>
      <c r="O58">
        <v>7</v>
      </c>
      <c r="P58" t="s">
        <v>19</v>
      </c>
      <c r="Q58" t="s">
        <v>19</v>
      </c>
      <c r="R58" t="str">
        <f t="shared" si="15"/>
        <v>Governos estaduais e municipais</v>
      </c>
      <c r="S58" t="s">
        <v>24</v>
      </c>
    </row>
    <row r="59" spans="1:19" x14ac:dyDescent="0.25">
      <c r="A59" s="18"/>
      <c r="B59" s="18">
        <v>4483</v>
      </c>
      <c r="C59" s="19" t="s">
        <v>29</v>
      </c>
      <c r="D59" s="18" t="s">
        <v>52</v>
      </c>
      <c r="E59" s="20" t="s">
        <v>0</v>
      </c>
      <c r="F59" s="21">
        <v>35826</v>
      </c>
      <c r="G59" s="22">
        <v>45597</v>
      </c>
      <c r="H59" s="23" t="s">
        <v>1</v>
      </c>
      <c r="I59" s="18" t="s">
        <v>2</v>
      </c>
      <c r="J59" s="24"/>
      <c r="K59" s="17" t="s">
        <v>58</v>
      </c>
      <c r="L59" t="s">
        <v>36</v>
      </c>
      <c r="M59" t="s">
        <v>15</v>
      </c>
      <c r="N59" t="str">
        <f t="shared" si="14"/>
        <v>https://api.bcb.gov.br/dados/serie/bcdata.sgs.4483/dados?formato=json</v>
      </c>
      <c r="O59">
        <v>7</v>
      </c>
      <c r="P59" t="s">
        <v>19</v>
      </c>
      <c r="Q59" t="s">
        <v>19</v>
      </c>
      <c r="R59" t="str">
        <f t="shared" si="15"/>
        <v>Governos estaduais</v>
      </c>
      <c r="S59" t="s">
        <v>24</v>
      </c>
    </row>
    <row r="60" spans="1:19" x14ac:dyDescent="0.25">
      <c r="A60" s="25"/>
      <c r="B60" s="25">
        <v>4484</v>
      </c>
      <c r="C60" s="26" t="s">
        <v>30</v>
      </c>
      <c r="D60" s="18" t="s">
        <v>52</v>
      </c>
      <c r="E60" s="27" t="s">
        <v>0</v>
      </c>
      <c r="F60" s="28">
        <v>35826</v>
      </c>
      <c r="G60" s="29">
        <v>45597</v>
      </c>
      <c r="H60" s="30" t="s">
        <v>1</v>
      </c>
      <c r="I60" s="25" t="s">
        <v>2</v>
      </c>
      <c r="J60" s="31"/>
      <c r="K60" s="17" t="s">
        <v>58</v>
      </c>
      <c r="L60" t="s">
        <v>36</v>
      </c>
      <c r="M60" t="s">
        <v>15</v>
      </c>
      <c r="N60" t="str">
        <f t="shared" si="14"/>
        <v>https://api.bcb.gov.br/dados/serie/bcdata.sgs.4484/dados?formato=json</v>
      </c>
      <c r="O60">
        <v>7</v>
      </c>
      <c r="P60" t="s">
        <v>19</v>
      </c>
      <c r="Q60" t="s">
        <v>19</v>
      </c>
      <c r="R60" t="str">
        <f t="shared" si="15"/>
        <v>Governos municipais</v>
      </c>
      <c r="S60" t="s">
        <v>24</v>
      </c>
    </row>
    <row r="61" spans="1:19" x14ac:dyDescent="0.25">
      <c r="A61" s="18"/>
      <c r="B61" s="18">
        <v>4485</v>
      </c>
      <c r="C61" s="19" t="s">
        <v>31</v>
      </c>
      <c r="D61" s="18" t="s">
        <v>52</v>
      </c>
      <c r="E61" s="20" t="s">
        <v>0</v>
      </c>
      <c r="F61" s="21">
        <v>37226</v>
      </c>
      <c r="G61" s="22">
        <v>45597</v>
      </c>
      <c r="H61" s="23" t="s">
        <v>1</v>
      </c>
      <c r="I61" s="18" t="s">
        <v>2</v>
      </c>
      <c r="J61" s="24"/>
      <c r="K61" s="17" t="s">
        <v>58</v>
      </c>
      <c r="L61" t="s">
        <v>36</v>
      </c>
      <c r="M61" t="s">
        <v>15</v>
      </c>
      <c r="N61" t="str">
        <f t="shared" si="14"/>
        <v>https://api.bcb.gov.br/dados/serie/bcdata.sgs.4485/dados?formato=json</v>
      </c>
      <c r="O61">
        <v>7</v>
      </c>
      <c r="P61" t="s">
        <v>19</v>
      </c>
      <c r="Q61" t="s">
        <v>19</v>
      </c>
      <c r="R61" t="str">
        <f t="shared" si="15"/>
        <v>Empresas estatais</v>
      </c>
      <c r="S61" t="s">
        <v>24</v>
      </c>
    </row>
    <row r="62" spans="1:19" x14ac:dyDescent="0.25">
      <c r="A62" s="25"/>
      <c r="B62" s="25">
        <v>4486</v>
      </c>
      <c r="C62" s="26" t="s">
        <v>32</v>
      </c>
      <c r="D62" s="18" t="s">
        <v>52</v>
      </c>
      <c r="E62" s="27" t="s">
        <v>0</v>
      </c>
      <c r="F62" s="28">
        <v>37226</v>
      </c>
      <c r="G62" s="29">
        <v>45597</v>
      </c>
      <c r="H62" s="30" t="s">
        <v>1</v>
      </c>
      <c r="I62" s="25" t="s">
        <v>2</v>
      </c>
      <c r="J62" s="31"/>
      <c r="K62" s="17" t="s">
        <v>58</v>
      </c>
      <c r="L62" t="s">
        <v>36</v>
      </c>
      <c r="M62" t="s">
        <v>15</v>
      </c>
      <c r="N62" t="str">
        <f t="shared" si="14"/>
        <v>https://api.bcb.gov.br/dados/serie/bcdata.sgs.4486/dados?formato=json</v>
      </c>
      <c r="O62">
        <v>7</v>
      </c>
      <c r="P62" t="s">
        <v>19</v>
      </c>
      <c r="Q62" t="s">
        <v>19</v>
      </c>
      <c r="R62" t="str">
        <f t="shared" si="15"/>
        <v>Empresas estatais federais</v>
      </c>
      <c r="S62" t="s">
        <v>24</v>
      </c>
    </row>
    <row r="63" spans="1:19" x14ac:dyDescent="0.25">
      <c r="A63" s="18"/>
      <c r="B63" s="18">
        <v>4487</v>
      </c>
      <c r="C63" s="19" t="s">
        <v>33</v>
      </c>
      <c r="D63" s="18" t="s">
        <v>52</v>
      </c>
      <c r="E63" s="20" t="s">
        <v>0</v>
      </c>
      <c r="F63" s="21">
        <v>35826</v>
      </c>
      <c r="G63" s="22">
        <v>45597</v>
      </c>
      <c r="H63" s="23" t="s">
        <v>1</v>
      </c>
      <c r="I63" s="18" t="s">
        <v>2</v>
      </c>
      <c r="J63" s="24"/>
      <c r="K63" s="17" t="s">
        <v>58</v>
      </c>
      <c r="L63" t="s">
        <v>36</v>
      </c>
      <c r="M63" t="s">
        <v>15</v>
      </c>
      <c r="N63" t="str">
        <f t="shared" si="14"/>
        <v>https://api.bcb.gov.br/dados/serie/bcdata.sgs.4487/dados?formato=json</v>
      </c>
      <c r="O63">
        <v>7</v>
      </c>
      <c r="P63" t="s">
        <v>19</v>
      </c>
      <c r="Q63" t="s">
        <v>19</v>
      </c>
      <c r="R63" t="str">
        <f t="shared" si="15"/>
        <v>Empresas estatais estaduais</v>
      </c>
      <c r="S63" t="s">
        <v>24</v>
      </c>
    </row>
    <row r="64" spans="1:19" x14ac:dyDescent="0.25">
      <c r="A64" s="25"/>
      <c r="B64" s="25">
        <v>4488</v>
      </c>
      <c r="C64" s="26" t="s">
        <v>34</v>
      </c>
      <c r="D64" s="18" t="s">
        <v>52</v>
      </c>
      <c r="E64" s="27" t="s">
        <v>0</v>
      </c>
      <c r="F64" s="28">
        <v>35826</v>
      </c>
      <c r="G64" s="29">
        <v>45597</v>
      </c>
      <c r="H64" s="30" t="s">
        <v>1</v>
      </c>
      <c r="I64" s="25" t="s">
        <v>2</v>
      </c>
      <c r="J64" s="31"/>
      <c r="K64" s="17" t="s">
        <v>58</v>
      </c>
      <c r="L64" t="s">
        <v>36</v>
      </c>
      <c r="M64" t="s">
        <v>15</v>
      </c>
      <c r="N64" t="str">
        <f t="shared" si="14"/>
        <v>https://api.bcb.gov.br/dados/serie/bcdata.sgs.4488/dados?formato=json</v>
      </c>
      <c r="O64">
        <v>7</v>
      </c>
      <c r="P64" t="s">
        <v>19</v>
      </c>
      <c r="Q64" t="s">
        <v>19</v>
      </c>
      <c r="R64" t="str">
        <f t="shared" si="15"/>
        <v>Empresas estatais municipais</v>
      </c>
      <c r="S64" t="s">
        <v>24</v>
      </c>
    </row>
    <row r="65" spans="1:19" x14ac:dyDescent="0.25">
      <c r="A65" s="18"/>
      <c r="B65" s="18">
        <v>4489</v>
      </c>
      <c r="C65" s="19" t="s">
        <v>35</v>
      </c>
      <c r="D65" s="18" t="s">
        <v>52</v>
      </c>
      <c r="E65" s="20" t="s">
        <v>0</v>
      </c>
      <c r="F65" s="21">
        <v>37226</v>
      </c>
      <c r="G65" s="22">
        <v>45597</v>
      </c>
      <c r="H65" s="23" t="s">
        <v>1</v>
      </c>
      <c r="I65" s="18" t="s">
        <v>2</v>
      </c>
      <c r="J65" s="24"/>
      <c r="K65" s="17" t="s">
        <v>58</v>
      </c>
      <c r="L65" t="s">
        <v>36</v>
      </c>
      <c r="M65" t="s">
        <v>15</v>
      </c>
      <c r="N65" t="str">
        <f t="shared" si="14"/>
        <v>https://api.bcb.gov.br/dados/serie/bcdata.sgs.4489/dados?formato=json</v>
      </c>
      <c r="O65">
        <v>7</v>
      </c>
      <c r="P65" t="s">
        <v>19</v>
      </c>
      <c r="Q65" t="s">
        <v>19</v>
      </c>
      <c r="R65" t="str">
        <f t="shared" si="15"/>
        <v>Setor público consolidado</v>
      </c>
      <c r="S65" t="s">
        <v>24</v>
      </c>
    </row>
    <row r="66" spans="1:19" x14ac:dyDescent="0.25">
      <c r="A66" s="18"/>
      <c r="B66" s="18">
        <v>4490</v>
      </c>
      <c r="C66" s="19" t="s">
        <v>25</v>
      </c>
      <c r="D66" s="18" t="s">
        <v>52</v>
      </c>
      <c r="E66" s="20" t="s">
        <v>0</v>
      </c>
      <c r="F66" s="21">
        <v>33269</v>
      </c>
      <c r="G66" s="22">
        <v>45597</v>
      </c>
      <c r="H66" s="23" t="s">
        <v>1</v>
      </c>
      <c r="I66" s="18" t="s">
        <v>2</v>
      </c>
      <c r="J66" s="24"/>
      <c r="K66" s="17" t="s">
        <v>59</v>
      </c>
      <c r="L66" t="s">
        <v>36</v>
      </c>
      <c r="M66" t="s">
        <v>15</v>
      </c>
      <c r="N66" t="str">
        <f t="shared" ref="N66:N76" si="16">_xlfn.CONCAT("https://api.bcb.gov.br/dados/serie/bcdata.sgs.",B66,"/dados?formato=json")</f>
        <v>https://api.bcb.gov.br/dados/serie/bcdata.sgs.4490/dados?formato=json</v>
      </c>
      <c r="O66">
        <v>7</v>
      </c>
      <c r="P66" t="s">
        <v>19</v>
      </c>
      <c r="Q66" t="s">
        <v>19</v>
      </c>
      <c r="R66" t="str">
        <f t="shared" ref="R66:R76" si="17">C66</f>
        <v>Governo Federal e Banco Central</v>
      </c>
      <c r="S66" t="s">
        <v>24</v>
      </c>
    </row>
    <row r="67" spans="1:19" x14ac:dyDescent="0.25">
      <c r="A67" s="25"/>
      <c r="B67" s="25">
        <v>4491</v>
      </c>
      <c r="C67" s="26" t="s">
        <v>26</v>
      </c>
      <c r="D67" s="18" t="s">
        <v>52</v>
      </c>
      <c r="E67" s="27" t="s">
        <v>0</v>
      </c>
      <c r="F67" s="28">
        <v>35826</v>
      </c>
      <c r="G67" s="29">
        <v>45597</v>
      </c>
      <c r="H67" s="30" t="s">
        <v>1</v>
      </c>
      <c r="I67" s="25" t="s">
        <v>2</v>
      </c>
      <c r="J67" s="31"/>
      <c r="K67" s="17" t="s">
        <v>59</v>
      </c>
      <c r="L67" t="s">
        <v>36</v>
      </c>
      <c r="M67" t="s">
        <v>15</v>
      </c>
      <c r="N67" t="str">
        <f t="shared" si="16"/>
        <v>https://api.bcb.gov.br/dados/serie/bcdata.sgs.4491/dados?formato=json</v>
      </c>
      <c r="O67">
        <v>7</v>
      </c>
      <c r="P67" t="s">
        <v>19</v>
      </c>
      <c r="Q67" t="s">
        <v>19</v>
      </c>
      <c r="R67" t="str">
        <f t="shared" si="17"/>
        <v>Governo Federal</v>
      </c>
      <c r="S67" t="s">
        <v>24</v>
      </c>
    </row>
    <row r="68" spans="1:19" x14ac:dyDescent="0.25">
      <c r="A68" s="18"/>
      <c r="B68" s="18">
        <v>4492</v>
      </c>
      <c r="C68" s="19" t="s">
        <v>27</v>
      </c>
      <c r="D68" s="18" t="s">
        <v>52</v>
      </c>
      <c r="E68" s="20" t="s">
        <v>0</v>
      </c>
      <c r="F68" s="21">
        <v>35826</v>
      </c>
      <c r="G68" s="22">
        <v>45597</v>
      </c>
      <c r="H68" s="23" t="s">
        <v>1</v>
      </c>
      <c r="I68" s="18" t="s">
        <v>2</v>
      </c>
      <c r="J68" s="24"/>
      <c r="K68" s="17" t="s">
        <v>59</v>
      </c>
      <c r="L68" t="s">
        <v>36</v>
      </c>
      <c r="M68" t="s">
        <v>15</v>
      </c>
      <c r="N68" t="str">
        <f t="shared" si="16"/>
        <v>https://api.bcb.gov.br/dados/serie/bcdata.sgs.4492/dados?formato=json</v>
      </c>
      <c r="O68">
        <v>7</v>
      </c>
      <c r="P68" t="s">
        <v>19</v>
      </c>
      <c r="Q68" t="s">
        <v>19</v>
      </c>
      <c r="R68" t="str">
        <f t="shared" si="17"/>
        <v>Banco Central</v>
      </c>
      <c r="S68" t="s">
        <v>24</v>
      </c>
    </row>
    <row r="69" spans="1:19" x14ac:dyDescent="0.25">
      <c r="A69" s="25"/>
      <c r="B69" s="25">
        <v>4493</v>
      </c>
      <c r="C69" s="26" t="s">
        <v>28</v>
      </c>
      <c r="D69" s="18" t="s">
        <v>52</v>
      </c>
      <c r="E69" s="27" t="s">
        <v>0</v>
      </c>
      <c r="F69" s="28">
        <v>33269</v>
      </c>
      <c r="G69" s="29">
        <v>45597</v>
      </c>
      <c r="H69" s="30" t="s">
        <v>1</v>
      </c>
      <c r="I69" s="25" t="s">
        <v>2</v>
      </c>
      <c r="J69" s="31"/>
      <c r="K69" s="17" t="s">
        <v>59</v>
      </c>
      <c r="L69" t="s">
        <v>36</v>
      </c>
      <c r="M69" t="s">
        <v>15</v>
      </c>
      <c r="N69" t="str">
        <f t="shared" si="16"/>
        <v>https://api.bcb.gov.br/dados/serie/bcdata.sgs.4493/dados?formato=json</v>
      </c>
      <c r="O69">
        <v>7</v>
      </c>
      <c r="P69" t="s">
        <v>19</v>
      </c>
      <c r="Q69" t="s">
        <v>19</v>
      </c>
      <c r="R69" t="str">
        <f t="shared" si="17"/>
        <v>Governos estaduais e municipais</v>
      </c>
      <c r="S69" t="s">
        <v>24</v>
      </c>
    </row>
    <row r="70" spans="1:19" x14ac:dyDescent="0.25">
      <c r="A70" s="18"/>
      <c r="B70" s="18">
        <v>4494</v>
      </c>
      <c r="C70" s="19" t="s">
        <v>29</v>
      </c>
      <c r="D70" s="18" t="s">
        <v>52</v>
      </c>
      <c r="E70" s="20" t="s">
        <v>0</v>
      </c>
      <c r="F70" s="21">
        <v>35826</v>
      </c>
      <c r="G70" s="22">
        <v>45597</v>
      </c>
      <c r="H70" s="23" t="s">
        <v>1</v>
      </c>
      <c r="I70" s="18" t="s">
        <v>2</v>
      </c>
      <c r="J70" s="24"/>
      <c r="K70" s="17" t="s">
        <v>59</v>
      </c>
      <c r="L70" t="s">
        <v>36</v>
      </c>
      <c r="M70" t="s">
        <v>15</v>
      </c>
      <c r="N70" t="str">
        <f t="shared" si="16"/>
        <v>https://api.bcb.gov.br/dados/serie/bcdata.sgs.4494/dados?formato=json</v>
      </c>
      <c r="O70">
        <v>7</v>
      </c>
      <c r="P70" t="s">
        <v>19</v>
      </c>
      <c r="Q70" t="s">
        <v>19</v>
      </c>
      <c r="R70" t="str">
        <f t="shared" si="17"/>
        <v>Governos estaduais</v>
      </c>
      <c r="S70" t="s">
        <v>24</v>
      </c>
    </row>
    <row r="71" spans="1:19" x14ac:dyDescent="0.25">
      <c r="A71" s="25"/>
      <c r="B71" s="25">
        <v>4495</v>
      </c>
      <c r="C71" s="26" t="s">
        <v>30</v>
      </c>
      <c r="D71" s="18" t="s">
        <v>52</v>
      </c>
      <c r="E71" s="27" t="s">
        <v>0</v>
      </c>
      <c r="F71" s="28">
        <v>35826</v>
      </c>
      <c r="G71" s="29">
        <v>45597</v>
      </c>
      <c r="H71" s="30" t="s">
        <v>1</v>
      </c>
      <c r="I71" s="25" t="s">
        <v>2</v>
      </c>
      <c r="J71" s="31"/>
      <c r="K71" s="17" t="s">
        <v>59</v>
      </c>
      <c r="L71" t="s">
        <v>36</v>
      </c>
      <c r="M71" t="s">
        <v>15</v>
      </c>
      <c r="N71" t="str">
        <f t="shared" si="16"/>
        <v>https://api.bcb.gov.br/dados/serie/bcdata.sgs.4495/dados?formato=json</v>
      </c>
      <c r="O71">
        <v>7</v>
      </c>
      <c r="P71" t="s">
        <v>19</v>
      </c>
      <c r="Q71" t="s">
        <v>19</v>
      </c>
      <c r="R71" t="str">
        <f t="shared" si="17"/>
        <v>Governos municipais</v>
      </c>
      <c r="S71" t="s">
        <v>24</v>
      </c>
    </row>
    <row r="72" spans="1:19" x14ac:dyDescent="0.25">
      <c r="A72" s="18"/>
      <c r="B72" s="18">
        <v>4496</v>
      </c>
      <c r="C72" s="19" t="s">
        <v>31</v>
      </c>
      <c r="D72" s="18" t="s">
        <v>52</v>
      </c>
      <c r="E72" s="20" t="s">
        <v>0</v>
      </c>
      <c r="F72" s="21">
        <v>37226</v>
      </c>
      <c r="G72" s="22">
        <v>45597</v>
      </c>
      <c r="H72" s="23" t="s">
        <v>1</v>
      </c>
      <c r="I72" s="18" t="s">
        <v>2</v>
      </c>
      <c r="J72" s="24"/>
      <c r="K72" s="17" t="s">
        <v>59</v>
      </c>
      <c r="L72" t="s">
        <v>36</v>
      </c>
      <c r="M72" t="s">
        <v>15</v>
      </c>
      <c r="N72" t="str">
        <f t="shared" si="16"/>
        <v>https://api.bcb.gov.br/dados/serie/bcdata.sgs.4496/dados?formato=json</v>
      </c>
      <c r="O72">
        <v>7</v>
      </c>
      <c r="P72" t="s">
        <v>19</v>
      </c>
      <c r="Q72" t="s">
        <v>19</v>
      </c>
      <c r="R72" t="str">
        <f t="shared" si="17"/>
        <v>Empresas estatais</v>
      </c>
      <c r="S72" t="s">
        <v>24</v>
      </c>
    </row>
    <row r="73" spans="1:19" x14ac:dyDescent="0.25">
      <c r="A73" s="25"/>
      <c r="B73" s="25">
        <v>4497</v>
      </c>
      <c r="C73" s="26" t="s">
        <v>32</v>
      </c>
      <c r="D73" s="18" t="s">
        <v>52</v>
      </c>
      <c r="E73" s="27" t="s">
        <v>0</v>
      </c>
      <c r="F73" s="28">
        <v>37226</v>
      </c>
      <c r="G73" s="29">
        <v>45597</v>
      </c>
      <c r="H73" s="30" t="s">
        <v>1</v>
      </c>
      <c r="I73" s="25" t="s">
        <v>2</v>
      </c>
      <c r="J73" s="31"/>
      <c r="K73" s="17" t="s">
        <v>59</v>
      </c>
      <c r="L73" t="s">
        <v>36</v>
      </c>
      <c r="M73" t="s">
        <v>15</v>
      </c>
      <c r="N73" t="str">
        <f t="shared" si="16"/>
        <v>https://api.bcb.gov.br/dados/serie/bcdata.sgs.4497/dados?formato=json</v>
      </c>
      <c r="O73">
        <v>7</v>
      </c>
      <c r="P73" t="s">
        <v>19</v>
      </c>
      <c r="Q73" t="s">
        <v>19</v>
      </c>
      <c r="R73" t="str">
        <f t="shared" si="17"/>
        <v>Empresas estatais federais</v>
      </c>
      <c r="S73" t="s">
        <v>24</v>
      </c>
    </row>
    <row r="74" spans="1:19" x14ac:dyDescent="0.25">
      <c r="A74" s="18"/>
      <c r="B74" s="18">
        <v>4498</v>
      </c>
      <c r="C74" s="19" t="s">
        <v>33</v>
      </c>
      <c r="D74" s="18" t="s">
        <v>52</v>
      </c>
      <c r="E74" s="20" t="s">
        <v>0</v>
      </c>
      <c r="F74" s="21">
        <v>35826</v>
      </c>
      <c r="G74" s="22">
        <v>45597</v>
      </c>
      <c r="H74" s="23" t="s">
        <v>1</v>
      </c>
      <c r="I74" s="18" t="s">
        <v>2</v>
      </c>
      <c r="J74" s="24"/>
      <c r="K74" s="17" t="s">
        <v>59</v>
      </c>
      <c r="L74" t="s">
        <v>36</v>
      </c>
      <c r="M74" t="s">
        <v>15</v>
      </c>
      <c r="N74" t="str">
        <f t="shared" si="16"/>
        <v>https://api.bcb.gov.br/dados/serie/bcdata.sgs.4498/dados?formato=json</v>
      </c>
      <c r="O74">
        <v>7</v>
      </c>
      <c r="P74" t="s">
        <v>19</v>
      </c>
      <c r="Q74" t="s">
        <v>19</v>
      </c>
      <c r="R74" t="str">
        <f t="shared" si="17"/>
        <v>Empresas estatais estaduais</v>
      </c>
      <c r="S74" t="s">
        <v>24</v>
      </c>
    </row>
    <row r="75" spans="1:19" x14ac:dyDescent="0.25">
      <c r="A75" s="25"/>
      <c r="B75" s="25">
        <v>4499</v>
      </c>
      <c r="C75" s="26" t="s">
        <v>34</v>
      </c>
      <c r="D75" s="18" t="s">
        <v>52</v>
      </c>
      <c r="E75" s="27" t="s">
        <v>0</v>
      </c>
      <c r="F75" s="28">
        <v>35826</v>
      </c>
      <c r="G75" s="29">
        <v>45597</v>
      </c>
      <c r="H75" s="30" t="s">
        <v>1</v>
      </c>
      <c r="I75" s="25" t="s">
        <v>2</v>
      </c>
      <c r="J75" s="31"/>
      <c r="K75" s="17" t="s">
        <v>59</v>
      </c>
      <c r="L75" t="s">
        <v>36</v>
      </c>
      <c r="M75" t="s">
        <v>15</v>
      </c>
      <c r="N75" t="str">
        <f t="shared" si="16"/>
        <v>https://api.bcb.gov.br/dados/serie/bcdata.sgs.4499/dados?formato=json</v>
      </c>
      <c r="O75">
        <v>7</v>
      </c>
      <c r="P75" t="s">
        <v>19</v>
      </c>
      <c r="Q75" t="s">
        <v>19</v>
      </c>
      <c r="R75" t="str">
        <f t="shared" si="17"/>
        <v>Empresas estatais municipais</v>
      </c>
      <c r="S75" t="s">
        <v>24</v>
      </c>
    </row>
    <row r="76" spans="1:19" x14ac:dyDescent="0.25">
      <c r="A76" s="18"/>
      <c r="B76" s="18">
        <v>4500</v>
      </c>
      <c r="C76" s="19" t="s">
        <v>35</v>
      </c>
      <c r="D76" s="18" t="s">
        <v>52</v>
      </c>
      <c r="E76" s="20" t="s">
        <v>0</v>
      </c>
      <c r="F76" s="21">
        <v>37226</v>
      </c>
      <c r="G76" s="22">
        <v>45597</v>
      </c>
      <c r="H76" s="23" t="s">
        <v>1</v>
      </c>
      <c r="I76" s="18" t="s">
        <v>2</v>
      </c>
      <c r="J76" s="24"/>
      <c r="K76" s="17" t="s">
        <v>59</v>
      </c>
      <c r="L76" t="s">
        <v>36</v>
      </c>
      <c r="M76" t="s">
        <v>15</v>
      </c>
      <c r="N76" t="str">
        <f t="shared" si="16"/>
        <v>https://api.bcb.gov.br/dados/serie/bcdata.sgs.4500/dados?formato=json</v>
      </c>
      <c r="O76">
        <v>7</v>
      </c>
      <c r="P76" t="s">
        <v>19</v>
      </c>
      <c r="Q76" t="s">
        <v>19</v>
      </c>
      <c r="R76" t="str">
        <f t="shared" si="17"/>
        <v>Setor público consolidado</v>
      </c>
      <c r="S76" t="s">
        <v>24</v>
      </c>
    </row>
    <row r="77" spans="1:19" x14ac:dyDescent="0.25">
      <c r="A77" s="18"/>
      <c r="B77" s="18">
        <v>4501</v>
      </c>
      <c r="C77" s="19" t="s">
        <v>38</v>
      </c>
      <c r="D77" s="18" t="s">
        <v>52</v>
      </c>
      <c r="E77" s="20" t="s">
        <v>0</v>
      </c>
      <c r="F77" s="21">
        <v>35826</v>
      </c>
      <c r="G77" s="22">
        <v>45597</v>
      </c>
      <c r="H77" s="23" t="s">
        <v>1</v>
      </c>
      <c r="I77" s="18" t="s">
        <v>2</v>
      </c>
      <c r="J77" s="24"/>
      <c r="K77" s="17" t="s">
        <v>42</v>
      </c>
      <c r="L77" t="s">
        <v>41</v>
      </c>
      <c r="M77" t="s">
        <v>15</v>
      </c>
      <c r="N77" t="str">
        <f t="shared" ref="N77:N79" si="18">_xlfn.CONCAT("https://api.bcb.gov.br/dados/serie/bcdata.sgs.",B77,"/dados?formato=json")</f>
        <v>https://api.bcb.gov.br/dados/serie/bcdata.sgs.4501/dados?formato=json</v>
      </c>
      <c r="O77">
        <v>7</v>
      </c>
      <c r="P77" t="s">
        <v>19</v>
      </c>
      <c r="Q77" t="s">
        <v>19</v>
      </c>
      <c r="R77" t="str">
        <f t="shared" ref="R77:R79" si="19">C77</f>
        <v>Divida líquida do governo geral</v>
      </c>
      <c r="S77" t="s">
        <v>24</v>
      </c>
    </row>
    <row r="78" spans="1:19" x14ac:dyDescent="0.25">
      <c r="A78" s="25"/>
      <c r="B78" s="25">
        <v>4502</v>
      </c>
      <c r="C78" s="26" t="s">
        <v>39</v>
      </c>
      <c r="D78" s="18" t="s">
        <v>52</v>
      </c>
      <c r="E78" s="27" t="s">
        <v>0</v>
      </c>
      <c r="F78" s="28">
        <v>35826</v>
      </c>
      <c r="G78" s="29">
        <v>45597</v>
      </c>
      <c r="H78" s="30" t="s">
        <v>1</v>
      </c>
      <c r="I78" s="25" t="s">
        <v>2</v>
      </c>
      <c r="J78" s="31"/>
      <c r="K78" s="17" t="s">
        <v>42</v>
      </c>
      <c r="L78" t="s">
        <v>41</v>
      </c>
      <c r="M78" t="s">
        <v>15</v>
      </c>
      <c r="N78" t="str">
        <f t="shared" si="18"/>
        <v>https://api.bcb.gov.br/dados/serie/bcdata.sgs.4502/dados?formato=json</v>
      </c>
      <c r="O78">
        <v>7</v>
      </c>
      <c r="P78" t="s">
        <v>19</v>
      </c>
      <c r="Q78" t="s">
        <v>19</v>
      </c>
      <c r="R78" t="str">
        <f t="shared" si="19"/>
        <v>Dívida bruta do governo geral - Metodologia utilizada até 2007</v>
      </c>
      <c r="S78" t="s">
        <v>24</v>
      </c>
    </row>
    <row r="79" spans="1:19" x14ac:dyDescent="0.25">
      <c r="A79" s="18"/>
      <c r="B79" s="18">
        <v>13761</v>
      </c>
      <c r="C79" s="19" t="s">
        <v>40</v>
      </c>
      <c r="D79" s="18" t="s">
        <v>52</v>
      </c>
      <c r="E79" s="20" t="s">
        <v>0</v>
      </c>
      <c r="F79" s="21">
        <v>39052</v>
      </c>
      <c r="G79" s="22">
        <v>45597</v>
      </c>
      <c r="H79" s="23" t="s">
        <v>1</v>
      </c>
      <c r="I79" s="18" t="s">
        <v>2</v>
      </c>
      <c r="J79" s="24"/>
      <c r="K79" s="17" t="s">
        <v>42</v>
      </c>
      <c r="L79" t="s">
        <v>41</v>
      </c>
      <c r="M79" t="s">
        <v>15</v>
      </c>
      <c r="N79" t="str">
        <f t="shared" si="18"/>
        <v>https://api.bcb.gov.br/dados/serie/bcdata.sgs.13761/dados?formato=json</v>
      </c>
      <c r="O79">
        <v>7</v>
      </c>
      <c r="P79" t="s">
        <v>19</v>
      </c>
      <c r="Q79" t="s">
        <v>19</v>
      </c>
      <c r="R79" t="str">
        <f t="shared" si="19"/>
        <v>Dívida bruta do governo geral - Metodologia utilizada a partir de 2008</v>
      </c>
      <c r="S79" t="s">
        <v>24</v>
      </c>
    </row>
    <row r="80" spans="1:19" x14ac:dyDescent="0.25">
      <c r="A80" s="18"/>
      <c r="B80" s="18">
        <v>10823</v>
      </c>
      <c r="C80" s="19" t="s">
        <v>49</v>
      </c>
      <c r="D80" s="18" t="s">
        <v>52</v>
      </c>
      <c r="E80" s="20" t="s">
        <v>0</v>
      </c>
      <c r="F80" s="21">
        <v>37226</v>
      </c>
      <c r="G80" s="22">
        <v>45597</v>
      </c>
      <c r="H80" s="23" t="s">
        <v>1</v>
      </c>
      <c r="I80" s="18" t="s">
        <v>2</v>
      </c>
      <c r="J80" s="24"/>
      <c r="K80" s="17" t="s">
        <v>44</v>
      </c>
      <c r="L80" t="s">
        <v>45</v>
      </c>
      <c r="M80" t="s">
        <v>15</v>
      </c>
      <c r="N80" t="str">
        <f t="shared" ref="N80:N81" si="20">_xlfn.CONCAT("https://api.bcb.gov.br/dados/serie/bcdata.sgs.",B80,"/dados?formato=json")</f>
        <v>https://api.bcb.gov.br/dados/serie/bcdata.sgs.10823/dados?formato=json</v>
      </c>
      <c r="O80">
        <v>7</v>
      </c>
      <c r="P80" t="s">
        <v>19</v>
      </c>
      <c r="Q80" t="s">
        <v>19</v>
      </c>
      <c r="R80" t="str">
        <f t="shared" ref="R80:R81" si="21">C80</f>
        <v>Dívida fiscal líquida com câmbio</v>
      </c>
      <c r="S80" t="s">
        <v>24</v>
      </c>
    </row>
    <row r="81" spans="1:19" x14ac:dyDescent="0.25">
      <c r="A81" s="25"/>
      <c r="B81" s="25">
        <v>10825</v>
      </c>
      <c r="C81" s="26" t="s">
        <v>43</v>
      </c>
      <c r="D81" s="18" t="s">
        <v>52</v>
      </c>
      <c r="E81" s="27" t="s">
        <v>0</v>
      </c>
      <c r="F81" s="28">
        <v>37226</v>
      </c>
      <c r="G81" s="29">
        <v>45597</v>
      </c>
      <c r="H81" s="30" t="s">
        <v>1</v>
      </c>
      <c r="I81" s="25" t="s">
        <v>2</v>
      </c>
      <c r="J81" s="31"/>
      <c r="K81" s="17" t="s">
        <v>44</v>
      </c>
      <c r="L81" t="s">
        <v>45</v>
      </c>
      <c r="M81" t="s">
        <v>15</v>
      </c>
      <c r="N81" t="str">
        <f t="shared" si="20"/>
        <v>https://api.bcb.gov.br/dados/serie/bcdata.sgs.10825/dados?formato=json</v>
      </c>
      <c r="O81">
        <v>7</v>
      </c>
      <c r="P81" t="s">
        <v>19</v>
      </c>
      <c r="Q81" t="s">
        <v>19</v>
      </c>
      <c r="R81" t="str">
        <f t="shared" si="21"/>
        <v>Dívida fiscal líquida</v>
      </c>
      <c r="S81" t="s">
        <v>24</v>
      </c>
    </row>
    <row r="82" spans="1:19" x14ac:dyDescent="0.25">
      <c r="A82" s="18"/>
      <c r="B82" s="18">
        <v>10820</v>
      </c>
      <c r="C82" s="19" t="s">
        <v>46</v>
      </c>
      <c r="D82" s="18" t="s">
        <v>52</v>
      </c>
      <c r="E82" s="20" t="s">
        <v>0</v>
      </c>
      <c r="F82" s="21">
        <v>37226</v>
      </c>
      <c r="G82" s="22">
        <v>45597</v>
      </c>
      <c r="H82" s="23" t="s">
        <v>1</v>
      </c>
      <c r="I82" s="18" t="s">
        <v>2</v>
      </c>
      <c r="J82" s="24"/>
      <c r="K82" s="17" t="s">
        <v>51</v>
      </c>
      <c r="L82" t="s">
        <v>46</v>
      </c>
      <c r="M82" t="s">
        <v>15</v>
      </c>
      <c r="N82" t="str">
        <f t="shared" ref="N82:N85" si="22">_xlfn.CONCAT("https://api.bcb.gov.br/dados/serie/bcdata.sgs.",B82,"/dados?formato=json")</f>
        <v>https://api.bcb.gov.br/dados/serie/bcdata.sgs.10820/dados?formato=json</v>
      </c>
      <c r="O82">
        <v>7</v>
      </c>
      <c r="P82" t="s">
        <v>19</v>
      </c>
      <c r="Q82" t="s">
        <v>19</v>
      </c>
      <c r="R82" t="str">
        <f t="shared" ref="R82:R85" si="23">C82</f>
        <v>Ajuste de privatização</v>
      </c>
      <c r="S82" t="s">
        <v>24</v>
      </c>
    </row>
    <row r="83" spans="1:19" x14ac:dyDescent="0.25">
      <c r="A83" s="25"/>
      <c r="B83" s="25">
        <v>10821</v>
      </c>
      <c r="C83" s="26" t="s">
        <v>47</v>
      </c>
      <c r="D83" s="18" t="s">
        <v>52</v>
      </c>
      <c r="E83" s="27" t="s">
        <v>0</v>
      </c>
      <c r="F83" s="28">
        <v>37226</v>
      </c>
      <c r="G83" s="29">
        <v>45597</v>
      </c>
      <c r="H83" s="30" t="s">
        <v>1</v>
      </c>
      <c r="I83" s="25" t="s">
        <v>2</v>
      </c>
      <c r="J83" s="31"/>
      <c r="K83" s="17" t="s">
        <v>51</v>
      </c>
      <c r="L83" t="s">
        <v>47</v>
      </c>
      <c r="M83" t="s">
        <v>15</v>
      </c>
      <c r="N83" t="str">
        <f t="shared" si="22"/>
        <v>https://api.bcb.gov.br/dados/serie/bcdata.sgs.10821/dados?formato=json</v>
      </c>
      <c r="O83">
        <v>7</v>
      </c>
      <c r="P83" t="s">
        <v>19</v>
      </c>
      <c r="Q83" t="s">
        <v>19</v>
      </c>
      <c r="R83" t="str">
        <f t="shared" si="23"/>
        <v>Ajuste patrimonial</v>
      </c>
      <c r="S83" t="s">
        <v>24</v>
      </c>
    </row>
    <row r="84" spans="1:19" x14ac:dyDescent="0.25">
      <c r="A84" s="18"/>
      <c r="B84" s="18">
        <v>10822</v>
      </c>
      <c r="C84" s="19" t="s">
        <v>48</v>
      </c>
      <c r="D84" s="18" t="s">
        <v>52</v>
      </c>
      <c r="E84" s="20" t="s">
        <v>0</v>
      </c>
      <c r="F84" s="21">
        <v>37226</v>
      </c>
      <c r="G84" s="22">
        <v>45597</v>
      </c>
      <c r="H84" s="23" t="s">
        <v>1</v>
      </c>
      <c r="I84" s="18" t="s">
        <v>2</v>
      </c>
      <c r="J84" s="24"/>
      <c r="K84" s="17" t="s">
        <v>51</v>
      </c>
      <c r="L84" t="s">
        <v>48</v>
      </c>
      <c r="M84" t="s">
        <v>15</v>
      </c>
      <c r="N84" t="str">
        <f t="shared" si="22"/>
        <v>https://api.bcb.gov.br/dados/serie/bcdata.sgs.10822/dados?formato=json</v>
      </c>
      <c r="O84">
        <v>7</v>
      </c>
      <c r="P84" t="s">
        <v>19</v>
      </c>
      <c r="Q84" t="s">
        <v>19</v>
      </c>
      <c r="R84" t="str">
        <f t="shared" si="23"/>
        <v>Ajuste metodológico sobre dívida externa</v>
      </c>
      <c r="S84" t="s">
        <v>24</v>
      </c>
    </row>
    <row r="85" spans="1:19" x14ac:dyDescent="0.25">
      <c r="A85" s="25"/>
      <c r="B85" s="25">
        <v>10824</v>
      </c>
      <c r="C85" s="26" t="s">
        <v>50</v>
      </c>
      <c r="D85" s="18" t="s">
        <v>52</v>
      </c>
      <c r="E85" s="27" t="s">
        <v>0</v>
      </c>
      <c r="F85" s="28">
        <v>37226</v>
      </c>
      <c r="G85" s="29">
        <v>45597</v>
      </c>
      <c r="H85" s="30" t="s">
        <v>1</v>
      </c>
      <c r="I85" s="25" t="s">
        <v>2</v>
      </c>
      <c r="J85" s="31"/>
      <c r="K85" s="17" t="s">
        <v>51</v>
      </c>
      <c r="L85" t="s">
        <v>50</v>
      </c>
      <c r="M85" t="s">
        <v>15</v>
      </c>
      <c r="N85" t="str">
        <f t="shared" si="22"/>
        <v>https://api.bcb.gov.br/dados/serie/bcdata.sgs.10824/dados?formato=json</v>
      </c>
      <c r="O85">
        <v>7</v>
      </c>
      <c r="P85" t="s">
        <v>19</v>
      </c>
      <c r="Q85" t="s">
        <v>19</v>
      </c>
      <c r="R85" t="str">
        <f t="shared" si="23"/>
        <v>Ajuste metodológico sobre dívida interna</v>
      </c>
      <c r="S85" t="s">
        <v>24</v>
      </c>
    </row>
    <row r="86" spans="1:19" x14ac:dyDescent="0.25">
      <c r="A86" s="18"/>
      <c r="B86" s="18">
        <v>4503</v>
      </c>
      <c r="C86" s="19" t="s">
        <v>25</v>
      </c>
      <c r="D86" s="18" t="s">
        <v>54</v>
      </c>
      <c r="E86" s="20" t="s">
        <v>0</v>
      </c>
      <c r="F86" s="21">
        <v>37256</v>
      </c>
      <c r="G86" s="22">
        <v>45597</v>
      </c>
      <c r="H86" s="23" t="s">
        <v>1</v>
      </c>
      <c r="I86" s="18" t="s">
        <v>2</v>
      </c>
      <c r="J86" s="24"/>
      <c r="K86" s="17" t="s">
        <v>53</v>
      </c>
      <c r="L86" t="s">
        <v>55</v>
      </c>
      <c r="M86" t="s">
        <v>15</v>
      </c>
      <c r="N86" t="str">
        <f t="shared" ref="N86:N96" si="24">_xlfn.CONCAT("https://api.bcb.gov.br/dados/serie/bcdata.sgs.",B86,"/dados?formato=json")</f>
        <v>https://api.bcb.gov.br/dados/serie/bcdata.sgs.4503/dados?formato=json</v>
      </c>
      <c r="O86">
        <v>7</v>
      </c>
      <c r="P86" t="s">
        <v>19</v>
      </c>
      <c r="Q86" t="s">
        <v>19</v>
      </c>
      <c r="R86" t="str">
        <f t="shared" ref="R86:R96" si="25">C86</f>
        <v>Governo Federal e Banco Central</v>
      </c>
      <c r="S86" t="s">
        <v>56</v>
      </c>
    </row>
    <row r="87" spans="1:19" x14ac:dyDescent="0.25">
      <c r="A87" s="25"/>
      <c r="B87" s="25">
        <v>4504</v>
      </c>
      <c r="C87" s="26" t="s">
        <v>26</v>
      </c>
      <c r="D87" s="25" t="s">
        <v>54</v>
      </c>
      <c r="E87" s="27" t="s">
        <v>0</v>
      </c>
      <c r="F87" s="28">
        <v>37256</v>
      </c>
      <c r="G87" s="29">
        <v>45597</v>
      </c>
      <c r="H87" s="30" t="s">
        <v>1</v>
      </c>
      <c r="I87" s="25" t="s">
        <v>2</v>
      </c>
      <c r="J87" s="31"/>
      <c r="K87" s="17" t="s">
        <v>53</v>
      </c>
      <c r="L87" t="s">
        <v>55</v>
      </c>
      <c r="M87" t="s">
        <v>15</v>
      </c>
      <c r="N87" t="str">
        <f t="shared" si="24"/>
        <v>https://api.bcb.gov.br/dados/serie/bcdata.sgs.4504/dados?formato=json</v>
      </c>
      <c r="O87">
        <v>7</v>
      </c>
      <c r="P87" t="s">
        <v>19</v>
      </c>
      <c r="Q87" t="s">
        <v>19</v>
      </c>
      <c r="R87" t="str">
        <f t="shared" si="25"/>
        <v>Governo Federal</v>
      </c>
      <c r="S87" t="s">
        <v>56</v>
      </c>
    </row>
    <row r="88" spans="1:19" x14ac:dyDescent="0.25">
      <c r="A88" s="18"/>
      <c r="B88" s="18">
        <v>4505</v>
      </c>
      <c r="C88" s="19" t="s">
        <v>27</v>
      </c>
      <c r="D88" s="18" t="s">
        <v>54</v>
      </c>
      <c r="E88" s="20" t="s">
        <v>0</v>
      </c>
      <c r="F88" s="21">
        <v>37256</v>
      </c>
      <c r="G88" s="22">
        <v>45597</v>
      </c>
      <c r="H88" s="23" t="s">
        <v>1</v>
      </c>
      <c r="I88" s="18" t="s">
        <v>2</v>
      </c>
      <c r="J88" s="24"/>
      <c r="K88" s="17" t="s">
        <v>53</v>
      </c>
      <c r="L88" t="s">
        <v>55</v>
      </c>
      <c r="M88" t="s">
        <v>15</v>
      </c>
      <c r="N88" t="str">
        <f t="shared" si="24"/>
        <v>https://api.bcb.gov.br/dados/serie/bcdata.sgs.4505/dados?formato=json</v>
      </c>
      <c r="O88">
        <v>7</v>
      </c>
      <c r="P88" t="s">
        <v>19</v>
      </c>
      <c r="Q88" t="s">
        <v>19</v>
      </c>
      <c r="R88" t="str">
        <f t="shared" si="25"/>
        <v>Banco Central</v>
      </c>
      <c r="S88" t="s">
        <v>56</v>
      </c>
    </row>
    <row r="89" spans="1:19" x14ac:dyDescent="0.25">
      <c r="A89" s="25"/>
      <c r="B89" s="25">
        <v>4506</v>
      </c>
      <c r="C89" s="26" t="s">
        <v>28</v>
      </c>
      <c r="D89" s="25" t="s">
        <v>54</v>
      </c>
      <c r="E89" s="27" t="s">
        <v>0</v>
      </c>
      <c r="F89" s="28">
        <v>37226</v>
      </c>
      <c r="G89" s="29">
        <v>45597</v>
      </c>
      <c r="H89" s="30" t="s">
        <v>1</v>
      </c>
      <c r="I89" s="25" t="s">
        <v>2</v>
      </c>
      <c r="J89" s="31"/>
      <c r="K89" s="17" t="s">
        <v>53</v>
      </c>
      <c r="L89" t="s">
        <v>55</v>
      </c>
      <c r="M89" t="s">
        <v>15</v>
      </c>
      <c r="N89" t="str">
        <f t="shared" si="24"/>
        <v>https://api.bcb.gov.br/dados/serie/bcdata.sgs.4506/dados?formato=json</v>
      </c>
      <c r="O89">
        <v>7</v>
      </c>
      <c r="P89" t="s">
        <v>19</v>
      </c>
      <c r="Q89" t="s">
        <v>19</v>
      </c>
      <c r="R89" t="str">
        <f t="shared" si="25"/>
        <v>Governos estaduais e municipais</v>
      </c>
      <c r="S89" t="s">
        <v>56</v>
      </c>
    </row>
    <row r="90" spans="1:19" x14ac:dyDescent="0.25">
      <c r="A90" s="18"/>
      <c r="B90" s="18">
        <v>4507</v>
      </c>
      <c r="C90" s="19" t="s">
        <v>29</v>
      </c>
      <c r="D90" s="18" t="s">
        <v>54</v>
      </c>
      <c r="E90" s="20" t="s">
        <v>0</v>
      </c>
      <c r="F90" s="21">
        <v>37256</v>
      </c>
      <c r="G90" s="22">
        <v>45597</v>
      </c>
      <c r="H90" s="23" t="s">
        <v>1</v>
      </c>
      <c r="I90" s="18" t="s">
        <v>2</v>
      </c>
      <c r="J90" s="24"/>
      <c r="K90" s="17" t="s">
        <v>53</v>
      </c>
      <c r="L90" t="s">
        <v>55</v>
      </c>
      <c r="M90" t="s">
        <v>15</v>
      </c>
      <c r="N90" t="str">
        <f t="shared" si="24"/>
        <v>https://api.bcb.gov.br/dados/serie/bcdata.sgs.4507/dados?formato=json</v>
      </c>
      <c r="O90">
        <v>7</v>
      </c>
      <c r="P90" t="s">
        <v>19</v>
      </c>
      <c r="Q90" t="s">
        <v>19</v>
      </c>
      <c r="R90" t="str">
        <f t="shared" si="25"/>
        <v>Governos estaduais</v>
      </c>
      <c r="S90" t="s">
        <v>56</v>
      </c>
    </row>
    <row r="91" spans="1:19" x14ac:dyDescent="0.25">
      <c r="A91" s="25"/>
      <c r="B91" s="25">
        <v>4508</v>
      </c>
      <c r="C91" s="26" t="s">
        <v>30</v>
      </c>
      <c r="D91" s="25" t="s">
        <v>54</v>
      </c>
      <c r="E91" s="27" t="s">
        <v>0</v>
      </c>
      <c r="F91" s="28">
        <v>37226</v>
      </c>
      <c r="G91" s="29">
        <v>45597</v>
      </c>
      <c r="H91" s="30" t="s">
        <v>1</v>
      </c>
      <c r="I91" s="25" t="s">
        <v>2</v>
      </c>
      <c r="J91" s="31"/>
      <c r="K91" s="17" t="s">
        <v>53</v>
      </c>
      <c r="L91" t="s">
        <v>55</v>
      </c>
      <c r="M91" t="s">
        <v>15</v>
      </c>
      <c r="N91" t="str">
        <f t="shared" si="24"/>
        <v>https://api.bcb.gov.br/dados/serie/bcdata.sgs.4508/dados?formato=json</v>
      </c>
      <c r="O91">
        <v>7</v>
      </c>
      <c r="P91" t="s">
        <v>19</v>
      </c>
      <c r="Q91" t="s">
        <v>19</v>
      </c>
      <c r="R91" t="str">
        <f t="shared" si="25"/>
        <v>Governos municipais</v>
      </c>
      <c r="S91" t="s">
        <v>56</v>
      </c>
    </row>
    <row r="92" spans="1:19" x14ac:dyDescent="0.25">
      <c r="A92" s="18"/>
      <c r="B92" s="18">
        <v>4509</v>
      </c>
      <c r="C92" s="19" t="s">
        <v>31</v>
      </c>
      <c r="D92" s="18" t="s">
        <v>54</v>
      </c>
      <c r="E92" s="20" t="s">
        <v>0</v>
      </c>
      <c r="F92" s="21">
        <v>37226</v>
      </c>
      <c r="G92" s="22">
        <v>45597</v>
      </c>
      <c r="H92" s="23" t="s">
        <v>1</v>
      </c>
      <c r="I92" s="18" t="s">
        <v>2</v>
      </c>
      <c r="J92" s="24"/>
      <c r="K92" s="17" t="s">
        <v>53</v>
      </c>
      <c r="L92" t="s">
        <v>55</v>
      </c>
      <c r="M92" t="s">
        <v>15</v>
      </c>
      <c r="N92" t="str">
        <f t="shared" si="24"/>
        <v>https://api.bcb.gov.br/dados/serie/bcdata.sgs.4509/dados?formato=json</v>
      </c>
      <c r="O92">
        <v>7</v>
      </c>
      <c r="P92" t="s">
        <v>19</v>
      </c>
      <c r="Q92" t="s">
        <v>19</v>
      </c>
      <c r="R92" t="str">
        <f t="shared" si="25"/>
        <v>Empresas estatais</v>
      </c>
      <c r="S92" t="s">
        <v>56</v>
      </c>
    </row>
    <row r="93" spans="1:19" x14ac:dyDescent="0.25">
      <c r="A93" s="25"/>
      <c r="B93" s="25">
        <v>4510</v>
      </c>
      <c r="C93" s="26" t="s">
        <v>32</v>
      </c>
      <c r="D93" s="25" t="s">
        <v>54</v>
      </c>
      <c r="E93" s="27" t="s">
        <v>0</v>
      </c>
      <c r="F93" s="28">
        <v>37226</v>
      </c>
      <c r="G93" s="29">
        <v>45597</v>
      </c>
      <c r="H93" s="30" t="s">
        <v>1</v>
      </c>
      <c r="I93" s="25" t="s">
        <v>2</v>
      </c>
      <c r="J93" s="31"/>
      <c r="K93" s="17" t="s">
        <v>53</v>
      </c>
      <c r="L93" t="s">
        <v>55</v>
      </c>
      <c r="M93" t="s">
        <v>15</v>
      </c>
      <c r="N93" t="str">
        <f t="shared" si="24"/>
        <v>https://api.bcb.gov.br/dados/serie/bcdata.sgs.4510/dados?formato=json</v>
      </c>
      <c r="O93">
        <v>7</v>
      </c>
      <c r="P93" t="s">
        <v>19</v>
      </c>
      <c r="Q93" t="s">
        <v>19</v>
      </c>
      <c r="R93" t="str">
        <f t="shared" si="25"/>
        <v>Empresas estatais federais</v>
      </c>
      <c r="S93" t="s">
        <v>56</v>
      </c>
    </row>
    <row r="94" spans="1:19" x14ac:dyDescent="0.25">
      <c r="A94" s="18"/>
      <c r="B94" s="18">
        <v>4511</v>
      </c>
      <c r="C94" s="19" t="s">
        <v>33</v>
      </c>
      <c r="D94" s="18" t="s">
        <v>54</v>
      </c>
      <c r="E94" s="20" t="s">
        <v>0</v>
      </c>
      <c r="F94" s="21">
        <v>37256</v>
      </c>
      <c r="G94" s="22">
        <v>45597</v>
      </c>
      <c r="H94" s="23" t="s">
        <v>1</v>
      </c>
      <c r="I94" s="18" t="s">
        <v>2</v>
      </c>
      <c r="J94" s="24"/>
      <c r="K94" s="17" t="s">
        <v>53</v>
      </c>
      <c r="L94" t="s">
        <v>55</v>
      </c>
      <c r="M94" t="s">
        <v>15</v>
      </c>
      <c r="N94" t="str">
        <f t="shared" si="24"/>
        <v>https://api.bcb.gov.br/dados/serie/bcdata.sgs.4511/dados?formato=json</v>
      </c>
      <c r="O94">
        <v>7</v>
      </c>
      <c r="P94" t="s">
        <v>19</v>
      </c>
      <c r="Q94" t="s">
        <v>19</v>
      </c>
      <c r="R94" t="str">
        <f t="shared" si="25"/>
        <v>Empresas estatais estaduais</v>
      </c>
      <c r="S94" t="s">
        <v>56</v>
      </c>
    </row>
    <row r="95" spans="1:19" x14ac:dyDescent="0.25">
      <c r="A95" s="25"/>
      <c r="B95" s="25">
        <v>4512</v>
      </c>
      <c r="C95" s="26" t="s">
        <v>34</v>
      </c>
      <c r="D95" s="25" t="s">
        <v>54</v>
      </c>
      <c r="E95" s="27" t="s">
        <v>0</v>
      </c>
      <c r="F95" s="28">
        <v>37256</v>
      </c>
      <c r="G95" s="29">
        <v>45597</v>
      </c>
      <c r="H95" s="30" t="s">
        <v>1</v>
      </c>
      <c r="I95" s="25" t="s">
        <v>2</v>
      </c>
      <c r="J95" s="31"/>
      <c r="K95" s="17" t="s">
        <v>53</v>
      </c>
      <c r="L95" t="s">
        <v>55</v>
      </c>
      <c r="M95" t="s">
        <v>15</v>
      </c>
      <c r="N95" t="str">
        <f t="shared" si="24"/>
        <v>https://api.bcb.gov.br/dados/serie/bcdata.sgs.4512/dados?formato=json</v>
      </c>
      <c r="O95">
        <v>7</v>
      </c>
      <c r="P95" t="s">
        <v>19</v>
      </c>
      <c r="Q95" t="s">
        <v>19</v>
      </c>
      <c r="R95" t="str">
        <f t="shared" si="25"/>
        <v>Empresas estatais municipais</v>
      </c>
      <c r="S95" t="s">
        <v>56</v>
      </c>
    </row>
    <row r="96" spans="1:19" x14ac:dyDescent="0.25">
      <c r="A96" s="18"/>
      <c r="B96" s="18">
        <v>4513</v>
      </c>
      <c r="C96" s="19" t="s">
        <v>35</v>
      </c>
      <c r="D96" s="18" t="s">
        <v>54</v>
      </c>
      <c r="E96" s="20" t="s">
        <v>0</v>
      </c>
      <c r="F96" s="21">
        <v>37226</v>
      </c>
      <c r="G96" s="22">
        <v>45597</v>
      </c>
      <c r="H96" s="23" t="s">
        <v>1</v>
      </c>
      <c r="I96" s="18" t="s">
        <v>2</v>
      </c>
      <c r="J96" s="24"/>
      <c r="K96" s="17" t="s">
        <v>53</v>
      </c>
      <c r="L96" t="s">
        <v>55</v>
      </c>
      <c r="M96" t="s">
        <v>15</v>
      </c>
      <c r="N96" t="str">
        <f t="shared" si="24"/>
        <v>https://api.bcb.gov.br/dados/serie/bcdata.sgs.4513/dados?formato=json</v>
      </c>
      <c r="O96">
        <v>7</v>
      </c>
      <c r="P96" t="s">
        <v>19</v>
      </c>
      <c r="Q96" t="s">
        <v>19</v>
      </c>
      <c r="R96" t="str">
        <f t="shared" si="25"/>
        <v>Setor público consolidado</v>
      </c>
      <c r="S96" t="s">
        <v>56</v>
      </c>
    </row>
    <row r="97" spans="1:19" x14ac:dyDescent="0.25">
      <c r="A97" s="18"/>
      <c r="B97" s="18">
        <v>4514</v>
      </c>
      <c r="C97" s="19" t="s">
        <v>25</v>
      </c>
      <c r="D97" s="18" t="s">
        <v>54</v>
      </c>
      <c r="E97" s="20" t="s">
        <v>0</v>
      </c>
      <c r="F97" s="21">
        <v>37256</v>
      </c>
      <c r="G97" s="22">
        <v>45597</v>
      </c>
      <c r="H97" s="23" t="s">
        <v>1</v>
      </c>
      <c r="I97" s="18" t="s">
        <v>2</v>
      </c>
      <c r="J97" s="24"/>
      <c r="K97" s="17" t="s">
        <v>58</v>
      </c>
      <c r="L97" t="s">
        <v>55</v>
      </c>
      <c r="M97" t="s">
        <v>15</v>
      </c>
      <c r="N97" t="str">
        <f t="shared" ref="N97:N107" si="26">_xlfn.CONCAT("https://api.bcb.gov.br/dados/serie/bcdata.sgs.",B97,"/dados?formato=json")</f>
        <v>https://api.bcb.gov.br/dados/serie/bcdata.sgs.4514/dados?formato=json</v>
      </c>
      <c r="O97">
        <v>7</v>
      </c>
      <c r="P97" t="s">
        <v>19</v>
      </c>
      <c r="Q97" t="s">
        <v>19</v>
      </c>
      <c r="R97" t="str">
        <f t="shared" ref="R97:R107" si="27">C97</f>
        <v>Governo Federal e Banco Central</v>
      </c>
      <c r="S97" t="s">
        <v>56</v>
      </c>
    </row>
    <row r="98" spans="1:19" x14ac:dyDescent="0.25">
      <c r="A98" s="25"/>
      <c r="B98" s="25">
        <v>4515</v>
      </c>
      <c r="C98" s="26" t="s">
        <v>26</v>
      </c>
      <c r="D98" s="25" t="s">
        <v>54</v>
      </c>
      <c r="E98" s="27" t="s">
        <v>0</v>
      </c>
      <c r="F98" s="28">
        <v>37226</v>
      </c>
      <c r="G98" s="29">
        <v>45597</v>
      </c>
      <c r="H98" s="30" t="s">
        <v>1</v>
      </c>
      <c r="I98" s="25" t="s">
        <v>2</v>
      </c>
      <c r="J98" s="31"/>
      <c r="K98" s="17" t="s">
        <v>58</v>
      </c>
      <c r="L98" t="s">
        <v>55</v>
      </c>
      <c r="M98" t="s">
        <v>15</v>
      </c>
      <c r="N98" t="str">
        <f t="shared" si="26"/>
        <v>https://api.bcb.gov.br/dados/serie/bcdata.sgs.4515/dados?formato=json</v>
      </c>
      <c r="O98">
        <v>7</v>
      </c>
      <c r="P98" t="s">
        <v>19</v>
      </c>
      <c r="Q98" t="s">
        <v>19</v>
      </c>
      <c r="R98" t="str">
        <f t="shared" si="27"/>
        <v>Governo Federal</v>
      </c>
      <c r="S98" t="s">
        <v>56</v>
      </c>
    </row>
    <row r="99" spans="1:19" x14ac:dyDescent="0.25">
      <c r="A99" s="18"/>
      <c r="B99" s="18">
        <v>4516</v>
      </c>
      <c r="C99" s="19" t="s">
        <v>27</v>
      </c>
      <c r="D99" s="18" t="s">
        <v>54</v>
      </c>
      <c r="E99" s="20" t="s">
        <v>0</v>
      </c>
      <c r="F99" s="21">
        <v>37256</v>
      </c>
      <c r="G99" s="22">
        <v>45597</v>
      </c>
      <c r="H99" s="23" t="s">
        <v>1</v>
      </c>
      <c r="I99" s="18" t="s">
        <v>2</v>
      </c>
      <c r="J99" s="24"/>
      <c r="K99" s="17" t="s">
        <v>58</v>
      </c>
      <c r="L99" t="s">
        <v>55</v>
      </c>
      <c r="M99" t="s">
        <v>15</v>
      </c>
      <c r="N99" t="str">
        <f t="shared" si="26"/>
        <v>https://api.bcb.gov.br/dados/serie/bcdata.sgs.4516/dados?formato=json</v>
      </c>
      <c r="O99">
        <v>7</v>
      </c>
      <c r="P99" t="s">
        <v>19</v>
      </c>
      <c r="Q99" t="s">
        <v>19</v>
      </c>
      <c r="R99" t="str">
        <f t="shared" si="27"/>
        <v>Banco Central</v>
      </c>
      <c r="S99" t="s">
        <v>56</v>
      </c>
    </row>
    <row r="100" spans="1:19" x14ac:dyDescent="0.25">
      <c r="A100" s="25"/>
      <c r="B100" s="25">
        <v>4517</v>
      </c>
      <c r="C100" s="26" t="s">
        <v>28</v>
      </c>
      <c r="D100" s="25" t="s">
        <v>54</v>
      </c>
      <c r="E100" s="27" t="s">
        <v>0</v>
      </c>
      <c r="F100" s="28">
        <v>37256</v>
      </c>
      <c r="G100" s="29">
        <v>45597</v>
      </c>
      <c r="H100" s="30" t="s">
        <v>1</v>
      </c>
      <c r="I100" s="25" t="s">
        <v>2</v>
      </c>
      <c r="J100" s="31"/>
      <c r="K100" s="17" t="s">
        <v>58</v>
      </c>
      <c r="L100" t="s">
        <v>55</v>
      </c>
      <c r="M100" t="s">
        <v>15</v>
      </c>
      <c r="N100" t="str">
        <f t="shared" si="26"/>
        <v>https://api.bcb.gov.br/dados/serie/bcdata.sgs.4517/dados?formato=json</v>
      </c>
      <c r="O100">
        <v>7</v>
      </c>
      <c r="P100" t="s">
        <v>19</v>
      </c>
      <c r="Q100" t="s">
        <v>19</v>
      </c>
      <c r="R100" t="str">
        <f t="shared" si="27"/>
        <v>Governos estaduais e municipais</v>
      </c>
      <c r="S100" t="s">
        <v>56</v>
      </c>
    </row>
    <row r="101" spans="1:19" x14ac:dyDescent="0.25">
      <c r="A101" s="18"/>
      <c r="B101" s="18">
        <v>4518</v>
      </c>
      <c r="C101" s="19" t="s">
        <v>29</v>
      </c>
      <c r="D101" s="18" t="s">
        <v>54</v>
      </c>
      <c r="E101" s="20" t="s">
        <v>0</v>
      </c>
      <c r="F101" s="21">
        <v>37256</v>
      </c>
      <c r="G101" s="22">
        <v>45597</v>
      </c>
      <c r="H101" s="23" t="s">
        <v>1</v>
      </c>
      <c r="I101" s="18" t="s">
        <v>2</v>
      </c>
      <c r="J101" s="24"/>
      <c r="K101" s="17" t="s">
        <v>58</v>
      </c>
      <c r="L101" t="s">
        <v>55</v>
      </c>
      <c r="M101" t="s">
        <v>15</v>
      </c>
      <c r="N101" t="str">
        <f t="shared" si="26"/>
        <v>https://api.bcb.gov.br/dados/serie/bcdata.sgs.4518/dados?formato=json</v>
      </c>
      <c r="O101">
        <v>7</v>
      </c>
      <c r="P101" t="s">
        <v>19</v>
      </c>
      <c r="Q101" t="s">
        <v>19</v>
      </c>
      <c r="R101" t="str">
        <f t="shared" si="27"/>
        <v>Governos estaduais</v>
      </c>
      <c r="S101" t="s">
        <v>56</v>
      </c>
    </row>
    <row r="102" spans="1:19" x14ac:dyDescent="0.25">
      <c r="A102" s="25"/>
      <c r="B102" s="25">
        <v>4519</v>
      </c>
      <c r="C102" s="26" t="s">
        <v>30</v>
      </c>
      <c r="D102" s="25" t="s">
        <v>54</v>
      </c>
      <c r="E102" s="27" t="s">
        <v>0</v>
      </c>
      <c r="F102" s="28">
        <v>37256</v>
      </c>
      <c r="G102" s="29">
        <v>45597</v>
      </c>
      <c r="H102" s="30" t="s">
        <v>1</v>
      </c>
      <c r="I102" s="25" t="s">
        <v>2</v>
      </c>
      <c r="J102" s="31"/>
      <c r="K102" s="17" t="s">
        <v>58</v>
      </c>
      <c r="L102" t="s">
        <v>55</v>
      </c>
      <c r="M102" t="s">
        <v>15</v>
      </c>
      <c r="N102" t="str">
        <f t="shared" si="26"/>
        <v>https://api.bcb.gov.br/dados/serie/bcdata.sgs.4519/dados?formato=json</v>
      </c>
      <c r="O102">
        <v>7</v>
      </c>
      <c r="P102" t="s">
        <v>19</v>
      </c>
      <c r="Q102" t="s">
        <v>19</v>
      </c>
      <c r="R102" t="str">
        <f t="shared" si="27"/>
        <v>Governos municipais</v>
      </c>
      <c r="S102" t="s">
        <v>56</v>
      </c>
    </row>
    <row r="103" spans="1:19" x14ac:dyDescent="0.25">
      <c r="A103" s="18"/>
      <c r="B103" s="18">
        <v>4520</v>
      </c>
      <c r="C103" s="19" t="s">
        <v>31</v>
      </c>
      <c r="D103" s="18" t="s">
        <v>54</v>
      </c>
      <c r="E103" s="20" t="s">
        <v>0</v>
      </c>
      <c r="F103" s="21">
        <v>37226</v>
      </c>
      <c r="G103" s="22">
        <v>45597</v>
      </c>
      <c r="H103" s="23" t="s">
        <v>1</v>
      </c>
      <c r="I103" s="18" t="s">
        <v>2</v>
      </c>
      <c r="J103" s="24"/>
      <c r="K103" s="17" t="s">
        <v>58</v>
      </c>
      <c r="L103" t="s">
        <v>55</v>
      </c>
      <c r="M103" t="s">
        <v>15</v>
      </c>
      <c r="N103" t="str">
        <f t="shared" si="26"/>
        <v>https://api.bcb.gov.br/dados/serie/bcdata.sgs.4520/dados?formato=json</v>
      </c>
      <c r="O103">
        <v>7</v>
      </c>
      <c r="P103" t="s">
        <v>19</v>
      </c>
      <c r="Q103" t="s">
        <v>19</v>
      </c>
      <c r="R103" t="str">
        <f t="shared" si="27"/>
        <v>Empresas estatais</v>
      </c>
      <c r="S103" t="s">
        <v>56</v>
      </c>
    </row>
    <row r="104" spans="1:19" x14ac:dyDescent="0.25">
      <c r="A104" s="25"/>
      <c r="B104" s="25">
        <v>4521</v>
      </c>
      <c r="C104" s="26" t="s">
        <v>32</v>
      </c>
      <c r="D104" s="25" t="s">
        <v>54</v>
      </c>
      <c r="E104" s="27" t="s">
        <v>0</v>
      </c>
      <c r="F104" s="28">
        <v>37226</v>
      </c>
      <c r="G104" s="29">
        <v>45597</v>
      </c>
      <c r="H104" s="30" t="s">
        <v>1</v>
      </c>
      <c r="I104" s="25" t="s">
        <v>2</v>
      </c>
      <c r="J104" s="31"/>
      <c r="K104" s="17" t="s">
        <v>58</v>
      </c>
      <c r="L104" t="s">
        <v>55</v>
      </c>
      <c r="M104" t="s">
        <v>15</v>
      </c>
      <c r="N104" t="str">
        <f t="shared" si="26"/>
        <v>https://api.bcb.gov.br/dados/serie/bcdata.sgs.4521/dados?formato=json</v>
      </c>
      <c r="O104">
        <v>7</v>
      </c>
      <c r="P104" t="s">
        <v>19</v>
      </c>
      <c r="Q104" t="s">
        <v>19</v>
      </c>
      <c r="R104" t="str">
        <f t="shared" si="27"/>
        <v>Empresas estatais federais</v>
      </c>
      <c r="S104" t="s">
        <v>56</v>
      </c>
    </row>
    <row r="105" spans="1:19" x14ac:dyDescent="0.25">
      <c r="A105" s="18"/>
      <c r="B105" s="18">
        <v>4522</v>
      </c>
      <c r="C105" s="19" t="s">
        <v>33</v>
      </c>
      <c r="D105" s="18" t="s">
        <v>54</v>
      </c>
      <c r="E105" s="20" t="s">
        <v>0</v>
      </c>
      <c r="F105" s="21">
        <v>37256</v>
      </c>
      <c r="G105" s="22">
        <v>45597</v>
      </c>
      <c r="H105" s="23" t="s">
        <v>1</v>
      </c>
      <c r="I105" s="18" t="s">
        <v>2</v>
      </c>
      <c r="J105" s="24"/>
      <c r="K105" s="17" t="s">
        <v>58</v>
      </c>
      <c r="L105" t="s">
        <v>55</v>
      </c>
      <c r="M105" t="s">
        <v>15</v>
      </c>
      <c r="N105" t="str">
        <f t="shared" si="26"/>
        <v>https://api.bcb.gov.br/dados/serie/bcdata.sgs.4522/dados?formato=json</v>
      </c>
      <c r="O105">
        <v>7</v>
      </c>
      <c r="P105" t="s">
        <v>19</v>
      </c>
      <c r="Q105" t="s">
        <v>19</v>
      </c>
      <c r="R105" t="str">
        <f t="shared" si="27"/>
        <v>Empresas estatais estaduais</v>
      </c>
      <c r="S105" t="s">
        <v>56</v>
      </c>
    </row>
    <row r="106" spans="1:19" x14ac:dyDescent="0.25">
      <c r="A106" s="25"/>
      <c r="B106" s="25">
        <v>4523</v>
      </c>
      <c r="C106" s="26" t="s">
        <v>34</v>
      </c>
      <c r="D106" s="25" t="s">
        <v>54</v>
      </c>
      <c r="E106" s="27" t="s">
        <v>0</v>
      </c>
      <c r="F106" s="28">
        <v>37256</v>
      </c>
      <c r="G106" s="29">
        <v>45597</v>
      </c>
      <c r="H106" s="30" t="s">
        <v>1</v>
      </c>
      <c r="I106" s="25" t="s">
        <v>2</v>
      </c>
      <c r="J106" s="31"/>
      <c r="K106" s="17" t="s">
        <v>58</v>
      </c>
      <c r="L106" t="s">
        <v>55</v>
      </c>
      <c r="M106" t="s">
        <v>15</v>
      </c>
      <c r="N106" t="str">
        <f t="shared" si="26"/>
        <v>https://api.bcb.gov.br/dados/serie/bcdata.sgs.4523/dados?formato=json</v>
      </c>
      <c r="O106">
        <v>7</v>
      </c>
      <c r="P106" t="s">
        <v>19</v>
      </c>
      <c r="Q106" t="s">
        <v>19</v>
      </c>
      <c r="R106" t="str">
        <f t="shared" si="27"/>
        <v>Empresas estatais municipais</v>
      </c>
      <c r="S106" t="s">
        <v>56</v>
      </c>
    </row>
    <row r="107" spans="1:19" x14ac:dyDescent="0.25">
      <c r="A107" s="18"/>
      <c r="B107" s="18">
        <v>4524</v>
      </c>
      <c r="C107" s="19" t="s">
        <v>35</v>
      </c>
      <c r="D107" s="18" t="s">
        <v>54</v>
      </c>
      <c r="E107" s="20" t="s">
        <v>0</v>
      </c>
      <c r="F107" s="21">
        <v>37226</v>
      </c>
      <c r="G107" s="22">
        <v>45597</v>
      </c>
      <c r="H107" s="23" t="s">
        <v>1</v>
      </c>
      <c r="I107" s="18" t="s">
        <v>2</v>
      </c>
      <c r="J107" s="24"/>
      <c r="K107" s="17" t="s">
        <v>58</v>
      </c>
      <c r="L107" t="s">
        <v>55</v>
      </c>
      <c r="M107" t="s">
        <v>15</v>
      </c>
      <c r="N107" t="str">
        <f t="shared" si="26"/>
        <v>https://api.bcb.gov.br/dados/serie/bcdata.sgs.4524/dados?formato=json</v>
      </c>
      <c r="O107">
        <v>7</v>
      </c>
      <c r="P107" t="s">
        <v>19</v>
      </c>
      <c r="Q107" t="s">
        <v>19</v>
      </c>
      <c r="R107" t="str">
        <f t="shared" si="27"/>
        <v>Setor público consolidado</v>
      </c>
      <c r="S107" t="s">
        <v>56</v>
      </c>
    </row>
    <row r="108" spans="1:19" x14ac:dyDescent="0.25">
      <c r="A108" s="18"/>
      <c r="B108" s="18">
        <v>4525</v>
      </c>
      <c r="C108" s="19" t="s">
        <v>25</v>
      </c>
      <c r="D108" s="18" t="s">
        <v>54</v>
      </c>
      <c r="E108" s="20" t="s">
        <v>0</v>
      </c>
      <c r="F108" s="21">
        <v>37256</v>
      </c>
      <c r="G108" s="22">
        <v>45597</v>
      </c>
      <c r="H108" s="23" t="s">
        <v>1</v>
      </c>
      <c r="I108" s="18" t="s">
        <v>2</v>
      </c>
      <c r="J108" s="24"/>
      <c r="K108" s="17" t="s">
        <v>59</v>
      </c>
      <c r="L108" t="s">
        <v>55</v>
      </c>
      <c r="M108" t="s">
        <v>15</v>
      </c>
      <c r="N108" t="str">
        <f t="shared" ref="N108:N118" si="28">_xlfn.CONCAT("https://api.bcb.gov.br/dados/serie/bcdata.sgs.",B108,"/dados?formato=json")</f>
        <v>https://api.bcb.gov.br/dados/serie/bcdata.sgs.4525/dados?formato=json</v>
      </c>
      <c r="O108">
        <v>7</v>
      </c>
      <c r="P108" t="s">
        <v>19</v>
      </c>
      <c r="Q108" t="s">
        <v>19</v>
      </c>
      <c r="R108" t="str">
        <f t="shared" ref="R108:R118" si="29">C108</f>
        <v>Governo Federal e Banco Central</v>
      </c>
      <c r="S108" t="s">
        <v>56</v>
      </c>
    </row>
    <row r="109" spans="1:19" x14ac:dyDescent="0.25">
      <c r="A109" s="25"/>
      <c r="B109" s="25">
        <v>4526</v>
      </c>
      <c r="C109" s="26" t="s">
        <v>26</v>
      </c>
      <c r="D109" s="25" t="s">
        <v>54</v>
      </c>
      <c r="E109" s="27" t="s">
        <v>0</v>
      </c>
      <c r="F109" s="28">
        <v>37256</v>
      </c>
      <c r="G109" s="29">
        <v>45597</v>
      </c>
      <c r="H109" s="30" t="s">
        <v>1</v>
      </c>
      <c r="I109" s="25" t="s">
        <v>2</v>
      </c>
      <c r="J109" s="31"/>
      <c r="K109" s="17" t="s">
        <v>59</v>
      </c>
      <c r="L109" t="s">
        <v>55</v>
      </c>
      <c r="M109" t="s">
        <v>15</v>
      </c>
      <c r="N109" t="str">
        <f t="shared" si="28"/>
        <v>https://api.bcb.gov.br/dados/serie/bcdata.sgs.4526/dados?formato=json</v>
      </c>
      <c r="O109">
        <v>7</v>
      </c>
      <c r="P109" t="s">
        <v>19</v>
      </c>
      <c r="Q109" t="s">
        <v>19</v>
      </c>
      <c r="R109" t="str">
        <f t="shared" si="29"/>
        <v>Governo Federal</v>
      </c>
      <c r="S109" t="s">
        <v>56</v>
      </c>
    </row>
    <row r="110" spans="1:19" x14ac:dyDescent="0.25">
      <c r="A110" s="18"/>
      <c r="B110" s="18">
        <v>4527</v>
      </c>
      <c r="C110" s="19" t="s">
        <v>27</v>
      </c>
      <c r="D110" s="18" t="s">
        <v>54</v>
      </c>
      <c r="E110" s="20" t="s">
        <v>0</v>
      </c>
      <c r="F110" s="21">
        <v>37256</v>
      </c>
      <c r="G110" s="22">
        <v>45597</v>
      </c>
      <c r="H110" s="23" t="s">
        <v>1</v>
      </c>
      <c r="I110" s="18" t="s">
        <v>2</v>
      </c>
      <c r="J110" s="24"/>
      <c r="K110" s="17" t="s">
        <v>59</v>
      </c>
      <c r="L110" t="s">
        <v>55</v>
      </c>
      <c r="M110" t="s">
        <v>15</v>
      </c>
      <c r="N110" t="str">
        <f t="shared" si="28"/>
        <v>https://api.bcb.gov.br/dados/serie/bcdata.sgs.4527/dados?formato=json</v>
      </c>
      <c r="O110">
        <v>7</v>
      </c>
      <c r="P110" t="s">
        <v>19</v>
      </c>
      <c r="Q110" t="s">
        <v>19</v>
      </c>
      <c r="R110" t="str">
        <f t="shared" si="29"/>
        <v>Banco Central</v>
      </c>
      <c r="S110" t="s">
        <v>56</v>
      </c>
    </row>
    <row r="111" spans="1:19" x14ac:dyDescent="0.25">
      <c r="A111" s="25"/>
      <c r="B111" s="25">
        <v>4528</v>
      </c>
      <c r="C111" s="26" t="s">
        <v>28</v>
      </c>
      <c r="D111" s="25" t="s">
        <v>54</v>
      </c>
      <c r="E111" s="27" t="s">
        <v>0</v>
      </c>
      <c r="F111" s="28">
        <v>37256</v>
      </c>
      <c r="G111" s="29">
        <v>45597</v>
      </c>
      <c r="H111" s="30" t="s">
        <v>1</v>
      </c>
      <c r="I111" s="25" t="s">
        <v>2</v>
      </c>
      <c r="J111" s="31"/>
      <c r="K111" s="17" t="s">
        <v>59</v>
      </c>
      <c r="L111" t="s">
        <v>55</v>
      </c>
      <c r="M111" t="s">
        <v>15</v>
      </c>
      <c r="N111" t="str">
        <f t="shared" si="28"/>
        <v>https://api.bcb.gov.br/dados/serie/bcdata.sgs.4528/dados?formato=json</v>
      </c>
      <c r="O111">
        <v>7</v>
      </c>
      <c r="P111" t="s">
        <v>19</v>
      </c>
      <c r="Q111" t="s">
        <v>19</v>
      </c>
      <c r="R111" t="str">
        <f t="shared" si="29"/>
        <v>Governos estaduais e municipais</v>
      </c>
      <c r="S111" t="s">
        <v>56</v>
      </c>
    </row>
    <row r="112" spans="1:19" x14ac:dyDescent="0.25">
      <c r="A112" s="18"/>
      <c r="B112" s="18">
        <v>4529</v>
      </c>
      <c r="C112" s="19" t="s">
        <v>29</v>
      </c>
      <c r="D112" s="18" t="s">
        <v>54</v>
      </c>
      <c r="E112" s="20" t="s">
        <v>0</v>
      </c>
      <c r="F112" s="21">
        <v>37256</v>
      </c>
      <c r="G112" s="22">
        <v>45597</v>
      </c>
      <c r="H112" s="23" t="s">
        <v>1</v>
      </c>
      <c r="I112" s="18" t="s">
        <v>2</v>
      </c>
      <c r="J112" s="24"/>
      <c r="K112" s="17" t="s">
        <v>59</v>
      </c>
      <c r="L112" t="s">
        <v>55</v>
      </c>
      <c r="M112" t="s">
        <v>15</v>
      </c>
      <c r="N112" t="str">
        <f t="shared" si="28"/>
        <v>https://api.bcb.gov.br/dados/serie/bcdata.sgs.4529/dados?formato=json</v>
      </c>
      <c r="O112">
        <v>7</v>
      </c>
      <c r="P112" t="s">
        <v>19</v>
      </c>
      <c r="Q112" t="s">
        <v>19</v>
      </c>
      <c r="R112" t="str">
        <f t="shared" si="29"/>
        <v>Governos estaduais</v>
      </c>
      <c r="S112" t="s">
        <v>56</v>
      </c>
    </row>
    <row r="113" spans="1:19" x14ac:dyDescent="0.25">
      <c r="A113" s="25"/>
      <c r="B113" s="25">
        <v>4530</v>
      </c>
      <c r="C113" s="26" t="s">
        <v>30</v>
      </c>
      <c r="D113" s="25" t="s">
        <v>54</v>
      </c>
      <c r="E113" s="27" t="s">
        <v>0</v>
      </c>
      <c r="F113" s="28">
        <v>37256</v>
      </c>
      <c r="G113" s="29">
        <v>45597</v>
      </c>
      <c r="H113" s="30" t="s">
        <v>1</v>
      </c>
      <c r="I113" s="25" t="s">
        <v>2</v>
      </c>
      <c r="J113" s="31"/>
      <c r="K113" s="17" t="s">
        <v>59</v>
      </c>
      <c r="L113" t="s">
        <v>55</v>
      </c>
      <c r="M113" t="s">
        <v>15</v>
      </c>
      <c r="N113" t="str">
        <f t="shared" si="28"/>
        <v>https://api.bcb.gov.br/dados/serie/bcdata.sgs.4530/dados?formato=json</v>
      </c>
      <c r="O113">
        <v>7</v>
      </c>
      <c r="P113" t="s">
        <v>19</v>
      </c>
      <c r="Q113" t="s">
        <v>19</v>
      </c>
      <c r="R113" t="str">
        <f t="shared" si="29"/>
        <v>Governos municipais</v>
      </c>
      <c r="S113" t="s">
        <v>56</v>
      </c>
    </row>
    <row r="114" spans="1:19" x14ac:dyDescent="0.25">
      <c r="A114" s="18"/>
      <c r="B114" s="18">
        <v>4531</v>
      </c>
      <c r="C114" s="19" t="s">
        <v>31</v>
      </c>
      <c r="D114" s="18" t="s">
        <v>54</v>
      </c>
      <c r="E114" s="20" t="s">
        <v>0</v>
      </c>
      <c r="F114" s="21">
        <v>37226</v>
      </c>
      <c r="G114" s="22">
        <v>45597</v>
      </c>
      <c r="H114" s="23" t="s">
        <v>1</v>
      </c>
      <c r="I114" s="18" t="s">
        <v>2</v>
      </c>
      <c r="J114" s="24"/>
      <c r="K114" s="17" t="s">
        <v>59</v>
      </c>
      <c r="L114" t="s">
        <v>55</v>
      </c>
      <c r="M114" t="s">
        <v>15</v>
      </c>
      <c r="N114" t="str">
        <f t="shared" si="28"/>
        <v>https://api.bcb.gov.br/dados/serie/bcdata.sgs.4531/dados?formato=json</v>
      </c>
      <c r="O114">
        <v>7</v>
      </c>
      <c r="P114" t="s">
        <v>19</v>
      </c>
      <c r="Q114" t="s">
        <v>19</v>
      </c>
      <c r="R114" t="str">
        <f t="shared" si="29"/>
        <v>Empresas estatais</v>
      </c>
      <c r="S114" t="s">
        <v>56</v>
      </c>
    </row>
    <row r="115" spans="1:19" x14ac:dyDescent="0.25">
      <c r="A115" s="25"/>
      <c r="B115" s="25">
        <v>4532</v>
      </c>
      <c r="C115" s="26" t="s">
        <v>32</v>
      </c>
      <c r="D115" s="25" t="s">
        <v>54</v>
      </c>
      <c r="E115" s="27" t="s">
        <v>0</v>
      </c>
      <c r="F115" s="28">
        <v>37226</v>
      </c>
      <c r="G115" s="29">
        <v>45597</v>
      </c>
      <c r="H115" s="30" t="s">
        <v>1</v>
      </c>
      <c r="I115" s="25" t="s">
        <v>2</v>
      </c>
      <c r="J115" s="31"/>
      <c r="K115" s="17" t="s">
        <v>59</v>
      </c>
      <c r="L115" t="s">
        <v>55</v>
      </c>
      <c r="M115" t="s">
        <v>15</v>
      </c>
      <c r="N115" t="str">
        <f t="shared" si="28"/>
        <v>https://api.bcb.gov.br/dados/serie/bcdata.sgs.4532/dados?formato=json</v>
      </c>
      <c r="O115">
        <v>7</v>
      </c>
      <c r="P115" t="s">
        <v>19</v>
      </c>
      <c r="Q115" t="s">
        <v>19</v>
      </c>
      <c r="R115" t="str">
        <f t="shared" si="29"/>
        <v>Empresas estatais federais</v>
      </c>
      <c r="S115" t="s">
        <v>56</v>
      </c>
    </row>
    <row r="116" spans="1:19" x14ac:dyDescent="0.25">
      <c r="A116" s="18"/>
      <c r="B116" s="18">
        <v>4533</v>
      </c>
      <c r="C116" s="19" t="s">
        <v>33</v>
      </c>
      <c r="D116" s="18" t="s">
        <v>54</v>
      </c>
      <c r="E116" s="20" t="s">
        <v>0</v>
      </c>
      <c r="F116" s="21">
        <v>37256</v>
      </c>
      <c r="G116" s="22">
        <v>45597</v>
      </c>
      <c r="H116" s="23" t="s">
        <v>1</v>
      </c>
      <c r="I116" s="18" t="s">
        <v>2</v>
      </c>
      <c r="J116" s="24"/>
      <c r="K116" s="17" t="s">
        <v>59</v>
      </c>
      <c r="L116" t="s">
        <v>55</v>
      </c>
      <c r="M116" t="s">
        <v>15</v>
      </c>
      <c r="N116" t="str">
        <f t="shared" si="28"/>
        <v>https://api.bcb.gov.br/dados/serie/bcdata.sgs.4533/dados?formato=json</v>
      </c>
      <c r="O116">
        <v>7</v>
      </c>
      <c r="P116" t="s">
        <v>19</v>
      </c>
      <c r="Q116" t="s">
        <v>19</v>
      </c>
      <c r="R116" t="str">
        <f t="shared" si="29"/>
        <v>Empresas estatais estaduais</v>
      </c>
      <c r="S116" t="s">
        <v>56</v>
      </c>
    </row>
    <row r="117" spans="1:19" x14ac:dyDescent="0.25">
      <c r="A117" s="25"/>
      <c r="B117" s="25">
        <v>4534</v>
      </c>
      <c r="C117" s="26" t="s">
        <v>34</v>
      </c>
      <c r="D117" s="25" t="s">
        <v>54</v>
      </c>
      <c r="E117" s="27" t="s">
        <v>0</v>
      </c>
      <c r="F117" s="28">
        <v>37256</v>
      </c>
      <c r="G117" s="29">
        <v>45597</v>
      </c>
      <c r="H117" s="30" t="s">
        <v>1</v>
      </c>
      <c r="I117" s="25" t="s">
        <v>2</v>
      </c>
      <c r="J117" s="31"/>
      <c r="K117" s="17" t="s">
        <v>59</v>
      </c>
      <c r="L117" t="s">
        <v>55</v>
      </c>
      <c r="M117" t="s">
        <v>15</v>
      </c>
      <c r="N117" t="str">
        <f t="shared" si="28"/>
        <v>https://api.bcb.gov.br/dados/serie/bcdata.sgs.4534/dados?formato=json</v>
      </c>
      <c r="O117">
        <v>7</v>
      </c>
      <c r="P117" t="s">
        <v>19</v>
      </c>
      <c r="Q117" t="s">
        <v>19</v>
      </c>
      <c r="R117" t="str">
        <f t="shared" si="29"/>
        <v>Empresas estatais municipais</v>
      </c>
      <c r="S117" t="s">
        <v>56</v>
      </c>
    </row>
    <row r="118" spans="1:19" x14ac:dyDescent="0.25">
      <c r="A118" s="18"/>
      <c r="B118" s="18">
        <v>4535</v>
      </c>
      <c r="C118" s="19" t="s">
        <v>35</v>
      </c>
      <c r="D118" s="18" t="s">
        <v>54</v>
      </c>
      <c r="E118" s="20" t="s">
        <v>0</v>
      </c>
      <c r="F118" s="21">
        <v>37226</v>
      </c>
      <c r="G118" s="22">
        <v>45597</v>
      </c>
      <c r="H118" s="23" t="s">
        <v>1</v>
      </c>
      <c r="I118" s="18" t="s">
        <v>2</v>
      </c>
      <c r="J118" s="24"/>
      <c r="K118" s="17" t="s">
        <v>59</v>
      </c>
      <c r="L118" t="s">
        <v>55</v>
      </c>
      <c r="M118" t="s">
        <v>15</v>
      </c>
      <c r="N118" t="str">
        <f t="shared" si="28"/>
        <v>https://api.bcb.gov.br/dados/serie/bcdata.sgs.4535/dados?formato=json</v>
      </c>
      <c r="O118">
        <v>7</v>
      </c>
      <c r="P118" t="s">
        <v>19</v>
      </c>
      <c r="Q118" t="s">
        <v>19</v>
      </c>
      <c r="R118" t="str">
        <f t="shared" si="29"/>
        <v>Setor público consolidado</v>
      </c>
      <c r="S118" t="s">
        <v>56</v>
      </c>
    </row>
    <row r="119" spans="1:19" x14ac:dyDescent="0.25">
      <c r="A119" s="18"/>
      <c r="B119" s="18">
        <v>4536</v>
      </c>
      <c r="C119" s="19" t="s">
        <v>38</v>
      </c>
      <c r="D119" s="18" t="s">
        <v>54</v>
      </c>
      <c r="E119" s="20" t="s">
        <v>0</v>
      </c>
      <c r="F119" s="21">
        <v>37256</v>
      </c>
      <c r="G119" s="22">
        <v>45597</v>
      </c>
      <c r="H119" s="23" t="s">
        <v>1</v>
      </c>
      <c r="I119" s="18" t="s">
        <v>2</v>
      </c>
      <c r="J119" s="24"/>
      <c r="K119" s="17" t="s">
        <v>42</v>
      </c>
      <c r="L119" t="s">
        <v>41</v>
      </c>
      <c r="M119" t="s">
        <v>15</v>
      </c>
      <c r="N119" t="str">
        <f t="shared" ref="N119:N121" si="30">_xlfn.CONCAT("https://api.bcb.gov.br/dados/serie/bcdata.sgs.",B119,"/dados?formato=json")</f>
        <v>https://api.bcb.gov.br/dados/serie/bcdata.sgs.4536/dados?formato=json</v>
      </c>
      <c r="O119">
        <v>7</v>
      </c>
      <c r="P119" t="s">
        <v>19</v>
      </c>
      <c r="Q119" t="s">
        <v>19</v>
      </c>
      <c r="R119" t="str">
        <f t="shared" ref="R119:R121" si="31">C119</f>
        <v>Divida líquida do governo geral</v>
      </c>
      <c r="S119" t="s">
        <v>56</v>
      </c>
    </row>
    <row r="120" spans="1:19" x14ac:dyDescent="0.25">
      <c r="A120" s="25"/>
      <c r="B120" s="25">
        <v>4537</v>
      </c>
      <c r="C120" s="26" t="s">
        <v>39</v>
      </c>
      <c r="D120" s="25" t="s">
        <v>54</v>
      </c>
      <c r="E120" s="27" t="s">
        <v>0</v>
      </c>
      <c r="F120" s="28">
        <v>37256</v>
      </c>
      <c r="G120" s="29">
        <v>45597</v>
      </c>
      <c r="H120" s="30" t="s">
        <v>1</v>
      </c>
      <c r="I120" s="25" t="s">
        <v>2</v>
      </c>
      <c r="J120" s="31"/>
      <c r="K120" s="17" t="s">
        <v>42</v>
      </c>
      <c r="L120" t="s">
        <v>41</v>
      </c>
      <c r="M120" t="s">
        <v>15</v>
      </c>
      <c r="N120" t="str">
        <f t="shared" si="30"/>
        <v>https://api.bcb.gov.br/dados/serie/bcdata.sgs.4537/dados?formato=json</v>
      </c>
      <c r="O120">
        <v>7</v>
      </c>
      <c r="P120" t="s">
        <v>19</v>
      </c>
      <c r="Q120" t="s">
        <v>19</v>
      </c>
      <c r="R120" t="str">
        <f t="shared" si="31"/>
        <v>Dívida bruta do governo geral - Metodologia utilizada até 2007</v>
      </c>
      <c r="S120" t="s">
        <v>56</v>
      </c>
    </row>
    <row r="121" spans="1:19" x14ac:dyDescent="0.25">
      <c r="A121" s="18"/>
      <c r="B121" s="18">
        <v>13762</v>
      </c>
      <c r="C121" s="19" t="s">
        <v>40</v>
      </c>
      <c r="D121" s="18" t="s">
        <v>54</v>
      </c>
      <c r="E121" s="20" t="s">
        <v>0</v>
      </c>
      <c r="F121" s="21">
        <v>39052</v>
      </c>
      <c r="G121" s="22">
        <v>45597</v>
      </c>
      <c r="H121" s="23" t="s">
        <v>1</v>
      </c>
      <c r="I121" s="18" t="s">
        <v>2</v>
      </c>
      <c r="J121" s="24"/>
      <c r="K121" s="17" t="s">
        <v>42</v>
      </c>
      <c r="L121" t="s">
        <v>41</v>
      </c>
      <c r="M121" t="s">
        <v>15</v>
      </c>
      <c r="N121" t="str">
        <f t="shared" si="30"/>
        <v>https://api.bcb.gov.br/dados/serie/bcdata.sgs.13762/dados?formato=json</v>
      </c>
      <c r="O121">
        <v>7</v>
      </c>
      <c r="P121" t="s">
        <v>19</v>
      </c>
      <c r="Q121" t="s">
        <v>19</v>
      </c>
      <c r="R121" t="str">
        <f t="shared" si="31"/>
        <v>Dívida bruta do governo geral - Metodologia utilizada a partir de 2008</v>
      </c>
      <c r="S121" t="s">
        <v>56</v>
      </c>
    </row>
    <row r="122" spans="1:19" x14ac:dyDescent="0.25">
      <c r="A122" s="18"/>
      <c r="B122" s="18">
        <v>10829</v>
      </c>
      <c r="C122" s="19" t="s">
        <v>49</v>
      </c>
      <c r="D122" s="18" t="s">
        <v>54</v>
      </c>
      <c r="E122" s="20" t="s">
        <v>0</v>
      </c>
      <c r="F122" s="21">
        <v>37226</v>
      </c>
      <c r="G122" s="22">
        <v>45597</v>
      </c>
      <c r="H122" s="23" t="s">
        <v>1</v>
      </c>
      <c r="I122" s="18" t="s">
        <v>2</v>
      </c>
      <c r="J122" s="24"/>
      <c r="K122" s="17" t="s">
        <v>44</v>
      </c>
      <c r="L122" t="s">
        <v>45</v>
      </c>
      <c r="M122" t="s">
        <v>15</v>
      </c>
      <c r="N122" t="str">
        <f t="shared" ref="N122:N123" si="32">_xlfn.CONCAT("https://api.bcb.gov.br/dados/serie/bcdata.sgs.",B122,"/dados?formato=json")</f>
        <v>https://api.bcb.gov.br/dados/serie/bcdata.sgs.10829/dados?formato=json</v>
      </c>
      <c r="O122">
        <v>7</v>
      </c>
      <c r="P122" t="s">
        <v>19</v>
      </c>
      <c r="Q122" t="s">
        <v>19</v>
      </c>
      <c r="R122" t="str">
        <f t="shared" ref="R122:R123" si="33">C122</f>
        <v>Dívida fiscal líquida com câmbio</v>
      </c>
      <c r="S122" t="s">
        <v>56</v>
      </c>
    </row>
    <row r="123" spans="1:19" x14ac:dyDescent="0.25">
      <c r="A123" s="25"/>
      <c r="B123" s="25">
        <v>10831</v>
      </c>
      <c r="C123" s="26" t="s">
        <v>43</v>
      </c>
      <c r="D123" s="25" t="s">
        <v>54</v>
      </c>
      <c r="E123" s="27" t="s">
        <v>0</v>
      </c>
      <c r="F123" s="28">
        <v>37226</v>
      </c>
      <c r="G123" s="29">
        <v>45597</v>
      </c>
      <c r="H123" s="30" t="s">
        <v>1</v>
      </c>
      <c r="I123" s="25" t="s">
        <v>2</v>
      </c>
      <c r="J123" s="31"/>
      <c r="K123" s="17" t="s">
        <v>44</v>
      </c>
      <c r="L123" t="s">
        <v>45</v>
      </c>
      <c r="M123" t="s">
        <v>15</v>
      </c>
      <c r="N123" t="str">
        <f t="shared" si="32"/>
        <v>https://api.bcb.gov.br/dados/serie/bcdata.sgs.10831/dados?formato=json</v>
      </c>
      <c r="O123">
        <v>7</v>
      </c>
      <c r="P123" t="s">
        <v>19</v>
      </c>
      <c r="Q123" t="s">
        <v>19</v>
      </c>
      <c r="R123" t="str">
        <f t="shared" si="33"/>
        <v>Dívida fiscal líquida</v>
      </c>
      <c r="S123" t="s">
        <v>56</v>
      </c>
    </row>
    <row r="124" spans="1:19" x14ac:dyDescent="0.25">
      <c r="A124" s="18"/>
      <c r="B124" s="18">
        <v>10826</v>
      </c>
      <c r="C124" s="19" t="s">
        <v>46</v>
      </c>
      <c r="D124" s="18" t="s">
        <v>54</v>
      </c>
      <c r="E124" s="20" t="s">
        <v>0</v>
      </c>
      <c r="F124" s="21">
        <v>37226</v>
      </c>
      <c r="G124" s="22">
        <v>45597</v>
      </c>
      <c r="H124" s="23" t="s">
        <v>1</v>
      </c>
      <c r="I124" s="18" t="s">
        <v>2</v>
      </c>
      <c r="J124" s="24"/>
      <c r="K124" s="17" t="s">
        <v>51</v>
      </c>
      <c r="L124" t="s">
        <v>46</v>
      </c>
      <c r="M124" t="s">
        <v>15</v>
      </c>
      <c r="N124" t="str">
        <f t="shared" ref="N124:N127" si="34">_xlfn.CONCAT("https://api.bcb.gov.br/dados/serie/bcdata.sgs.",B124,"/dados?formato=json")</f>
        <v>https://api.bcb.gov.br/dados/serie/bcdata.sgs.10826/dados?formato=json</v>
      </c>
      <c r="O124">
        <v>7</v>
      </c>
      <c r="P124" t="s">
        <v>19</v>
      </c>
      <c r="Q124" t="s">
        <v>19</v>
      </c>
      <c r="R124" t="str">
        <f t="shared" ref="R124:R127" si="35">C124</f>
        <v>Ajuste de privatização</v>
      </c>
      <c r="S124" t="s">
        <v>56</v>
      </c>
    </row>
    <row r="125" spans="1:19" x14ac:dyDescent="0.25">
      <c r="A125" s="25"/>
      <c r="B125" s="25">
        <v>10827</v>
      </c>
      <c r="C125" s="26" t="s">
        <v>47</v>
      </c>
      <c r="D125" s="25" t="s">
        <v>54</v>
      </c>
      <c r="E125" s="27" t="s">
        <v>0</v>
      </c>
      <c r="F125" s="28">
        <v>37226</v>
      </c>
      <c r="G125" s="29">
        <v>45597</v>
      </c>
      <c r="H125" s="30" t="s">
        <v>1</v>
      </c>
      <c r="I125" s="25" t="s">
        <v>2</v>
      </c>
      <c r="J125" s="31"/>
      <c r="K125" s="17" t="s">
        <v>51</v>
      </c>
      <c r="L125" t="s">
        <v>47</v>
      </c>
      <c r="M125" t="s">
        <v>15</v>
      </c>
      <c r="N125" t="str">
        <f t="shared" si="34"/>
        <v>https://api.bcb.gov.br/dados/serie/bcdata.sgs.10827/dados?formato=json</v>
      </c>
      <c r="O125">
        <v>7</v>
      </c>
      <c r="P125" t="s">
        <v>19</v>
      </c>
      <c r="Q125" t="s">
        <v>19</v>
      </c>
      <c r="R125" t="str">
        <f t="shared" si="35"/>
        <v>Ajuste patrimonial</v>
      </c>
      <c r="S125" t="s">
        <v>56</v>
      </c>
    </row>
    <row r="126" spans="1:19" x14ac:dyDescent="0.25">
      <c r="A126" s="18"/>
      <c r="B126" s="18">
        <v>10828</v>
      </c>
      <c r="C126" s="19" t="s">
        <v>48</v>
      </c>
      <c r="D126" s="18" t="s">
        <v>54</v>
      </c>
      <c r="E126" s="20" t="s">
        <v>0</v>
      </c>
      <c r="F126" s="21">
        <v>37226</v>
      </c>
      <c r="G126" s="22">
        <v>45597</v>
      </c>
      <c r="H126" s="23" t="s">
        <v>1</v>
      </c>
      <c r="I126" s="18" t="s">
        <v>2</v>
      </c>
      <c r="J126" s="24"/>
      <c r="K126" s="17" t="s">
        <v>51</v>
      </c>
      <c r="L126" t="s">
        <v>48</v>
      </c>
      <c r="M126" t="s">
        <v>15</v>
      </c>
      <c r="N126" t="str">
        <f t="shared" si="34"/>
        <v>https://api.bcb.gov.br/dados/serie/bcdata.sgs.10828/dados?formato=json</v>
      </c>
      <c r="O126">
        <v>7</v>
      </c>
      <c r="P126" t="s">
        <v>19</v>
      </c>
      <c r="Q126" t="s">
        <v>19</v>
      </c>
      <c r="R126" t="str">
        <f t="shared" si="35"/>
        <v>Ajuste metodológico sobre dívida externa</v>
      </c>
      <c r="S126" t="s">
        <v>56</v>
      </c>
    </row>
    <row r="127" spans="1:19" x14ac:dyDescent="0.25">
      <c r="A127" s="25"/>
      <c r="B127" s="25">
        <v>10830</v>
      </c>
      <c r="C127" s="26" t="s">
        <v>50</v>
      </c>
      <c r="D127" s="25" t="s">
        <v>54</v>
      </c>
      <c r="E127" s="27" t="s">
        <v>0</v>
      </c>
      <c r="F127" s="28">
        <v>37226</v>
      </c>
      <c r="G127" s="29">
        <v>45597</v>
      </c>
      <c r="H127" s="30" t="s">
        <v>1</v>
      </c>
      <c r="I127" s="25" t="s">
        <v>2</v>
      </c>
      <c r="J127" s="31"/>
      <c r="K127" s="17" t="s">
        <v>51</v>
      </c>
      <c r="L127" t="s">
        <v>50</v>
      </c>
      <c r="M127" t="s">
        <v>15</v>
      </c>
      <c r="N127" t="str">
        <f t="shared" si="34"/>
        <v>https://api.bcb.gov.br/dados/serie/bcdata.sgs.10830/dados?formato=json</v>
      </c>
      <c r="O127">
        <v>7</v>
      </c>
      <c r="P127" t="s">
        <v>19</v>
      </c>
      <c r="Q127" t="s">
        <v>19</v>
      </c>
      <c r="R127" t="str">
        <f t="shared" si="35"/>
        <v>Ajuste metodológico sobre dívida interna</v>
      </c>
      <c r="S127" t="s">
        <v>56</v>
      </c>
    </row>
    <row r="128" spans="1:19" x14ac:dyDescent="0.25">
      <c r="A128" s="18"/>
      <c r="B128" s="18">
        <v>4538</v>
      </c>
      <c r="C128" s="19" t="s">
        <v>25</v>
      </c>
      <c r="D128" s="18" t="s">
        <v>57</v>
      </c>
      <c r="E128" s="20" t="s">
        <v>0</v>
      </c>
      <c r="F128" s="21">
        <v>33269</v>
      </c>
      <c r="G128" s="22">
        <v>45597</v>
      </c>
      <c r="H128" s="23" t="s">
        <v>1</v>
      </c>
      <c r="I128" s="18" t="s">
        <v>2</v>
      </c>
      <c r="J128" s="24"/>
      <c r="K128" s="17" t="s">
        <v>53</v>
      </c>
      <c r="L128" t="s">
        <v>55</v>
      </c>
      <c r="M128" t="s">
        <v>15</v>
      </c>
      <c r="N128" t="str">
        <f t="shared" ref="N128:N138" si="36">_xlfn.CONCAT("https://api.bcb.gov.br/dados/serie/bcdata.sgs.",B128,"/dados?formato=json")</f>
        <v>https://api.bcb.gov.br/dados/serie/bcdata.sgs.4538/dados?formato=json</v>
      </c>
      <c r="O128">
        <v>7</v>
      </c>
      <c r="P128" t="s">
        <v>19</v>
      </c>
      <c r="Q128" t="s">
        <v>19</v>
      </c>
      <c r="R128" t="str">
        <f t="shared" ref="R128:R138" si="37">C128</f>
        <v>Governo Federal e Banco Central</v>
      </c>
      <c r="S128" t="s">
        <v>24</v>
      </c>
    </row>
    <row r="129" spans="1:19" x14ac:dyDescent="0.25">
      <c r="A129" s="25"/>
      <c r="B129" s="25">
        <v>4539</v>
      </c>
      <c r="C129" s="26" t="s">
        <v>26</v>
      </c>
      <c r="D129" s="18" t="s">
        <v>57</v>
      </c>
      <c r="E129" s="27" t="s">
        <v>0</v>
      </c>
      <c r="F129" s="28">
        <v>35826</v>
      </c>
      <c r="G129" s="29">
        <v>45597</v>
      </c>
      <c r="H129" s="30" t="s">
        <v>1</v>
      </c>
      <c r="I129" s="25" t="s">
        <v>2</v>
      </c>
      <c r="J129" s="31"/>
      <c r="K129" s="17" t="s">
        <v>53</v>
      </c>
      <c r="L129" t="s">
        <v>55</v>
      </c>
      <c r="M129" t="s">
        <v>15</v>
      </c>
      <c r="N129" t="str">
        <f t="shared" si="36"/>
        <v>https://api.bcb.gov.br/dados/serie/bcdata.sgs.4539/dados?formato=json</v>
      </c>
      <c r="O129">
        <v>7</v>
      </c>
      <c r="P129" t="s">
        <v>19</v>
      </c>
      <c r="Q129" t="s">
        <v>19</v>
      </c>
      <c r="R129" t="str">
        <f t="shared" si="37"/>
        <v>Governo Federal</v>
      </c>
      <c r="S129" t="s">
        <v>24</v>
      </c>
    </row>
    <row r="130" spans="1:19" x14ac:dyDescent="0.25">
      <c r="A130" s="18"/>
      <c r="B130" s="18">
        <v>4540</v>
      </c>
      <c r="C130" s="19" t="s">
        <v>27</v>
      </c>
      <c r="D130" s="18" t="s">
        <v>57</v>
      </c>
      <c r="E130" s="20" t="s">
        <v>0</v>
      </c>
      <c r="F130" s="21">
        <v>35826</v>
      </c>
      <c r="G130" s="22">
        <v>45597</v>
      </c>
      <c r="H130" s="23" t="s">
        <v>1</v>
      </c>
      <c r="I130" s="18" t="s">
        <v>2</v>
      </c>
      <c r="J130" s="24"/>
      <c r="K130" s="17" t="s">
        <v>53</v>
      </c>
      <c r="L130" t="s">
        <v>55</v>
      </c>
      <c r="M130" t="s">
        <v>15</v>
      </c>
      <c r="N130" t="str">
        <f t="shared" si="36"/>
        <v>https://api.bcb.gov.br/dados/serie/bcdata.sgs.4540/dados?formato=json</v>
      </c>
      <c r="O130">
        <v>7</v>
      </c>
      <c r="P130" t="s">
        <v>19</v>
      </c>
      <c r="Q130" t="s">
        <v>19</v>
      </c>
      <c r="R130" t="str">
        <f t="shared" si="37"/>
        <v>Banco Central</v>
      </c>
      <c r="S130" t="s">
        <v>24</v>
      </c>
    </row>
    <row r="131" spans="1:19" x14ac:dyDescent="0.25">
      <c r="A131" s="25"/>
      <c r="B131" s="25">
        <v>4541</v>
      </c>
      <c r="C131" s="26" t="s">
        <v>28</v>
      </c>
      <c r="D131" s="18" t="s">
        <v>57</v>
      </c>
      <c r="E131" s="27" t="s">
        <v>0</v>
      </c>
      <c r="F131" s="28">
        <v>33269</v>
      </c>
      <c r="G131" s="29">
        <v>45597</v>
      </c>
      <c r="H131" s="30" t="s">
        <v>1</v>
      </c>
      <c r="I131" s="25" t="s">
        <v>2</v>
      </c>
      <c r="J131" s="31"/>
      <c r="K131" s="17" t="s">
        <v>53</v>
      </c>
      <c r="L131" t="s">
        <v>55</v>
      </c>
      <c r="M131" t="s">
        <v>15</v>
      </c>
      <c r="N131" t="str">
        <f t="shared" si="36"/>
        <v>https://api.bcb.gov.br/dados/serie/bcdata.sgs.4541/dados?formato=json</v>
      </c>
      <c r="O131">
        <v>7</v>
      </c>
      <c r="P131" t="s">
        <v>19</v>
      </c>
      <c r="Q131" t="s">
        <v>19</v>
      </c>
      <c r="R131" t="str">
        <f t="shared" si="37"/>
        <v>Governos estaduais e municipais</v>
      </c>
      <c r="S131" t="s">
        <v>24</v>
      </c>
    </row>
    <row r="132" spans="1:19" x14ac:dyDescent="0.25">
      <c r="A132" s="18"/>
      <c r="B132" s="18">
        <v>4542</v>
      </c>
      <c r="C132" s="19" t="s">
        <v>29</v>
      </c>
      <c r="D132" s="18" t="s">
        <v>57</v>
      </c>
      <c r="E132" s="20" t="s">
        <v>0</v>
      </c>
      <c r="F132" s="21">
        <v>35826</v>
      </c>
      <c r="G132" s="22">
        <v>45597</v>
      </c>
      <c r="H132" s="23" t="s">
        <v>1</v>
      </c>
      <c r="I132" s="18" t="s">
        <v>2</v>
      </c>
      <c r="J132" s="24"/>
      <c r="K132" s="17" t="s">
        <v>53</v>
      </c>
      <c r="L132" t="s">
        <v>55</v>
      </c>
      <c r="M132" t="s">
        <v>15</v>
      </c>
      <c r="N132" t="str">
        <f t="shared" si="36"/>
        <v>https://api.bcb.gov.br/dados/serie/bcdata.sgs.4542/dados?formato=json</v>
      </c>
      <c r="O132">
        <v>7</v>
      </c>
      <c r="P132" t="s">
        <v>19</v>
      </c>
      <c r="Q132" t="s">
        <v>19</v>
      </c>
      <c r="R132" t="str">
        <f t="shared" si="37"/>
        <v>Governos estaduais</v>
      </c>
      <c r="S132" t="s">
        <v>24</v>
      </c>
    </row>
    <row r="133" spans="1:19" x14ac:dyDescent="0.25">
      <c r="A133" s="25"/>
      <c r="B133" s="25">
        <v>4543</v>
      </c>
      <c r="C133" s="26" t="s">
        <v>30</v>
      </c>
      <c r="D133" s="18" t="s">
        <v>57</v>
      </c>
      <c r="E133" s="27" t="s">
        <v>0</v>
      </c>
      <c r="F133" s="28">
        <v>35826</v>
      </c>
      <c r="G133" s="29">
        <v>45597</v>
      </c>
      <c r="H133" s="30" t="s">
        <v>1</v>
      </c>
      <c r="I133" s="25" t="s">
        <v>2</v>
      </c>
      <c r="J133" s="31"/>
      <c r="K133" s="17" t="s">
        <v>53</v>
      </c>
      <c r="L133" t="s">
        <v>55</v>
      </c>
      <c r="M133" t="s">
        <v>15</v>
      </c>
      <c r="N133" t="str">
        <f t="shared" si="36"/>
        <v>https://api.bcb.gov.br/dados/serie/bcdata.sgs.4543/dados?formato=json</v>
      </c>
      <c r="O133">
        <v>7</v>
      </c>
      <c r="P133" t="s">
        <v>19</v>
      </c>
      <c r="Q133" t="s">
        <v>19</v>
      </c>
      <c r="R133" t="str">
        <f t="shared" si="37"/>
        <v>Governos municipais</v>
      </c>
      <c r="S133" t="s">
        <v>24</v>
      </c>
    </row>
    <row r="134" spans="1:19" x14ac:dyDescent="0.25">
      <c r="A134" s="18"/>
      <c r="B134" s="18">
        <v>4544</v>
      </c>
      <c r="C134" s="19" t="s">
        <v>31</v>
      </c>
      <c r="D134" s="18" t="s">
        <v>57</v>
      </c>
      <c r="E134" s="20" t="s">
        <v>0</v>
      </c>
      <c r="F134" s="21">
        <v>37226</v>
      </c>
      <c r="G134" s="22">
        <v>45597</v>
      </c>
      <c r="H134" s="23" t="s">
        <v>1</v>
      </c>
      <c r="I134" s="18" t="s">
        <v>2</v>
      </c>
      <c r="J134" s="24"/>
      <c r="K134" s="17" t="s">
        <v>53</v>
      </c>
      <c r="L134" t="s">
        <v>55</v>
      </c>
      <c r="M134" t="s">
        <v>15</v>
      </c>
      <c r="N134" t="str">
        <f t="shared" si="36"/>
        <v>https://api.bcb.gov.br/dados/serie/bcdata.sgs.4544/dados?formato=json</v>
      </c>
      <c r="O134">
        <v>7</v>
      </c>
      <c r="P134" t="s">
        <v>19</v>
      </c>
      <c r="Q134" t="s">
        <v>19</v>
      </c>
      <c r="R134" t="str">
        <f t="shared" si="37"/>
        <v>Empresas estatais</v>
      </c>
      <c r="S134" t="s">
        <v>24</v>
      </c>
    </row>
    <row r="135" spans="1:19" x14ac:dyDescent="0.25">
      <c r="A135" s="25"/>
      <c r="B135" s="25">
        <v>4545</v>
      </c>
      <c r="C135" s="26" t="s">
        <v>32</v>
      </c>
      <c r="D135" s="18" t="s">
        <v>57</v>
      </c>
      <c r="E135" s="27" t="s">
        <v>0</v>
      </c>
      <c r="F135" s="28">
        <v>37226</v>
      </c>
      <c r="G135" s="29">
        <v>45597</v>
      </c>
      <c r="H135" s="30" t="s">
        <v>1</v>
      </c>
      <c r="I135" s="25" t="s">
        <v>2</v>
      </c>
      <c r="J135" s="31"/>
      <c r="K135" s="17" t="s">
        <v>53</v>
      </c>
      <c r="L135" t="s">
        <v>55</v>
      </c>
      <c r="M135" t="s">
        <v>15</v>
      </c>
      <c r="N135" t="str">
        <f t="shared" si="36"/>
        <v>https://api.bcb.gov.br/dados/serie/bcdata.sgs.4545/dados?formato=json</v>
      </c>
      <c r="O135">
        <v>7</v>
      </c>
      <c r="P135" t="s">
        <v>19</v>
      </c>
      <c r="Q135" t="s">
        <v>19</v>
      </c>
      <c r="R135" t="str">
        <f t="shared" si="37"/>
        <v>Empresas estatais federais</v>
      </c>
      <c r="S135" t="s">
        <v>24</v>
      </c>
    </row>
    <row r="136" spans="1:19" x14ac:dyDescent="0.25">
      <c r="A136" s="18"/>
      <c r="B136" s="18">
        <v>4546</v>
      </c>
      <c r="C136" s="19" t="s">
        <v>33</v>
      </c>
      <c r="D136" s="18" t="s">
        <v>57</v>
      </c>
      <c r="E136" s="20" t="s">
        <v>0</v>
      </c>
      <c r="F136" s="21">
        <v>35826</v>
      </c>
      <c r="G136" s="22">
        <v>45597</v>
      </c>
      <c r="H136" s="23" t="s">
        <v>1</v>
      </c>
      <c r="I136" s="18" t="s">
        <v>2</v>
      </c>
      <c r="J136" s="24"/>
      <c r="K136" s="17" t="s">
        <v>53</v>
      </c>
      <c r="L136" t="s">
        <v>55</v>
      </c>
      <c r="M136" t="s">
        <v>15</v>
      </c>
      <c r="N136" t="str">
        <f t="shared" si="36"/>
        <v>https://api.bcb.gov.br/dados/serie/bcdata.sgs.4546/dados?formato=json</v>
      </c>
      <c r="O136">
        <v>7</v>
      </c>
      <c r="P136" t="s">
        <v>19</v>
      </c>
      <c r="Q136" t="s">
        <v>19</v>
      </c>
      <c r="R136" t="str">
        <f t="shared" si="37"/>
        <v>Empresas estatais estaduais</v>
      </c>
      <c r="S136" t="s">
        <v>24</v>
      </c>
    </row>
    <row r="137" spans="1:19" x14ac:dyDescent="0.25">
      <c r="A137" s="25"/>
      <c r="B137" s="25">
        <v>4547</v>
      </c>
      <c r="C137" s="26" t="s">
        <v>34</v>
      </c>
      <c r="D137" s="18" t="s">
        <v>57</v>
      </c>
      <c r="E137" s="27" t="s">
        <v>0</v>
      </c>
      <c r="F137" s="28">
        <v>35826</v>
      </c>
      <c r="G137" s="29">
        <v>45597</v>
      </c>
      <c r="H137" s="30" t="s">
        <v>1</v>
      </c>
      <c r="I137" s="25" t="s">
        <v>2</v>
      </c>
      <c r="J137" s="31"/>
      <c r="K137" s="17" t="s">
        <v>53</v>
      </c>
      <c r="L137" t="s">
        <v>55</v>
      </c>
      <c r="M137" t="s">
        <v>15</v>
      </c>
      <c r="N137" t="str">
        <f t="shared" si="36"/>
        <v>https://api.bcb.gov.br/dados/serie/bcdata.sgs.4547/dados?formato=json</v>
      </c>
      <c r="O137">
        <v>7</v>
      </c>
      <c r="P137" t="s">
        <v>19</v>
      </c>
      <c r="Q137" t="s">
        <v>19</v>
      </c>
      <c r="R137" t="str">
        <f t="shared" si="37"/>
        <v>Empresas estatais municipais</v>
      </c>
      <c r="S137" t="s">
        <v>24</v>
      </c>
    </row>
    <row r="138" spans="1:19" x14ac:dyDescent="0.25">
      <c r="A138" s="18"/>
      <c r="B138" s="18">
        <v>4548</v>
      </c>
      <c r="C138" s="19" t="s">
        <v>35</v>
      </c>
      <c r="D138" s="18" t="s">
        <v>57</v>
      </c>
      <c r="E138" s="20" t="s">
        <v>0</v>
      </c>
      <c r="F138" s="21">
        <v>37226</v>
      </c>
      <c r="G138" s="22">
        <v>45597</v>
      </c>
      <c r="H138" s="23" t="s">
        <v>1</v>
      </c>
      <c r="I138" s="18" t="s">
        <v>2</v>
      </c>
      <c r="J138" s="24"/>
      <c r="K138" s="17" t="s">
        <v>53</v>
      </c>
      <c r="L138" t="s">
        <v>55</v>
      </c>
      <c r="M138" t="s">
        <v>15</v>
      </c>
      <c r="N138" t="str">
        <f t="shared" si="36"/>
        <v>https://api.bcb.gov.br/dados/serie/bcdata.sgs.4548/dados?formato=json</v>
      </c>
      <c r="O138">
        <v>7</v>
      </c>
      <c r="P138" t="s">
        <v>19</v>
      </c>
      <c r="Q138" t="s">
        <v>19</v>
      </c>
      <c r="R138" t="str">
        <f t="shared" si="37"/>
        <v>Setor público consolidado</v>
      </c>
      <c r="S138" t="s">
        <v>24</v>
      </c>
    </row>
    <row r="139" spans="1:19" x14ac:dyDescent="0.25">
      <c r="A139" s="18"/>
      <c r="B139" s="18">
        <v>4549</v>
      </c>
      <c r="C139" s="19" t="s">
        <v>25</v>
      </c>
      <c r="D139" s="18" t="s">
        <v>57</v>
      </c>
      <c r="E139" s="20" t="s">
        <v>0</v>
      </c>
      <c r="F139" s="21">
        <v>33269</v>
      </c>
      <c r="G139" s="22">
        <v>45597</v>
      </c>
      <c r="H139" s="23" t="s">
        <v>1</v>
      </c>
      <c r="I139" s="18" t="s">
        <v>2</v>
      </c>
      <c r="J139" s="24"/>
      <c r="K139" s="17" t="s">
        <v>58</v>
      </c>
      <c r="L139" t="s">
        <v>55</v>
      </c>
      <c r="M139" t="s">
        <v>15</v>
      </c>
      <c r="N139" t="str">
        <f t="shared" ref="N139:N149" si="38">_xlfn.CONCAT("https://api.bcb.gov.br/dados/serie/bcdata.sgs.",B139,"/dados?formato=json")</f>
        <v>https://api.bcb.gov.br/dados/serie/bcdata.sgs.4549/dados?formato=json</v>
      </c>
      <c r="O139">
        <v>7</v>
      </c>
      <c r="P139" t="s">
        <v>19</v>
      </c>
      <c r="Q139" t="s">
        <v>19</v>
      </c>
      <c r="R139" t="str">
        <f t="shared" ref="R139:R149" si="39">C139</f>
        <v>Governo Federal e Banco Central</v>
      </c>
      <c r="S139" t="s">
        <v>24</v>
      </c>
    </row>
    <row r="140" spans="1:19" x14ac:dyDescent="0.25">
      <c r="A140" s="25"/>
      <c r="B140" s="25">
        <v>4550</v>
      </c>
      <c r="C140" s="26" t="s">
        <v>26</v>
      </c>
      <c r="D140" s="18" t="s">
        <v>57</v>
      </c>
      <c r="E140" s="27" t="s">
        <v>0</v>
      </c>
      <c r="F140" s="28">
        <v>35826</v>
      </c>
      <c r="G140" s="29">
        <v>45597</v>
      </c>
      <c r="H140" s="30" t="s">
        <v>1</v>
      </c>
      <c r="I140" s="25" t="s">
        <v>2</v>
      </c>
      <c r="J140" s="31"/>
      <c r="K140" s="17" t="s">
        <v>58</v>
      </c>
      <c r="L140" t="s">
        <v>55</v>
      </c>
      <c r="M140" t="s">
        <v>15</v>
      </c>
      <c r="N140" t="str">
        <f t="shared" si="38"/>
        <v>https://api.bcb.gov.br/dados/serie/bcdata.sgs.4550/dados?formato=json</v>
      </c>
      <c r="O140">
        <v>7</v>
      </c>
      <c r="P140" t="s">
        <v>19</v>
      </c>
      <c r="Q140" t="s">
        <v>19</v>
      </c>
      <c r="R140" t="str">
        <f t="shared" si="39"/>
        <v>Governo Federal</v>
      </c>
      <c r="S140" t="s">
        <v>24</v>
      </c>
    </row>
    <row r="141" spans="1:19" x14ac:dyDescent="0.25">
      <c r="A141" s="18"/>
      <c r="B141" s="18">
        <v>4551</v>
      </c>
      <c r="C141" s="19" t="s">
        <v>27</v>
      </c>
      <c r="D141" s="18" t="s">
        <v>57</v>
      </c>
      <c r="E141" s="20" t="s">
        <v>0</v>
      </c>
      <c r="F141" s="21">
        <v>35826</v>
      </c>
      <c r="G141" s="22">
        <v>45597</v>
      </c>
      <c r="H141" s="23" t="s">
        <v>1</v>
      </c>
      <c r="I141" s="18" t="s">
        <v>2</v>
      </c>
      <c r="J141" s="24"/>
      <c r="K141" s="17" t="s">
        <v>58</v>
      </c>
      <c r="L141" t="s">
        <v>55</v>
      </c>
      <c r="M141" t="s">
        <v>15</v>
      </c>
      <c r="N141" t="str">
        <f t="shared" si="38"/>
        <v>https://api.bcb.gov.br/dados/serie/bcdata.sgs.4551/dados?formato=json</v>
      </c>
      <c r="O141">
        <v>7</v>
      </c>
      <c r="P141" t="s">
        <v>19</v>
      </c>
      <c r="Q141" t="s">
        <v>19</v>
      </c>
      <c r="R141" t="str">
        <f t="shared" si="39"/>
        <v>Banco Central</v>
      </c>
      <c r="S141" t="s">
        <v>24</v>
      </c>
    </row>
    <row r="142" spans="1:19" x14ac:dyDescent="0.25">
      <c r="A142" s="25"/>
      <c r="B142" s="25">
        <v>4552</v>
      </c>
      <c r="C142" s="26" t="s">
        <v>28</v>
      </c>
      <c r="D142" s="18" t="s">
        <v>57</v>
      </c>
      <c r="E142" s="27" t="s">
        <v>0</v>
      </c>
      <c r="F142" s="28">
        <v>33269</v>
      </c>
      <c r="G142" s="29">
        <v>45597</v>
      </c>
      <c r="H142" s="30" t="s">
        <v>1</v>
      </c>
      <c r="I142" s="25" t="s">
        <v>2</v>
      </c>
      <c r="J142" s="31"/>
      <c r="K142" s="17" t="s">
        <v>58</v>
      </c>
      <c r="L142" t="s">
        <v>55</v>
      </c>
      <c r="M142" t="s">
        <v>15</v>
      </c>
      <c r="N142" t="str">
        <f t="shared" si="38"/>
        <v>https://api.bcb.gov.br/dados/serie/bcdata.sgs.4552/dados?formato=json</v>
      </c>
      <c r="O142">
        <v>7</v>
      </c>
      <c r="P142" t="s">
        <v>19</v>
      </c>
      <c r="Q142" t="s">
        <v>19</v>
      </c>
      <c r="R142" t="str">
        <f t="shared" si="39"/>
        <v>Governos estaduais e municipais</v>
      </c>
      <c r="S142" t="s">
        <v>24</v>
      </c>
    </row>
    <row r="143" spans="1:19" x14ac:dyDescent="0.25">
      <c r="A143" s="18"/>
      <c r="B143" s="18">
        <v>4553</v>
      </c>
      <c r="C143" s="19" t="s">
        <v>29</v>
      </c>
      <c r="D143" s="18" t="s">
        <v>57</v>
      </c>
      <c r="E143" s="20" t="s">
        <v>0</v>
      </c>
      <c r="F143" s="21">
        <v>35826</v>
      </c>
      <c r="G143" s="22">
        <v>45597</v>
      </c>
      <c r="H143" s="23" t="s">
        <v>1</v>
      </c>
      <c r="I143" s="18" t="s">
        <v>2</v>
      </c>
      <c r="J143" s="24"/>
      <c r="K143" s="17" t="s">
        <v>58</v>
      </c>
      <c r="L143" t="s">
        <v>55</v>
      </c>
      <c r="M143" t="s">
        <v>15</v>
      </c>
      <c r="N143" t="str">
        <f t="shared" si="38"/>
        <v>https://api.bcb.gov.br/dados/serie/bcdata.sgs.4553/dados?formato=json</v>
      </c>
      <c r="O143">
        <v>7</v>
      </c>
      <c r="P143" t="s">
        <v>19</v>
      </c>
      <c r="Q143" t="s">
        <v>19</v>
      </c>
      <c r="R143" t="str">
        <f t="shared" si="39"/>
        <v>Governos estaduais</v>
      </c>
      <c r="S143" t="s">
        <v>24</v>
      </c>
    </row>
    <row r="144" spans="1:19" x14ac:dyDescent="0.25">
      <c r="A144" s="25"/>
      <c r="B144" s="25">
        <v>4554</v>
      </c>
      <c r="C144" s="26" t="s">
        <v>30</v>
      </c>
      <c r="D144" s="18" t="s">
        <v>57</v>
      </c>
      <c r="E144" s="27" t="s">
        <v>0</v>
      </c>
      <c r="F144" s="28">
        <v>35826</v>
      </c>
      <c r="G144" s="29">
        <v>45597</v>
      </c>
      <c r="H144" s="30" t="s">
        <v>1</v>
      </c>
      <c r="I144" s="25" t="s">
        <v>2</v>
      </c>
      <c r="J144" s="31"/>
      <c r="K144" s="17" t="s">
        <v>58</v>
      </c>
      <c r="L144" t="s">
        <v>55</v>
      </c>
      <c r="M144" t="s">
        <v>15</v>
      </c>
      <c r="N144" t="str">
        <f t="shared" si="38"/>
        <v>https://api.bcb.gov.br/dados/serie/bcdata.sgs.4554/dados?formato=json</v>
      </c>
      <c r="O144">
        <v>7</v>
      </c>
      <c r="P144" t="s">
        <v>19</v>
      </c>
      <c r="Q144" t="s">
        <v>19</v>
      </c>
      <c r="R144" t="str">
        <f t="shared" si="39"/>
        <v>Governos municipais</v>
      </c>
      <c r="S144" t="s">
        <v>24</v>
      </c>
    </row>
    <row r="145" spans="1:19" x14ac:dyDescent="0.25">
      <c r="A145" s="18"/>
      <c r="B145" s="18">
        <v>4555</v>
      </c>
      <c r="C145" s="19" t="s">
        <v>31</v>
      </c>
      <c r="D145" s="18" t="s">
        <v>57</v>
      </c>
      <c r="E145" s="20" t="s">
        <v>0</v>
      </c>
      <c r="F145" s="21">
        <v>37226</v>
      </c>
      <c r="G145" s="22">
        <v>45597</v>
      </c>
      <c r="H145" s="23" t="s">
        <v>1</v>
      </c>
      <c r="I145" s="18" t="s">
        <v>2</v>
      </c>
      <c r="J145" s="24"/>
      <c r="K145" s="17" t="s">
        <v>58</v>
      </c>
      <c r="L145" t="s">
        <v>55</v>
      </c>
      <c r="M145" t="s">
        <v>15</v>
      </c>
      <c r="N145" t="str">
        <f t="shared" si="38"/>
        <v>https://api.bcb.gov.br/dados/serie/bcdata.sgs.4555/dados?formato=json</v>
      </c>
      <c r="O145">
        <v>7</v>
      </c>
      <c r="P145" t="s">
        <v>19</v>
      </c>
      <c r="Q145" t="s">
        <v>19</v>
      </c>
      <c r="R145" t="str">
        <f t="shared" si="39"/>
        <v>Empresas estatais</v>
      </c>
      <c r="S145" t="s">
        <v>24</v>
      </c>
    </row>
    <row r="146" spans="1:19" x14ac:dyDescent="0.25">
      <c r="A146" s="25"/>
      <c r="B146" s="25">
        <v>4556</v>
      </c>
      <c r="C146" s="26" t="s">
        <v>32</v>
      </c>
      <c r="D146" s="18" t="s">
        <v>57</v>
      </c>
      <c r="E146" s="27" t="s">
        <v>0</v>
      </c>
      <c r="F146" s="28">
        <v>37226</v>
      </c>
      <c r="G146" s="29">
        <v>45597</v>
      </c>
      <c r="H146" s="30" t="s">
        <v>1</v>
      </c>
      <c r="I146" s="25" t="s">
        <v>2</v>
      </c>
      <c r="J146" s="31"/>
      <c r="K146" s="17" t="s">
        <v>58</v>
      </c>
      <c r="L146" t="s">
        <v>55</v>
      </c>
      <c r="M146" t="s">
        <v>15</v>
      </c>
      <c r="N146" t="str">
        <f t="shared" si="38"/>
        <v>https://api.bcb.gov.br/dados/serie/bcdata.sgs.4556/dados?formato=json</v>
      </c>
      <c r="O146">
        <v>7</v>
      </c>
      <c r="P146" t="s">
        <v>19</v>
      </c>
      <c r="Q146" t="s">
        <v>19</v>
      </c>
      <c r="R146" t="str">
        <f t="shared" si="39"/>
        <v>Empresas estatais federais</v>
      </c>
      <c r="S146" t="s">
        <v>24</v>
      </c>
    </row>
    <row r="147" spans="1:19" x14ac:dyDescent="0.25">
      <c r="A147" s="18"/>
      <c r="B147" s="18">
        <v>4557</v>
      </c>
      <c r="C147" s="19" t="s">
        <v>33</v>
      </c>
      <c r="D147" s="18" t="s">
        <v>57</v>
      </c>
      <c r="E147" s="20" t="s">
        <v>0</v>
      </c>
      <c r="F147" s="21">
        <v>35826</v>
      </c>
      <c r="G147" s="22">
        <v>45597</v>
      </c>
      <c r="H147" s="23" t="s">
        <v>1</v>
      </c>
      <c r="I147" s="18" t="s">
        <v>2</v>
      </c>
      <c r="J147" s="24"/>
      <c r="K147" s="17" t="s">
        <v>58</v>
      </c>
      <c r="L147" t="s">
        <v>55</v>
      </c>
      <c r="M147" t="s">
        <v>15</v>
      </c>
      <c r="N147" t="str">
        <f t="shared" si="38"/>
        <v>https://api.bcb.gov.br/dados/serie/bcdata.sgs.4557/dados?formato=json</v>
      </c>
      <c r="O147">
        <v>7</v>
      </c>
      <c r="P147" t="s">
        <v>19</v>
      </c>
      <c r="Q147" t="s">
        <v>19</v>
      </c>
      <c r="R147" t="str">
        <f t="shared" si="39"/>
        <v>Empresas estatais estaduais</v>
      </c>
      <c r="S147" t="s">
        <v>24</v>
      </c>
    </row>
    <row r="148" spans="1:19" x14ac:dyDescent="0.25">
      <c r="A148" s="25"/>
      <c r="B148" s="25">
        <v>4558</v>
      </c>
      <c r="C148" s="26" t="s">
        <v>34</v>
      </c>
      <c r="D148" s="18" t="s">
        <v>57</v>
      </c>
      <c r="E148" s="27" t="s">
        <v>0</v>
      </c>
      <c r="F148" s="28">
        <v>35826</v>
      </c>
      <c r="G148" s="29">
        <v>45597</v>
      </c>
      <c r="H148" s="30" t="s">
        <v>1</v>
      </c>
      <c r="I148" s="25" t="s">
        <v>2</v>
      </c>
      <c r="J148" s="31"/>
      <c r="K148" s="17" t="s">
        <v>58</v>
      </c>
      <c r="L148" t="s">
        <v>55</v>
      </c>
      <c r="M148" t="s">
        <v>15</v>
      </c>
      <c r="N148" t="str">
        <f t="shared" si="38"/>
        <v>https://api.bcb.gov.br/dados/serie/bcdata.sgs.4558/dados?formato=json</v>
      </c>
      <c r="O148">
        <v>7</v>
      </c>
      <c r="P148" t="s">
        <v>19</v>
      </c>
      <c r="Q148" t="s">
        <v>19</v>
      </c>
      <c r="R148" t="str">
        <f t="shared" si="39"/>
        <v>Empresas estatais municipais</v>
      </c>
      <c r="S148" t="s">
        <v>24</v>
      </c>
    </row>
    <row r="149" spans="1:19" x14ac:dyDescent="0.25">
      <c r="A149" s="18"/>
      <c r="B149" s="18">
        <v>4559</v>
      </c>
      <c r="C149" s="19" t="s">
        <v>35</v>
      </c>
      <c r="D149" s="18" t="s">
        <v>57</v>
      </c>
      <c r="E149" s="20" t="s">
        <v>0</v>
      </c>
      <c r="F149" s="21">
        <v>37226</v>
      </c>
      <c r="G149" s="22">
        <v>45597</v>
      </c>
      <c r="H149" s="23" t="s">
        <v>1</v>
      </c>
      <c r="I149" s="18" t="s">
        <v>2</v>
      </c>
      <c r="J149" s="24"/>
      <c r="K149" s="17" t="s">
        <v>58</v>
      </c>
      <c r="L149" t="s">
        <v>55</v>
      </c>
      <c r="M149" t="s">
        <v>15</v>
      </c>
      <c r="N149" t="str">
        <f t="shared" si="38"/>
        <v>https://api.bcb.gov.br/dados/serie/bcdata.sgs.4559/dados?formato=json</v>
      </c>
      <c r="O149">
        <v>7</v>
      </c>
      <c r="P149" t="s">
        <v>19</v>
      </c>
      <c r="Q149" t="s">
        <v>19</v>
      </c>
      <c r="R149" t="str">
        <f t="shared" si="39"/>
        <v>Setor público consolidado</v>
      </c>
      <c r="S149" t="s">
        <v>24</v>
      </c>
    </row>
    <row r="150" spans="1:19" x14ac:dyDescent="0.25">
      <c r="A150" s="18"/>
      <c r="B150" s="18">
        <v>4560</v>
      </c>
      <c r="C150" s="19" t="s">
        <v>25</v>
      </c>
      <c r="D150" s="18" t="s">
        <v>57</v>
      </c>
      <c r="E150" s="20" t="s">
        <v>0</v>
      </c>
      <c r="F150" s="21">
        <v>33269</v>
      </c>
      <c r="G150" s="22">
        <v>45597</v>
      </c>
      <c r="H150" s="23" t="s">
        <v>1</v>
      </c>
      <c r="I150" s="18" t="s">
        <v>2</v>
      </c>
      <c r="J150" s="24"/>
      <c r="K150" s="17" t="s">
        <v>59</v>
      </c>
      <c r="L150" t="s">
        <v>55</v>
      </c>
      <c r="M150" t="s">
        <v>15</v>
      </c>
      <c r="N150" t="str">
        <f t="shared" ref="N150:N160" si="40">_xlfn.CONCAT("https://api.bcb.gov.br/dados/serie/bcdata.sgs.",B150,"/dados?formato=json")</f>
        <v>https://api.bcb.gov.br/dados/serie/bcdata.sgs.4560/dados?formato=json</v>
      </c>
      <c r="O150">
        <v>7</v>
      </c>
      <c r="P150" t="s">
        <v>19</v>
      </c>
      <c r="Q150" t="s">
        <v>19</v>
      </c>
      <c r="R150" t="str">
        <f t="shared" ref="R150:R160" si="41">C150</f>
        <v>Governo Federal e Banco Central</v>
      </c>
      <c r="S150" t="s">
        <v>24</v>
      </c>
    </row>
    <row r="151" spans="1:19" x14ac:dyDescent="0.25">
      <c r="A151" s="25"/>
      <c r="B151" s="25">
        <v>4561</v>
      </c>
      <c r="C151" s="26" t="s">
        <v>26</v>
      </c>
      <c r="D151" s="18" t="s">
        <v>57</v>
      </c>
      <c r="E151" s="27" t="s">
        <v>0</v>
      </c>
      <c r="F151" s="28">
        <v>35826</v>
      </c>
      <c r="G151" s="29">
        <v>45597</v>
      </c>
      <c r="H151" s="30" t="s">
        <v>1</v>
      </c>
      <c r="I151" s="25" t="s">
        <v>2</v>
      </c>
      <c r="J151" s="31"/>
      <c r="K151" s="17" t="s">
        <v>59</v>
      </c>
      <c r="L151" t="s">
        <v>55</v>
      </c>
      <c r="M151" t="s">
        <v>15</v>
      </c>
      <c r="N151" t="str">
        <f t="shared" si="40"/>
        <v>https://api.bcb.gov.br/dados/serie/bcdata.sgs.4561/dados?formato=json</v>
      </c>
      <c r="O151">
        <v>7</v>
      </c>
      <c r="P151" t="s">
        <v>19</v>
      </c>
      <c r="Q151" t="s">
        <v>19</v>
      </c>
      <c r="R151" t="str">
        <f t="shared" si="41"/>
        <v>Governo Federal</v>
      </c>
      <c r="S151" t="s">
        <v>24</v>
      </c>
    </row>
    <row r="152" spans="1:19" x14ac:dyDescent="0.25">
      <c r="A152" s="18"/>
      <c r="B152" s="18">
        <v>4562</v>
      </c>
      <c r="C152" s="19" t="s">
        <v>27</v>
      </c>
      <c r="D152" s="18" t="s">
        <v>57</v>
      </c>
      <c r="E152" s="20" t="s">
        <v>0</v>
      </c>
      <c r="F152" s="21">
        <v>35826</v>
      </c>
      <c r="G152" s="22">
        <v>45597</v>
      </c>
      <c r="H152" s="23" t="s">
        <v>1</v>
      </c>
      <c r="I152" s="18" t="s">
        <v>2</v>
      </c>
      <c r="J152" s="24"/>
      <c r="K152" s="17" t="s">
        <v>59</v>
      </c>
      <c r="L152" t="s">
        <v>55</v>
      </c>
      <c r="M152" t="s">
        <v>15</v>
      </c>
      <c r="N152" t="str">
        <f t="shared" si="40"/>
        <v>https://api.bcb.gov.br/dados/serie/bcdata.sgs.4562/dados?formato=json</v>
      </c>
      <c r="O152">
        <v>7</v>
      </c>
      <c r="P152" t="s">
        <v>19</v>
      </c>
      <c r="Q152" t="s">
        <v>19</v>
      </c>
      <c r="R152" t="str">
        <f t="shared" si="41"/>
        <v>Banco Central</v>
      </c>
      <c r="S152" t="s">
        <v>24</v>
      </c>
    </row>
    <row r="153" spans="1:19" x14ac:dyDescent="0.25">
      <c r="A153" s="25"/>
      <c r="B153" s="25">
        <v>4563</v>
      </c>
      <c r="C153" s="26" t="s">
        <v>28</v>
      </c>
      <c r="D153" s="18" t="s">
        <v>57</v>
      </c>
      <c r="E153" s="27" t="s">
        <v>0</v>
      </c>
      <c r="F153" s="28">
        <v>33269</v>
      </c>
      <c r="G153" s="29">
        <v>45597</v>
      </c>
      <c r="H153" s="30" t="s">
        <v>1</v>
      </c>
      <c r="I153" s="25" t="s">
        <v>2</v>
      </c>
      <c r="J153" s="31"/>
      <c r="K153" s="17" t="s">
        <v>59</v>
      </c>
      <c r="L153" t="s">
        <v>55</v>
      </c>
      <c r="M153" t="s">
        <v>15</v>
      </c>
      <c r="N153" t="str">
        <f t="shared" si="40"/>
        <v>https://api.bcb.gov.br/dados/serie/bcdata.sgs.4563/dados?formato=json</v>
      </c>
      <c r="O153">
        <v>7</v>
      </c>
      <c r="P153" t="s">
        <v>19</v>
      </c>
      <c r="Q153" t="s">
        <v>19</v>
      </c>
      <c r="R153" t="str">
        <f t="shared" si="41"/>
        <v>Governos estaduais e municipais</v>
      </c>
      <c r="S153" t="s">
        <v>24</v>
      </c>
    </row>
    <row r="154" spans="1:19" x14ac:dyDescent="0.25">
      <c r="A154" s="18"/>
      <c r="B154" s="18">
        <v>4564</v>
      </c>
      <c r="C154" s="19" t="s">
        <v>29</v>
      </c>
      <c r="D154" s="18" t="s">
        <v>57</v>
      </c>
      <c r="E154" s="20" t="s">
        <v>0</v>
      </c>
      <c r="F154" s="21">
        <v>35826</v>
      </c>
      <c r="G154" s="22">
        <v>45597</v>
      </c>
      <c r="H154" s="23" t="s">
        <v>1</v>
      </c>
      <c r="I154" s="18" t="s">
        <v>2</v>
      </c>
      <c r="J154" s="24"/>
      <c r="K154" s="17" t="s">
        <v>59</v>
      </c>
      <c r="L154" t="s">
        <v>55</v>
      </c>
      <c r="M154" t="s">
        <v>15</v>
      </c>
      <c r="N154" t="str">
        <f t="shared" si="40"/>
        <v>https://api.bcb.gov.br/dados/serie/bcdata.sgs.4564/dados?formato=json</v>
      </c>
      <c r="O154">
        <v>7</v>
      </c>
      <c r="P154" t="s">
        <v>19</v>
      </c>
      <c r="Q154" t="s">
        <v>19</v>
      </c>
      <c r="R154" t="str">
        <f t="shared" si="41"/>
        <v>Governos estaduais</v>
      </c>
      <c r="S154" t="s">
        <v>24</v>
      </c>
    </row>
    <row r="155" spans="1:19" x14ac:dyDescent="0.25">
      <c r="A155" s="25"/>
      <c r="B155" s="25">
        <v>4565</v>
      </c>
      <c r="C155" s="26" t="s">
        <v>30</v>
      </c>
      <c r="D155" s="18" t="s">
        <v>57</v>
      </c>
      <c r="E155" s="27" t="s">
        <v>0</v>
      </c>
      <c r="F155" s="28">
        <v>35826</v>
      </c>
      <c r="G155" s="29">
        <v>45597</v>
      </c>
      <c r="H155" s="30" t="s">
        <v>1</v>
      </c>
      <c r="I155" s="25" t="s">
        <v>2</v>
      </c>
      <c r="J155" s="31"/>
      <c r="K155" s="17" t="s">
        <v>59</v>
      </c>
      <c r="L155" t="s">
        <v>55</v>
      </c>
      <c r="M155" t="s">
        <v>15</v>
      </c>
      <c r="N155" t="str">
        <f t="shared" si="40"/>
        <v>https://api.bcb.gov.br/dados/serie/bcdata.sgs.4565/dados?formato=json</v>
      </c>
      <c r="O155">
        <v>7</v>
      </c>
      <c r="P155" t="s">
        <v>19</v>
      </c>
      <c r="Q155" t="s">
        <v>19</v>
      </c>
      <c r="R155" t="str">
        <f t="shared" si="41"/>
        <v>Governos municipais</v>
      </c>
      <c r="S155" t="s">
        <v>24</v>
      </c>
    </row>
    <row r="156" spans="1:19" x14ac:dyDescent="0.25">
      <c r="A156" s="18"/>
      <c r="B156" s="18">
        <v>4566</v>
      </c>
      <c r="C156" s="19" t="s">
        <v>31</v>
      </c>
      <c r="D156" s="18" t="s">
        <v>57</v>
      </c>
      <c r="E156" s="20" t="s">
        <v>0</v>
      </c>
      <c r="F156" s="21">
        <v>37226</v>
      </c>
      <c r="G156" s="22">
        <v>45597</v>
      </c>
      <c r="H156" s="23" t="s">
        <v>1</v>
      </c>
      <c r="I156" s="18" t="s">
        <v>2</v>
      </c>
      <c r="J156" s="24"/>
      <c r="K156" s="17" t="s">
        <v>59</v>
      </c>
      <c r="L156" t="s">
        <v>55</v>
      </c>
      <c r="M156" t="s">
        <v>15</v>
      </c>
      <c r="N156" t="str">
        <f t="shared" si="40"/>
        <v>https://api.bcb.gov.br/dados/serie/bcdata.sgs.4566/dados?formato=json</v>
      </c>
      <c r="O156">
        <v>7</v>
      </c>
      <c r="P156" t="s">
        <v>19</v>
      </c>
      <c r="Q156" t="s">
        <v>19</v>
      </c>
      <c r="R156" t="str">
        <f t="shared" si="41"/>
        <v>Empresas estatais</v>
      </c>
      <c r="S156" t="s">
        <v>24</v>
      </c>
    </row>
    <row r="157" spans="1:19" x14ac:dyDescent="0.25">
      <c r="A157" s="25"/>
      <c r="B157" s="25">
        <v>4567</v>
      </c>
      <c r="C157" s="26" t="s">
        <v>32</v>
      </c>
      <c r="D157" s="18" t="s">
        <v>57</v>
      </c>
      <c r="E157" s="27" t="s">
        <v>0</v>
      </c>
      <c r="F157" s="28">
        <v>37226</v>
      </c>
      <c r="G157" s="29">
        <v>45597</v>
      </c>
      <c r="H157" s="30" t="s">
        <v>1</v>
      </c>
      <c r="I157" s="25" t="s">
        <v>2</v>
      </c>
      <c r="J157" s="31"/>
      <c r="K157" s="17" t="s">
        <v>59</v>
      </c>
      <c r="L157" t="s">
        <v>55</v>
      </c>
      <c r="M157" t="s">
        <v>15</v>
      </c>
      <c r="N157" t="str">
        <f t="shared" si="40"/>
        <v>https://api.bcb.gov.br/dados/serie/bcdata.sgs.4567/dados?formato=json</v>
      </c>
      <c r="O157">
        <v>7</v>
      </c>
      <c r="P157" t="s">
        <v>19</v>
      </c>
      <c r="Q157" t="s">
        <v>19</v>
      </c>
      <c r="R157" t="str">
        <f t="shared" si="41"/>
        <v>Empresas estatais federais</v>
      </c>
      <c r="S157" t="s">
        <v>24</v>
      </c>
    </row>
    <row r="158" spans="1:19" x14ac:dyDescent="0.25">
      <c r="A158" s="18"/>
      <c r="B158" s="18">
        <v>4568</v>
      </c>
      <c r="C158" s="19" t="s">
        <v>33</v>
      </c>
      <c r="D158" s="18" t="s">
        <v>57</v>
      </c>
      <c r="E158" s="20" t="s">
        <v>0</v>
      </c>
      <c r="F158" s="21">
        <v>35826</v>
      </c>
      <c r="G158" s="22">
        <v>45597</v>
      </c>
      <c r="H158" s="23" t="s">
        <v>1</v>
      </c>
      <c r="I158" s="18" t="s">
        <v>2</v>
      </c>
      <c r="J158" s="24"/>
      <c r="K158" s="17" t="s">
        <v>59</v>
      </c>
      <c r="L158" t="s">
        <v>55</v>
      </c>
      <c r="M158" t="s">
        <v>15</v>
      </c>
      <c r="N158" t="str">
        <f t="shared" si="40"/>
        <v>https://api.bcb.gov.br/dados/serie/bcdata.sgs.4568/dados?formato=json</v>
      </c>
      <c r="O158">
        <v>7</v>
      </c>
      <c r="P158" t="s">
        <v>19</v>
      </c>
      <c r="Q158" t="s">
        <v>19</v>
      </c>
      <c r="R158" t="str">
        <f t="shared" si="41"/>
        <v>Empresas estatais estaduais</v>
      </c>
      <c r="S158" t="s">
        <v>24</v>
      </c>
    </row>
    <row r="159" spans="1:19" x14ac:dyDescent="0.25">
      <c r="A159" s="25"/>
      <c r="B159" s="25">
        <v>4569</v>
      </c>
      <c r="C159" s="26" t="s">
        <v>34</v>
      </c>
      <c r="D159" s="18" t="s">
        <v>57</v>
      </c>
      <c r="E159" s="27" t="s">
        <v>0</v>
      </c>
      <c r="F159" s="28">
        <v>35826</v>
      </c>
      <c r="G159" s="29">
        <v>45597</v>
      </c>
      <c r="H159" s="30" t="s">
        <v>1</v>
      </c>
      <c r="I159" s="25" t="s">
        <v>2</v>
      </c>
      <c r="J159" s="31"/>
      <c r="K159" s="17" t="s">
        <v>59</v>
      </c>
      <c r="L159" t="s">
        <v>55</v>
      </c>
      <c r="M159" t="s">
        <v>15</v>
      </c>
      <c r="N159" t="str">
        <f t="shared" si="40"/>
        <v>https://api.bcb.gov.br/dados/serie/bcdata.sgs.4569/dados?formato=json</v>
      </c>
      <c r="O159">
        <v>7</v>
      </c>
      <c r="P159" t="s">
        <v>19</v>
      </c>
      <c r="Q159" t="s">
        <v>19</v>
      </c>
      <c r="R159" t="str">
        <f t="shared" si="41"/>
        <v>Empresas estatais municipais</v>
      </c>
      <c r="S159" t="s">
        <v>24</v>
      </c>
    </row>
    <row r="160" spans="1:19" x14ac:dyDescent="0.25">
      <c r="A160" s="18"/>
      <c r="B160" s="18">
        <v>4570</v>
      </c>
      <c r="C160" s="19" t="s">
        <v>35</v>
      </c>
      <c r="D160" s="18" t="s">
        <v>57</v>
      </c>
      <c r="E160" s="20" t="s">
        <v>0</v>
      </c>
      <c r="F160" s="21">
        <v>37226</v>
      </c>
      <c r="G160" s="22">
        <v>45597</v>
      </c>
      <c r="H160" s="23" t="s">
        <v>1</v>
      </c>
      <c r="I160" s="18" t="s">
        <v>2</v>
      </c>
      <c r="J160" s="24"/>
      <c r="K160" s="17" t="s">
        <v>59</v>
      </c>
      <c r="L160" t="s">
        <v>55</v>
      </c>
      <c r="M160" t="s">
        <v>15</v>
      </c>
      <c r="N160" t="str">
        <f t="shared" si="40"/>
        <v>https://api.bcb.gov.br/dados/serie/bcdata.sgs.4570/dados?formato=json</v>
      </c>
      <c r="O160">
        <v>7</v>
      </c>
      <c r="P160" t="s">
        <v>19</v>
      </c>
      <c r="Q160" t="s">
        <v>19</v>
      </c>
      <c r="R160" t="str">
        <f t="shared" si="41"/>
        <v>Setor público consolidado</v>
      </c>
      <c r="S160" t="s">
        <v>24</v>
      </c>
    </row>
    <row r="161" spans="1:19" x14ac:dyDescent="0.25">
      <c r="A161" s="18"/>
      <c r="B161" s="18">
        <v>4571</v>
      </c>
      <c r="C161" s="19" t="s">
        <v>60</v>
      </c>
      <c r="D161" s="18" t="s">
        <v>57</v>
      </c>
      <c r="E161" s="20" t="s">
        <v>0</v>
      </c>
      <c r="F161" s="21">
        <v>35826</v>
      </c>
      <c r="G161" s="22">
        <v>45597</v>
      </c>
      <c r="H161" s="23" t="s">
        <v>1</v>
      </c>
      <c r="I161" s="18" t="s">
        <v>2</v>
      </c>
      <c r="J161" s="24"/>
      <c r="K161" s="17" t="s">
        <v>42</v>
      </c>
      <c r="L161" t="s">
        <v>41</v>
      </c>
      <c r="M161" t="s">
        <v>15</v>
      </c>
      <c r="N161" t="str">
        <f t="shared" ref="N161:N163" si="42">_xlfn.CONCAT("https://api.bcb.gov.br/dados/serie/bcdata.sgs.",B161,"/dados?formato=json")</f>
        <v>https://api.bcb.gov.br/dados/serie/bcdata.sgs.4571/dados?formato=json</v>
      </c>
      <c r="O161">
        <v>7</v>
      </c>
      <c r="P161" t="s">
        <v>19</v>
      </c>
      <c r="Q161" t="s">
        <v>19</v>
      </c>
      <c r="R161" t="str">
        <f t="shared" ref="R161:R163" si="43">C161</f>
        <v>Dívida líquida do governo geral</v>
      </c>
      <c r="S161" t="s">
        <v>24</v>
      </c>
    </row>
    <row r="162" spans="1:19" x14ac:dyDescent="0.25">
      <c r="A162" s="25"/>
      <c r="B162" s="25">
        <v>4572</v>
      </c>
      <c r="C162" s="26" t="s">
        <v>39</v>
      </c>
      <c r="D162" s="18" t="s">
        <v>57</v>
      </c>
      <c r="E162" s="27" t="s">
        <v>0</v>
      </c>
      <c r="F162" s="28">
        <v>35826</v>
      </c>
      <c r="G162" s="29">
        <v>45597</v>
      </c>
      <c r="H162" s="30" t="s">
        <v>1</v>
      </c>
      <c r="I162" s="25" t="s">
        <v>2</v>
      </c>
      <c r="J162" s="31"/>
      <c r="K162" s="17" t="s">
        <v>42</v>
      </c>
      <c r="L162" t="s">
        <v>41</v>
      </c>
      <c r="M162" t="s">
        <v>15</v>
      </c>
      <c r="N162" t="str">
        <f t="shared" si="42"/>
        <v>https://api.bcb.gov.br/dados/serie/bcdata.sgs.4572/dados?formato=json</v>
      </c>
      <c r="O162">
        <v>7</v>
      </c>
      <c r="P162" t="s">
        <v>19</v>
      </c>
      <c r="Q162" t="s">
        <v>19</v>
      </c>
      <c r="R162" t="str">
        <f t="shared" si="43"/>
        <v>Dívida bruta do governo geral - Metodologia utilizada até 2007</v>
      </c>
      <c r="S162" t="s">
        <v>24</v>
      </c>
    </row>
    <row r="163" spans="1:19" x14ac:dyDescent="0.25">
      <c r="A163" s="18"/>
      <c r="B163" s="18">
        <v>13763</v>
      </c>
      <c r="C163" s="19" t="s">
        <v>40</v>
      </c>
      <c r="D163" s="18" t="s">
        <v>57</v>
      </c>
      <c r="E163" s="20" t="s">
        <v>0</v>
      </c>
      <c r="F163" s="21">
        <v>39052</v>
      </c>
      <c r="G163" s="22">
        <v>45597</v>
      </c>
      <c r="H163" s="23" t="s">
        <v>1</v>
      </c>
      <c r="I163" s="18" t="s">
        <v>2</v>
      </c>
      <c r="J163" s="24"/>
      <c r="K163" s="17" t="s">
        <v>42</v>
      </c>
      <c r="L163" t="s">
        <v>41</v>
      </c>
      <c r="M163" t="s">
        <v>15</v>
      </c>
      <c r="N163" t="str">
        <f t="shared" si="42"/>
        <v>https://api.bcb.gov.br/dados/serie/bcdata.sgs.13763/dados?formato=json</v>
      </c>
      <c r="O163">
        <v>7</v>
      </c>
      <c r="P163" t="s">
        <v>19</v>
      </c>
      <c r="Q163" t="s">
        <v>19</v>
      </c>
      <c r="R163" t="str">
        <f t="shared" si="43"/>
        <v>Dívida bruta do governo geral - Metodologia utilizada a partir de 2008</v>
      </c>
      <c r="S163" t="s">
        <v>24</v>
      </c>
    </row>
    <row r="164" spans="1:19" x14ac:dyDescent="0.25">
      <c r="A164" s="18"/>
      <c r="B164" s="18">
        <v>10835</v>
      </c>
      <c r="C164" s="19" t="s">
        <v>49</v>
      </c>
      <c r="D164" s="18" t="s">
        <v>57</v>
      </c>
      <c r="E164" s="20" t="s">
        <v>0</v>
      </c>
      <c r="F164" s="21">
        <v>37226</v>
      </c>
      <c r="G164" s="22">
        <v>45597</v>
      </c>
      <c r="H164" s="23" t="s">
        <v>1</v>
      </c>
      <c r="I164" s="18" t="s">
        <v>2</v>
      </c>
      <c r="J164" s="24"/>
      <c r="K164" s="17" t="s">
        <v>44</v>
      </c>
      <c r="L164" t="s">
        <v>45</v>
      </c>
      <c r="M164" t="s">
        <v>15</v>
      </c>
      <c r="N164" t="str">
        <f t="shared" ref="N164:N165" si="44">_xlfn.CONCAT("https://api.bcb.gov.br/dados/serie/bcdata.sgs.",B164,"/dados?formato=json")</f>
        <v>https://api.bcb.gov.br/dados/serie/bcdata.sgs.10835/dados?formato=json</v>
      </c>
      <c r="O164">
        <v>7</v>
      </c>
      <c r="P164" t="s">
        <v>19</v>
      </c>
      <c r="Q164" t="s">
        <v>19</v>
      </c>
      <c r="R164" t="str">
        <f t="shared" ref="R164:R165" si="45">C164</f>
        <v>Dívida fiscal líquida com câmbio</v>
      </c>
      <c r="S164" t="s">
        <v>24</v>
      </c>
    </row>
    <row r="165" spans="1:19" x14ac:dyDescent="0.25">
      <c r="A165" s="25"/>
      <c r="B165" s="25">
        <v>10837</v>
      </c>
      <c r="C165" s="26" t="s">
        <v>43</v>
      </c>
      <c r="D165" s="18" t="s">
        <v>57</v>
      </c>
      <c r="E165" s="27" t="s">
        <v>0</v>
      </c>
      <c r="F165" s="28">
        <v>37226</v>
      </c>
      <c r="G165" s="29">
        <v>45597</v>
      </c>
      <c r="H165" s="30" t="s">
        <v>1</v>
      </c>
      <c r="I165" s="25" t="s">
        <v>2</v>
      </c>
      <c r="J165" s="31"/>
      <c r="K165" s="17" t="s">
        <v>44</v>
      </c>
      <c r="L165" t="s">
        <v>45</v>
      </c>
      <c r="M165" t="s">
        <v>15</v>
      </c>
      <c r="N165" t="str">
        <f t="shared" si="44"/>
        <v>https://api.bcb.gov.br/dados/serie/bcdata.sgs.10837/dados?formato=json</v>
      </c>
      <c r="O165">
        <v>7</v>
      </c>
      <c r="P165" t="s">
        <v>19</v>
      </c>
      <c r="Q165" t="s">
        <v>19</v>
      </c>
      <c r="R165" t="str">
        <f t="shared" si="45"/>
        <v>Dívida fiscal líquida</v>
      </c>
      <c r="S165" t="s">
        <v>24</v>
      </c>
    </row>
    <row r="166" spans="1:19" x14ac:dyDescent="0.25">
      <c r="A166" s="18"/>
      <c r="B166" s="18">
        <v>10832</v>
      </c>
      <c r="C166" s="19" t="s">
        <v>46</v>
      </c>
      <c r="D166" s="18" t="s">
        <v>57</v>
      </c>
      <c r="E166" s="20" t="s">
        <v>0</v>
      </c>
      <c r="F166" s="21">
        <v>37226</v>
      </c>
      <c r="G166" s="22">
        <v>45597</v>
      </c>
      <c r="H166" s="23" t="s">
        <v>1</v>
      </c>
      <c r="I166" s="18" t="s">
        <v>2</v>
      </c>
      <c r="J166" s="24"/>
      <c r="K166" s="17" t="s">
        <v>51</v>
      </c>
      <c r="L166" t="s">
        <v>46</v>
      </c>
      <c r="M166" t="s">
        <v>15</v>
      </c>
      <c r="N166" t="str">
        <f t="shared" ref="N166:N169" si="46">_xlfn.CONCAT("https://api.bcb.gov.br/dados/serie/bcdata.sgs.",B166,"/dados?formato=json")</f>
        <v>https://api.bcb.gov.br/dados/serie/bcdata.sgs.10832/dados?formato=json</v>
      </c>
      <c r="O166">
        <v>7</v>
      </c>
      <c r="P166" t="s">
        <v>19</v>
      </c>
      <c r="Q166" t="s">
        <v>19</v>
      </c>
      <c r="R166" t="str">
        <f t="shared" ref="R166:R169" si="47">C166</f>
        <v>Ajuste de privatização</v>
      </c>
      <c r="S166" t="s">
        <v>24</v>
      </c>
    </row>
    <row r="167" spans="1:19" x14ac:dyDescent="0.25">
      <c r="A167" s="25"/>
      <c r="B167" s="25">
        <v>10833</v>
      </c>
      <c r="C167" s="26" t="s">
        <v>47</v>
      </c>
      <c r="D167" s="18" t="s">
        <v>57</v>
      </c>
      <c r="E167" s="27" t="s">
        <v>0</v>
      </c>
      <c r="F167" s="28">
        <v>37226</v>
      </c>
      <c r="G167" s="29">
        <v>45597</v>
      </c>
      <c r="H167" s="30" t="s">
        <v>1</v>
      </c>
      <c r="I167" s="25" t="s">
        <v>2</v>
      </c>
      <c r="J167" s="31"/>
      <c r="K167" s="17" t="s">
        <v>51</v>
      </c>
      <c r="L167" t="s">
        <v>47</v>
      </c>
      <c r="M167" t="s">
        <v>15</v>
      </c>
      <c r="N167" t="str">
        <f t="shared" si="46"/>
        <v>https://api.bcb.gov.br/dados/serie/bcdata.sgs.10833/dados?formato=json</v>
      </c>
      <c r="O167">
        <v>7</v>
      </c>
      <c r="P167" t="s">
        <v>19</v>
      </c>
      <c r="Q167" t="s">
        <v>19</v>
      </c>
      <c r="R167" t="str">
        <f t="shared" si="47"/>
        <v>Ajuste patrimonial</v>
      </c>
      <c r="S167" t="s">
        <v>24</v>
      </c>
    </row>
    <row r="168" spans="1:19" x14ac:dyDescent="0.25">
      <c r="A168" s="18"/>
      <c r="B168" s="18">
        <v>10834</v>
      </c>
      <c r="C168" s="19" t="s">
        <v>48</v>
      </c>
      <c r="D168" s="18" t="s">
        <v>57</v>
      </c>
      <c r="E168" s="20" t="s">
        <v>0</v>
      </c>
      <c r="F168" s="21">
        <v>37226</v>
      </c>
      <c r="G168" s="22">
        <v>45597</v>
      </c>
      <c r="H168" s="23" t="s">
        <v>1</v>
      </c>
      <c r="I168" s="18" t="s">
        <v>2</v>
      </c>
      <c r="J168" s="24"/>
      <c r="K168" s="17" t="s">
        <v>51</v>
      </c>
      <c r="L168" t="s">
        <v>48</v>
      </c>
      <c r="M168" t="s">
        <v>15</v>
      </c>
      <c r="N168" t="str">
        <f t="shared" si="46"/>
        <v>https://api.bcb.gov.br/dados/serie/bcdata.sgs.10834/dados?formato=json</v>
      </c>
      <c r="O168">
        <v>7</v>
      </c>
      <c r="P168" t="s">
        <v>19</v>
      </c>
      <c r="Q168" t="s">
        <v>19</v>
      </c>
      <c r="R168" t="str">
        <f t="shared" si="47"/>
        <v>Ajuste metodológico sobre dívida externa</v>
      </c>
      <c r="S168" t="s">
        <v>24</v>
      </c>
    </row>
    <row r="169" spans="1:19" x14ac:dyDescent="0.25">
      <c r="A169" s="25"/>
      <c r="B169" s="25">
        <v>10836</v>
      </c>
      <c r="C169" s="26" t="s">
        <v>50</v>
      </c>
      <c r="D169" s="18" t="s">
        <v>57</v>
      </c>
      <c r="E169" s="27" t="s">
        <v>0</v>
      </c>
      <c r="F169" s="28">
        <v>37226</v>
      </c>
      <c r="G169" s="29">
        <v>45597</v>
      </c>
      <c r="H169" s="30" t="s">
        <v>1</v>
      </c>
      <c r="I169" s="25" t="s">
        <v>2</v>
      </c>
      <c r="J169" s="31"/>
      <c r="K169" s="17" t="s">
        <v>51</v>
      </c>
      <c r="L169" t="s">
        <v>50</v>
      </c>
      <c r="M169" t="s">
        <v>15</v>
      </c>
      <c r="N169" t="str">
        <f t="shared" si="46"/>
        <v>https://api.bcb.gov.br/dados/serie/bcdata.sgs.10836/dados?formato=json</v>
      </c>
      <c r="O169">
        <v>7</v>
      </c>
      <c r="P169" t="s">
        <v>19</v>
      </c>
      <c r="Q169" t="s">
        <v>19</v>
      </c>
      <c r="R169" t="str">
        <f t="shared" si="47"/>
        <v>Ajuste metodológico sobre dívida interna</v>
      </c>
      <c r="S169" t="s">
        <v>24</v>
      </c>
    </row>
    <row r="170" spans="1:19" x14ac:dyDescent="0.25">
      <c r="A170" s="18"/>
      <c r="B170" s="18">
        <v>4006</v>
      </c>
      <c r="C170" s="19" t="s">
        <v>61</v>
      </c>
      <c r="D170" s="1" t="s">
        <v>37</v>
      </c>
      <c r="E170" s="20" t="s">
        <v>0</v>
      </c>
      <c r="F170" s="21">
        <v>33269</v>
      </c>
      <c r="G170" s="22">
        <v>45597</v>
      </c>
      <c r="H170" s="23" t="s">
        <v>1</v>
      </c>
      <c r="I170" s="18" t="s">
        <v>2</v>
      </c>
      <c r="J170" s="24"/>
      <c r="K170" s="17" t="s">
        <v>62</v>
      </c>
      <c r="L170" t="s">
        <v>63</v>
      </c>
      <c r="M170" t="s">
        <v>15</v>
      </c>
      <c r="N170" t="str">
        <f t="shared" ref="N170:N180" si="48">_xlfn.CONCAT("https://api.bcb.gov.br/dados/serie/bcdata.sgs.",B170,"/dados?formato=json")</f>
        <v>https://api.bcb.gov.br/dados/serie/bcdata.sgs.4006/dados?formato=json</v>
      </c>
      <c r="O170">
        <v>7</v>
      </c>
      <c r="P170" t="s">
        <v>19</v>
      </c>
      <c r="Q170" t="s">
        <v>19</v>
      </c>
      <c r="R170" t="str">
        <f t="shared" ref="R170:R180" si="49">C170</f>
        <v>Governo Federal e Banco Cental</v>
      </c>
      <c r="S170" t="s">
        <v>64</v>
      </c>
    </row>
    <row r="171" spans="1:19" x14ac:dyDescent="0.25">
      <c r="A171" s="25"/>
      <c r="B171" s="25">
        <v>4007</v>
      </c>
      <c r="C171" s="26" t="s">
        <v>26</v>
      </c>
      <c r="D171" s="1" t="s">
        <v>37</v>
      </c>
      <c r="E171" s="27" t="s">
        <v>0</v>
      </c>
      <c r="F171" s="28">
        <v>36161</v>
      </c>
      <c r="G171" s="29">
        <v>45597</v>
      </c>
      <c r="H171" s="30" t="s">
        <v>1</v>
      </c>
      <c r="I171" s="25" t="s">
        <v>2</v>
      </c>
      <c r="J171" s="31"/>
      <c r="K171" s="17" t="s">
        <v>62</v>
      </c>
      <c r="L171" t="s">
        <v>63</v>
      </c>
      <c r="M171" t="s">
        <v>15</v>
      </c>
      <c r="N171" t="str">
        <f t="shared" si="48"/>
        <v>https://api.bcb.gov.br/dados/serie/bcdata.sgs.4007/dados?formato=json</v>
      </c>
      <c r="O171">
        <v>7</v>
      </c>
      <c r="P171" t="s">
        <v>19</v>
      </c>
      <c r="Q171" t="s">
        <v>19</v>
      </c>
      <c r="R171" t="str">
        <f t="shared" si="49"/>
        <v>Governo Federal</v>
      </c>
      <c r="S171" t="s">
        <v>64</v>
      </c>
    </row>
    <row r="172" spans="1:19" x14ac:dyDescent="0.25">
      <c r="A172" s="18"/>
      <c r="B172" s="18">
        <v>4008</v>
      </c>
      <c r="C172" s="19" t="s">
        <v>27</v>
      </c>
      <c r="D172" s="1" t="s">
        <v>37</v>
      </c>
      <c r="E172" s="20" t="s">
        <v>0</v>
      </c>
      <c r="F172" s="21">
        <v>36161</v>
      </c>
      <c r="G172" s="22">
        <v>45597</v>
      </c>
      <c r="H172" s="23" t="s">
        <v>1</v>
      </c>
      <c r="I172" s="18" t="s">
        <v>2</v>
      </c>
      <c r="J172" s="24"/>
      <c r="K172" s="17" t="s">
        <v>62</v>
      </c>
      <c r="L172" t="s">
        <v>63</v>
      </c>
      <c r="M172" t="s">
        <v>15</v>
      </c>
      <c r="N172" t="str">
        <f t="shared" si="48"/>
        <v>https://api.bcb.gov.br/dados/serie/bcdata.sgs.4008/dados?formato=json</v>
      </c>
      <c r="O172">
        <v>7</v>
      </c>
      <c r="P172" t="s">
        <v>19</v>
      </c>
      <c r="Q172" t="s">
        <v>19</v>
      </c>
      <c r="R172" t="str">
        <f t="shared" si="49"/>
        <v>Banco Central</v>
      </c>
      <c r="S172" t="s">
        <v>64</v>
      </c>
    </row>
    <row r="173" spans="1:19" x14ac:dyDescent="0.25">
      <c r="A173" s="25"/>
      <c r="B173" s="25">
        <v>4009</v>
      </c>
      <c r="C173" s="26" t="s">
        <v>28</v>
      </c>
      <c r="D173" s="1" t="s">
        <v>37</v>
      </c>
      <c r="E173" s="27" t="s">
        <v>0</v>
      </c>
      <c r="F173" s="28">
        <v>33269</v>
      </c>
      <c r="G173" s="29">
        <v>45597</v>
      </c>
      <c r="H173" s="30" t="s">
        <v>1</v>
      </c>
      <c r="I173" s="25" t="s">
        <v>2</v>
      </c>
      <c r="J173" s="31"/>
      <c r="K173" s="17" t="s">
        <v>62</v>
      </c>
      <c r="L173" t="s">
        <v>63</v>
      </c>
      <c r="M173" t="s">
        <v>15</v>
      </c>
      <c r="N173" t="str">
        <f t="shared" si="48"/>
        <v>https://api.bcb.gov.br/dados/serie/bcdata.sgs.4009/dados?formato=json</v>
      </c>
      <c r="O173">
        <v>7</v>
      </c>
      <c r="P173" t="s">
        <v>19</v>
      </c>
      <c r="Q173" t="s">
        <v>19</v>
      </c>
      <c r="R173" t="str">
        <f t="shared" si="49"/>
        <v>Governos estaduais e municipais</v>
      </c>
      <c r="S173" t="s">
        <v>64</v>
      </c>
    </row>
    <row r="174" spans="1:19" x14ac:dyDescent="0.25">
      <c r="A174" s="18"/>
      <c r="B174" s="18">
        <v>4010</v>
      </c>
      <c r="C174" s="19" t="s">
        <v>29</v>
      </c>
      <c r="D174" s="1" t="s">
        <v>37</v>
      </c>
      <c r="E174" s="20" t="s">
        <v>0</v>
      </c>
      <c r="F174" s="21">
        <v>35796</v>
      </c>
      <c r="G174" s="22">
        <v>45597</v>
      </c>
      <c r="H174" s="23" t="s">
        <v>1</v>
      </c>
      <c r="I174" s="18" t="s">
        <v>2</v>
      </c>
      <c r="J174" s="24"/>
      <c r="K174" s="17" t="s">
        <v>62</v>
      </c>
      <c r="L174" t="s">
        <v>63</v>
      </c>
      <c r="M174" t="s">
        <v>15</v>
      </c>
      <c r="N174" t="str">
        <f t="shared" si="48"/>
        <v>https://api.bcb.gov.br/dados/serie/bcdata.sgs.4010/dados?formato=json</v>
      </c>
      <c r="O174">
        <v>7</v>
      </c>
      <c r="P174" t="s">
        <v>19</v>
      </c>
      <c r="Q174" t="s">
        <v>19</v>
      </c>
      <c r="R174" t="str">
        <f t="shared" si="49"/>
        <v>Governos estaduais</v>
      </c>
      <c r="S174" t="s">
        <v>64</v>
      </c>
    </row>
    <row r="175" spans="1:19" x14ac:dyDescent="0.25">
      <c r="A175" s="25"/>
      <c r="B175" s="25">
        <v>4011</v>
      </c>
      <c r="C175" s="26" t="s">
        <v>30</v>
      </c>
      <c r="D175" s="1" t="s">
        <v>37</v>
      </c>
      <c r="E175" s="27" t="s">
        <v>0</v>
      </c>
      <c r="F175" s="28">
        <v>35796</v>
      </c>
      <c r="G175" s="29">
        <v>45597</v>
      </c>
      <c r="H175" s="30" t="s">
        <v>1</v>
      </c>
      <c r="I175" s="25" t="s">
        <v>2</v>
      </c>
      <c r="J175" s="31"/>
      <c r="K175" s="17" t="s">
        <v>62</v>
      </c>
      <c r="L175" t="s">
        <v>63</v>
      </c>
      <c r="M175" t="s">
        <v>15</v>
      </c>
      <c r="N175" t="str">
        <f t="shared" si="48"/>
        <v>https://api.bcb.gov.br/dados/serie/bcdata.sgs.4011/dados?formato=json</v>
      </c>
      <c r="O175">
        <v>7</v>
      </c>
      <c r="P175" t="s">
        <v>19</v>
      </c>
      <c r="Q175" t="s">
        <v>19</v>
      </c>
      <c r="R175" t="str">
        <f t="shared" si="49"/>
        <v>Governos municipais</v>
      </c>
      <c r="S175" t="s">
        <v>64</v>
      </c>
    </row>
    <row r="176" spans="1:19" x14ac:dyDescent="0.25">
      <c r="A176" s="18"/>
      <c r="B176" s="18">
        <v>4012</v>
      </c>
      <c r="C176" s="19" t="s">
        <v>31</v>
      </c>
      <c r="D176" s="1" t="s">
        <v>37</v>
      </c>
      <c r="E176" s="20" t="s">
        <v>0</v>
      </c>
      <c r="F176" s="21">
        <v>37226</v>
      </c>
      <c r="G176" s="22">
        <v>45597</v>
      </c>
      <c r="H176" s="23" t="s">
        <v>1</v>
      </c>
      <c r="I176" s="18" t="s">
        <v>2</v>
      </c>
      <c r="J176" s="24"/>
      <c r="K176" s="17" t="s">
        <v>62</v>
      </c>
      <c r="L176" t="s">
        <v>63</v>
      </c>
      <c r="M176" t="s">
        <v>15</v>
      </c>
      <c r="N176" t="str">
        <f t="shared" si="48"/>
        <v>https://api.bcb.gov.br/dados/serie/bcdata.sgs.4012/dados?formato=json</v>
      </c>
      <c r="O176">
        <v>7</v>
      </c>
      <c r="P176" t="s">
        <v>19</v>
      </c>
      <c r="Q176" t="s">
        <v>19</v>
      </c>
      <c r="R176" t="str">
        <f t="shared" si="49"/>
        <v>Empresas estatais</v>
      </c>
      <c r="S176" t="s">
        <v>64</v>
      </c>
    </row>
    <row r="177" spans="1:19" x14ac:dyDescent="0.25">
      <c r="A177" s="25"/>
      <c r="B177" s="25">
        <v>4013</v>
      </c>
      <c r="C177" s="26" t="s">
        <v>32</v>
      </c>
      <c r="D177" s="1" t="s">
        <v>37</v>
      </c>
      <c r="E177" s="27" t="s">
        <v>0</v>
      </c>
      <c r="F177" s="28">
        <v>37226</v>
      </c>
      <c r="G177" s="29">
        <v>45597</v>
      </c>
      <c r="H177" s="30" t="s">
        <v>1</v>
      </c>
      <c r="I177" s="25" t="s">
        <v>2</v>
      </c>
      <c r="J177" s="31"/>
      <c r="K177" s="17" t="s">
        <v>62</v>
      </c>
      <c r="L177" t="s">
        <v>63</v>
      </c>
      <c r="M177" t="s">
        <v>15</v>
      </c>
      <c r="N177" t="str">
        <f t="shared" si="48"/>
        <v>https://api.bcb.gov.br/dados/serie/bcdata.sgs.4013/dados?formato=json</v>
      </c>
      <c r="O177">
        <v>7</v>
      </c>
      <c r="P177" t="s">
        <v>19</v>
      </c>
      <c r="Q177" t="s">
        <v>19</v>
      </c>
      <c r="R177" t="str">
        <f t="shared" si="49"/>
        <v>Empresas estatais federais</v>
      </c>
      <c r="S177" t="s">
        <v>64</v>
      </c>
    </row>
    <row r="178" spans="1:19" x14ac:dyDescent="0.25">
      <c r="A178" s="18"/>
      <c r="B178" s="18">
        <v>4014</v>
      </c>
      <c r="C178" s="19" t="s">
        <v>33</v>
      </c>
      <c r="D178" s="1" t="s">
        <v>37</v>
      </c>
      <c r="E178" s="20" t="s">
        <v>0</v>
      </c>
      <c r="F178" s="21">
        <v>35796</v>
      </c>
      <c r="G178" s="22">
        <v>45597</v>
      </c>
      <c r="H178" s="23" t="s">
        <v>1</v>
      </c>
      <c r="I178" s="18" t="s">
        <v>2</v>
      </c>
      <c r="J178" s="24"/>
      <c r="K178" s="17" t="s">
        <v>62</v>
      </c>
      <c r="L178" t="s">
        <v>63</v>
      </c>
      <c r="M178" t="s">
        <v>15</v>
      </c>
      <c r="N178" t="str">
        <f t="shared" si="48"/>
        <v>https://api.bcb.gov.br/dados/serie/bcdata.sgs.4014/dados?formato=json</v>
      </c>
      <c r="O178">
        <v>7</v>
      </c>
      <c r="P178" t="s">
        <v>19</v>
      </c>
      <c r="Q178" t="s">
        <v>19</v>
      </c>
      <c r="R178" t="str">
        <f t="shared" si="49"/>
        <v>Empresas estatais estaduais</v>
      </c>
      <c r="S178" t="s">
        <v>64</v>
      </c>
    </row>
    <row r="179" spans="1:19" x14ac:dyDescent="0.25">
      <c r="A179" s="25"/>
      <c r="B179" s="25">
        <v>4015</v>
      </c>
      <c r="C179" s="26" t="s">
        <v>34</v>
      </c>
      <c r="D179" s="1" t="s">
        <v>37</v>
      </c>
      <c r="E179" s="27" t="s">
        <v>0</v>
      </c>
      <c r="F179" s="28">
        <v>35796</v>
      </c>
      <c r="G179" s="29">
        <v>45597</v>
      </c>
      <c r="H179" s="30" t="s">
        <v>1</v>
      </c>
      <c r="I179" s="25" t="s">
        <v>2</v>
      </c>
      <c r="J179" s="31"/>
      <c r="K179" s="17" t="s">
        <v>62</v>
      </c>
      <c r="L179" t="s">
        <v>63</v>
      </c>
      <c r="M179" t="s">
        <v>15</v>
      </c>
      <c r="N179" t="str">
        <f t="shared" si="48"/>
        <v>https://api.bcb.gov.br/dados/serie/bcdata.sgs.4015/dados?formato=json</v>
      </c>
      <c r="O179">
        <v>7</v>
      </c>
      <c r="P179" t="s">
        <v>19</v>
      </c>
      <c r="Q179" t="s">
        <v>19</v>
      </c>
      <c r="R179" t="str">
        <f t="shared" si="49"/>
        <v>Empresas estatais municipais</v>
      </c>
      <c r="S179" t="s">
        <v>64</v>
      </c>
    </row>
    <row r="180" spans="1:19" x14ac:dyDescent="0.25">
      <c r="A180" s="18"/>
      <c r="B180" s="18">
        <v>4016</v>
      </c>
      <c r="C180" s="19" t="s">
        <v>35</v>
      </c>
      <c r="D180" s="1" t="s">
        <v>37</v>
      </c>
      <c r="E180" s="20" t="s">
        <v>0</v>
      </c>
      <c r="F180" s="21">
        <v>37226</v>
      </c>
      <c r="G180" s="22">
        <v>45597</v>
      </c>
      <c r="H180" s="23" t="s">
        <v>1</v>
      </c>
      <c r="I180" s="18" t="s">
        <v>2</v>
      </c>
      <c r="J180" s="24"/>
      <c r="K180" s="17" t="s">
        <v>62</v>
      </c>
      <c r="L180" t="s">
        <v>63</v>
      </c>
      <c r="M180" t="s">
        <v>15</v>
      </c>
      <c r="N180" t="str">
        <f t="shared" si="48"/>
        <v>https://api.bcb.gov.br/dados/serie/bcdata.sgs.4016/dados?formato=json</v>
      </c>
      <c r="O180">
        <v>7</v>
      </c>
      <c r="P180" t="s">
        <v>19</v>
      </c>
      <c r="Q180" t="s">
        <v>19</v>
      </c>
      <c r="R180" t="str">
        <f t="shared" si="49"/>
        <v>Setor público consolidado</v>
      </c>
      <c r="S180" t="s">
        <v>64</v>
      </c>
    </row>
    <row r="181" spans="1:19" x14ac:dyDescent="0.25">
      <c r="A181" s="18"/>
      <c r="B181" s="18">
        <v>4017</v>
      </c>
      <c r="C181" s="19" t="s">
        <v>61</v>
      </c>
      <c r="D181" s="1" t="s">
        <v>37</v>
      </c>
      <c r="E181" s="20" t="s">
        <v>0</v>
      </c>
      <c r="F181" s="21">
        <v>33269</v>
      </c>
      <c r="G181" s="22">
        <v>45597</v>
      </c>
      <c r="H181" s="23" t="s">
        <v>1</v>
      </c>
      <c r="I181" s="18" t="s">
        <v>2</v>
      </c>
      <c r="J181" s="24"/>
      <c r="K181" s="17" t="s">
        <v>69</v>
      </c>
      <c r="L181" t="s">
        <v>63</v>
      </c>
      <c r="M181" t="s">
        <v>15</v>
      </c>
      <c r="N181" t="str">
        <f t="shared" ref="N181:N191" si="50">_xlfn.CONCAT("https://api.bcb.gov.br/dados/serie/bcdata.sgs.",B181,"/dados?formato=json")</f>
        <v>https://api.bcb.gov.br/dados/serie/bcdata.sgs.4017/dados?formato=json</v>
      </c>
      <c r="O181">
        <v>7</v>
      </c>
      <c r="P181" t="s">
        <v>19</v>
      </c>
      <c r="Q181" t="s">
        <v>19</v>
      </c>
      <c r="R181" t="str">
        <f t="shared" ref="R181:R191" si="51">C181</f>
        <v>Governo Federal e Banco Cental</v>
      </c>
      <c r="S181" t="s">
        <v>64</v>
      </c>
    </row>
    <row r="182" spans="1:19" x14ac:dyDescent="0.25">
      <c r="A182" s="8"/>
      <c r="B182" s="8">
        <v>4018</v>
      </c>
      <c r="C182" s="9" t="s">
        <v>65</v>
      </c>
      <c r="D182" s="1" t="s">
        <v>37</v>
      </c>
      <c r="E182" s="10" t="s">
        <v>0</v>
      </c>
      <c r="F182" s="11">
        <v>36161</v>
      </c>
      <c r="G182" s="12">
        <v>45597</v>
      </c>
      <c r="H182" s="13" t="s">
        <v>1</v>
      </c>
      <c r="I182" s="8" t="s">
        <v>2</v>
      </c>
      <c r="J182" s="14"/>
      <c r="K182" s="17" t="s">
        <v>69</v>
      </c>
      <c r="L182" t="s">
        <v>63</v>
      </c>
      <c r="M182" t="s">
        <v>15</v>
      </c>
      <c r="N182" t="str">
        <f t="shared" si="50"/>
        <v>https://api.bcb.gov.br/dados/serie/bcdata.sgs.4018/dados?formato=json</v>
      </c>
      <c r="O182">
        <v>7</v>
      </c>
      <c r="P182" t="s">
        <v>19</v>
      </c>
      <c r="Q182" t="s">
        <v>19</v>
      </c>
      <c r="R182" t="str">
        <f t="shared" si="51"/>
        <v>NFSP sem desvalorização cambial - Fluxo mensal corrente (u.m.c.) - Resultado nominal - Interna - Governo Federal</v>
      </c>
      <c r="S182" t="s">
        <v>64</v>
      </c>
    </row>
    <row r="183" spans="1:19" x14ac:dyDescent="0.25">
      <c r="A183" s="1"/>
      <c r="B183" s="1">
        <v>4019</v>
      </c>
      <c r="C183" s="2" t="s">
        <v>66</v>
      </c>
      <c r="D183" s="1" t="s">
        <v>37</v>
      </c>
      <c r="E183" s="3" t="s">
        <v>0</v>
      </c>
      <c r="F183" s="4">
        <v>36161</v>
      </c>
      <c r="G183" s="5">
        <v>45597</v>
      </c>
      <c r="H183" s="6" t="s">
        <v>1</v>
      </c>
      <c r="I183" s="1" t="s">
        <v>2</v>
      </c>
      <c r="J183" s="7"/>
      <c r="K183" s="17" t="s">
        <v>69</v>
      </c>
      <c r="L183" t="s">
        <v>63</v>
      </c>
      <c r="M183" t="s">
        <v>15</v>
      </c>
      <c r="N183" t="str">
        <f t="shared" si="50"/>
        <v>https://api.bcb.gov.br/dados/serie/bcdata.sgs.4019/dados?formato=json</v>
      </c>
      <c r="O183">
        <v>7</v>
      </c>
      <c r="P183" t="s">
        <v>19</v>
      </c>
      <c r="Q183" t="s">
        <v>19</v>
      </c>
      <c r="R183" t="str">
        <f t="shared" si="51"/>
        <v>NFSP sem desvalorização cambial - Fluxo mensal corrente (u.m.c.) - Resultado nominal - Interna - Banco Central</v>
      </c>
      <c r="S183" t="s">
        <v>64</v>
      </c>
    </row>
    <row r="184" spans="1:19" x14ac:dyDescent="0.25">
      <c r="A184" s="8"/>
      <c r="B184" s="8">
        <v>4020</v>
      </c>
      <c r="C184" s="9" t="s">
        <v>28</v>
      </c>
      <c r="D184" s="1" t="s">
        <v>37</v>
      </c>
      <c r="E184" s="10" t="s">
        <v>0</v>
      </c>
      <c r="F184" s="11">
        <v>33269</v>
      </c>
      <c r="G184" s="12">
        <v>45597</v>
      </c>
      <c r="H184" s="13" t="s">
        <v>1</v>
      </c>
      <c r="I184" s="8" t="s">
        <v>2</v>
      </c>
      <c r="J184" s="14"/>
      <c r="K184" s="17" t="s">
        <v>69</v>
      </c>
      <c r="L184" t="s">
        <v>63</v>
      </c>
      <c r="M184" t="s">
        <v>15</v>
      </c>
      <c r="N184" t="str">
        <f t="shared" si="50"/>
        <v>https://api.bcb.gov.br/dados/serie/bcdata.sgs.4020/dados?formato=json</v>
      </c>
      <c r="O184">
        <v>7</v>
      </c>
      <c r="P184" t="s">
        <v>19</v>
      </c>
      <c r="Q184" t="s">
        <v>19</v>
      </c>
      <c r="R184" t="str">
        <f t="shared" si="51"/>
        <v>Governos estaduais e municipais</v>
      </c>
      <c r="S184" t="s">
        <v>64</v>
      </c>
    </row>
    <row r="185" spans="1:19" x14ac:dyDescent="0.25">
      <c r="A185" s="1"/>
      <c r="B185" s="1">
        <v>4021</v>
      </c>
      <c r="C185" s="2" t="s">
        <v>67</v>
      </c>
      <c r="D185" s="1" t="s">
        <v>37</v>
      </c>
      <c r="E185" s="3" t="s">
        <v>0</v>
      </c>
      <c r="F185" s="4">
        <v>35796</v>
      </c>
      <c r="G185" s="5">
        <v>45597</v>
      </c>
      <c r="H185" s="6" t="s">
        <v>1</v>
      </c>
      <c r="I185" s="1" t="s">
        <v>2</v>
      </c>
      <c r="J185" s="7"/>
      <c r="K185" s="17" t="s">
        <v>69</v>
      </c>
      <c r="L185" t="s">
        <v>63</v>
      </c>
      <c r="M185" t="s">
        <v>15</v>
      </c>
      <c r="N185" t="str">
        <f t="shared" si="50"/>
        <v>https://api.bcb.gov.br/dados/serie/bcdata.sgs.4021/dados?formato=json</v>
      </c>
      <c r="O185">
        <v>7</v>
      </c>
      <c r="P185" t="s">
        <v>19</v>
      </c>
      <c r="Q185" t="s">
        <v>19</v>
      </c>
      <c r="R185" t="str">
        <f t="shared" si="51"/>
        <v>NFSP sem desvalorização cambial - Fluxo mensal corrente (u.m.c.) - Resultado nominal - Interna - Governos estaduais</v>
      </c>
      <c r="S185" t="s">
        <v>64</v>
      </c>
    </row>
    <row r="186" spans="1:19" x14ac:dyDescent="0.25">
      <c r="A186" s="8"/>
      <c r="B186" s="8">
        <v>4022</v>
      </c>
      <c r="C186" s="9" t="s">
        <v>68</v>
      </c>
      <c r="D186" s="1" t="s">
        <v>37</v>
      </c>
      <c r="E186" s="10" t="s">
        <v>0</v>
      </c>
      <c r="F186" s="11">
        <v>35796</v>
      </c>
      <c r="G186" s="12">
        <v>45597</v>
      </c>
      <c r="H186" s="13" t="s">
        <v>1</v>
      </c>
      <c r="I186" s="8" t="s">
        <v>2</v>
      </c>
      <c r="J186" s="14"/>
      <c r="K186" s="17" t="s">
        <v>69</v>
      </c>
      <c r="L186" t="s">
        <v>63</v>
      </c>
      <c r="M186" t="s">
        <v>15</v>
      </c>
      <c r="N186" t="str">
        <f t="shared" si="50"/>
        <v>https://api.bcb.gov.br/dados/serie/bcdata.sgs.4022/dados?formato=json</v>
      </c>
      <c r="O186">
        <v>7</v>
      </c>
      <c r="P186" t="s">
        <v>19</v>
      </c>
      <c r="Q186" t="s">
        <v>19</v>
      </c>
      <c r="R186" t="str">
        <f t="shared" si="51"/>
        <v>NFSP sem desvalorização cambial - Fluxo mensal corrente (u.m.c.) - Resultado nominal - Interna - Governos municipais</v>
      </c>
      <c r="S186" t="s">
        <v>64</v>
      </c>
    </row>
    <row r="187" spans="1:19" x14ac:dyDescent="0.25">
      <c r="A187" s="1"/>
      <c r="B187" s="1">
        <v>4023</v>
      </c>
      <c r="C187" s="2" t="s">
        <v>31</v>
      </c>
      <c r="D187" s="1" t="s">
        <v>37</v>
      </c>
      <c r="E187" s="3" t="s">
        <v>0</v>
      </c>
      <c r="F187" s="4">
        <v>37226</v>
      </c>
      <c r="G187" s="5">
        <v>45597</v>
      </c>
      <c r="H187" s="6" t="s">
        <v>1</v>
      </c>
      <c r="I187" s="1" t="s">
        <v>2</v>
      </c>
      <c r="J187" s="7"/>
      <c r="K187" s="17" t="s">
        <v>69</v>
      </c>
      <c r="L187" t="s">
        <v>63</v>
      </c>
      <c r="M187" t="s">
        <v>15</v>
      </c>
      <c r="N187" t="str">
        <f t="shared" si="50"/>
        <v>https://api.bcb.gov.br/dados/serie/bcdata.sgs.4023/dados?formato=json</v>
      </c>
      <c r="O187">
        <v>7</v>
      </c>
      <c r="P187" t="s">
        <v>19</v>
      </c>
      <c r="Q187" t="s">
        <v>19</v>
      </c>
      <c r="R187" t="str">
        <f t="shared" si="51"/>
        <v>Empresas estatais</v>
      </c>
      <c r="S187" t="s">
        <v>64</v>
      </c>
    </row>
    <row r="188" spans="1:19" x14ac:dyDescent="0.25">
      <c r="A188" s="8"/>
      <c r="B188" s="8">
        <v>4024</v>
      </c>
      <c r="C188" s="9" t="s">
        <v>289</v>
      </c>
      <c r="D188" s="1" t="s">
        <v>37</v>
      </c>
      <c r="E188" s="10" t="s">
        <v>0</v>
      </c>
      <c r="F188" s="11">
        <v>37226</v>
      </c>
      <c r="G188" s="12">
        <v>45597</v>
      </c>
      <c r="H188" s="13" t="s">
        <v>1</v>
      </c>
      <c r="I188" s="8" t="s">
        <v>2</v>
      </c>
      <c r="J188" s="14"/>
      <c r="K188" s="17" t="s">
        <v>69</v>
      </c>
      <c r="L188" t="s">
        <v>63</v>
      </c>
      <c r="M188" t="s">
        <v>15</v>
      </c>
      <c r="N188" t="str">
        <f t="shared" si="50"/>
        <v>https://api.bcb.gov.br/dados/serie/bcdata.sgs.4024/dados?formato=json</v>
      </c>
      <c r="O188">
        <v>7</v>
      </c>
      <c r="P188" t="s">
        <v>19</v>
      </c>
      <c r="Q188" t="s">
        <v>19</v>
      </c>
      <c r="R188" t="str">
        <f t="shared" si="51"/>
        <v>NFSP sem desvalorização cambial - Fluxo mensal corrente (u.m.c.) - Resultado nominal - Interna - Empresas estatais federais</v>
      </c>
      <c r="S188" t="s">
        <v>64</v>
      </c>
    </row>
    <row r="189" spans="1:19" x14ac:dyDescent="0.25">
      <c r="A189" s="1"/>
      <c r="B189" s="1">
        <v>4025</v>
      </c>
      <c r="C189" s="2" t="s">
        <v>291</v>
      </c>
      <c r="D189" s="1" t="s">
        <v>37</v>
      </c>
      <c r="E189" s="3" t="s">
        <v>0</v>
      </c>
      <c r="F189" s="4">
        <v>35796</v>
      </c>
      <c r="G189" s="5">
        <v>45597</v>
      </c>
      <c r="H189" s="6" t="s">
        <v>1</v>
      </c>
      <c r="I189" s="1" t="s">
        <v>2</v>
      </c>
      <c r="J189" s="7"/>
      <c r="K189" s="17" t="s">
        <v>69</v>
      </c>
      <c r="L189" t="s">
        <v>63</v>
      </c>
      <c r="M189" t="s">
        <v>15</v>
      </c>
      <c r="N189" t="str">
        <f t="shared" si="50"/>
        <v>https://api.bcb.gov.br/dados/serie/bcdata.sgs.4025/dados?formato=json</v>
      </c>
      <c r="O189">
        <v>7</v>
      </c>
      <c r="P189" t="s">
        <v>19</v>
      </c>
      <c r="Q189" t="s">
        <v>19</v>
      </c>
      <c r="R189" t="str">
        <f t="shared" si="51"/>
        <v>NFSP sem desvalorização cambial - Fluxo mensal corrente (u.m.c.) - Resultado nominal - Interna - Empresas estatais estaduais</v>
      </c>
      <c r="S189" t="s">
        <v>64</v>
      </c>
    </row>
    <row r="190" spans="1:19" x14ac:dyDescent="0.25">
      <c r="A190" s="8"/>
      <c r="B190" s="8">
        <v>4026</v>
      </c>
      <c r="C190" s="9" t="s">
        <v>296</v>
      </c>
      <c r="D190" s="1" t="s">
        <v>37</v>
      </c>
      <c r="E190" s="10" t="s">
        <v>0</v>
      </c>
      <c r="F190" s="11">
        <v>35796</v>
      </c>
      <c r="G190" s="12">
        <v>45597</v>
      </c>
      <c r="H190" s="13" t="s">
        <v>1</v>
      </c>
      <c r="I190" s="8" t="s">
        <v>2</v>
      </c>
      <c r="J190" s="14"/>
      <c r="K190" s="17" t="s">
        <v>69</v>
      </c>
      <c r="L190" t="s">
        <v>63</v>
      </c>
      <c r="M190" t="s">
        <v>15</v>
      </c>
      <c r="N190" t="str">
        <f t="shared" si="50"/>
        <v>https://api.bcb.gov.br/dados/serie/bcdata.sgs.4026/dados?formato=json</v>
      </c>
      <c r="O190">
        <v>7</v>
      </c>
      <c r="P190" t="s">
        <v>19</v>
      </c>
      <c r="Q190" t="s">
        <v>19</v>
      </c>
      <c r="R190" t="str">
        <f t="shared" si="51"/>
        <v>NFSP sem desvalorização cambial - Fluxo mensal corrente (u.m.c.) - Resultado nominal - Interna - Empresas estatais municipais</v>
      </c>
      <c r="S190" t="s">
        <v>64</v>
      </c>
    </row>
    <row r="191" spans="1:19" x14ac:dyDescent="0.25">
      <c r="A191" s="1"/>
      <c r="B191" s="1">
        <v>4027</v>
      </c>
      <c r="C191" s="2" t="s">
        <v>35</v>
      </c>
      <c r="D191" s="1" t="s">
        <v>37</v>
      </c>
      <c r="E191" s="3" t="s">
        <v>0</v>
      </c>
      <c r="F191" s="4">
        <v>37226</v>
      </c>
      <c r="G191" s="5">
        <v>45597</v>
      </c>
      <c r="H191" s="6" t="s">
        <v>1</v>
      </c>
      <c r="I191" s="1" t="s">
        <v>2</v>
      </c>
      <c r="J191" s="7"/>
      <c r="K191" s="17" t="s">
        <v>69</v>
      </c>
      <c r="L191" t="s">
        <v>63</v>
      </c>
      <c r="M191" t="s">
        <v>15</v>
      </c>
      <c r="N191" t="str">
        <f t="shared" si="50"/>
        <v>https://api.bcb.gov.br/dados/serie/bcdata.sgs.4027/dados?formato=json</v>
      </c>
      <c r="O191">
        <v>7</v>
      </c>
      <c r="P191" t="s">
        <v>19</v>
      </c>
      <c r="Q191" t="s">
        <v>19</v>
      </c>
      <c r="R191" t="str">
        <f t="shared" si="51"/>
        <v>Setor público consolidado</v>
      </c>
      <c r="S191" t="s">
        <v>64</v>
      </c>
    </row>
    <row r="192" spans="1:19" x14ac:dyDescent="0.25">
      <c r="A192" s="1"/>
      <c r="B192" s="1">
        <v>4028</v>
      </c>
      <c r="C192" s="2" t="s">
        <v>61</v>
      </c>
      <c r="D192" s="1" t="s">
        <v>37</v>
      </c>
      <c r="E192" s="3" t="s">
        <v>0</v>
      </c>
      <c r="F192" s="4">
        <v>33269</v>
      </c>
      <c r="G192" s="5">
        <v>45597</v>
      </c>
      <c r="H192" s="6" t="s">
        <v>1</v>
      </c>
      <c r="I192" s="1" t="s">
        <v>2</v>
      </c>
      <c r="J192" s="7"/>
      <c r="K192" s="17" t="s">
        <v>74</v>
      </c>
      <c r="L192" t="s">
        <v>63</v>
      </c>
      <c r="M192" t="s">
        <v>15</v>
      </c>
      <c r="N192" t="str">
        <f t="shared" ref="N192:N202" si="52">_xlfn.CONCAT("https://api.bcb.gov.br/dados/serie/bcdata.sgs.",B192,"/dados?formato=json")</f>
        <v>https://api.bcb.gov.br/dados/serie/bcdata.sgs.4028/dados?formato=json</v>
      </c>
      <c r="O192">
        <v>7</v>
      </c>
      <c r="P192" t="s">
        <v>19</v>
      </c>
      <c r="Q192" t="s">
        <v>19</v>
      </c>
      <c r="R192" t="str">
        <f t="shared" ref="R192:R202" si="53">C192</f>
        <v>Governo Federal e Banco Cental</v>
      </c>
      <c r="S192" t="s">
        <v>64</v>
      </c>
    </row>
    <row r="193" spans="1:19" x14ac:dyDescent="0.25">
      <c r="A193" s="8"/>
      <c r="B193" s="8">
        <v>4029</v>
      </c>
      <c r="C193" s="9" t="s">
        <v>70</v>
      </c>
      <c r="D193" s="1" t="s">
        <v>37</v>
      </c>
      <c r="E193" s="10" t="s">
        <v>0</v>
      </c>
      <c r="F193" s="11">
        <v>36161</v>
      </c>
      <c r="G193" s="12">
        <v>45597</v>
      </c>
      <c r="H193" s="13" t="s">
        <v>1</v>
      </c>
      <c r="I193" s="8" t="s">
        <v>2</v>
      </c>
      <c r="J193" s="14"/>
      <c r="K193" s="17" t="s">
        <v>74</v>
      </c>
      <c r="L193" t="s">
        <v>63</v>
      </c>
      <c r="M193" t="s">
        <v>15</v>
      </c>
      <c r="N193" t="str">
        <f t="shared" si="52"/>
        <v>https://api.bcb.gov.br/dados/serie/bcdata.sgs.4029/dados?formato=json</v>
      </c>
      <c r="O193">
        <v>7</v>
      </c>
      <c r="P193" t="s">
        <v>19</v>
      </c>
      <c r="Q193" t="s">
        <v>19</v>
      </c>
      <c r="R193" t="str">
        <f t="shared" si="53"/>
        <v>NFSP sem desvalorização cambial - Fluxo mensal corrente (u.m.c.) - Resultado nominal - Externa - Governo Federal</v>
      </c>
      <c r="S193" t="s">
        <v>64</v>
      </c>
    </row>
    <row r="194" spans="1:19" x14ac:dyDescent="0.25">
      <c r="A194" s="1"/>
      <c r="B194" s="1">
        <v>4030</v>
      </c>
      <c r="C194" s="2" t="s">
        <v>71</v>
      </c>
      <c r="D194" s="1" t="s">
        <v>37</v>
      </c>
      <c r="E194" s="3" t="s">
        <v>0</v>
      </c>
      <c r="F194" s="4">
        <v>36161</v>
      </c>
      <c r="G194" s="5">
        <v>45597</v>
      </c>
      <c r="H194" s="6" t="s">
        <v>1</v>
      </c>
      <c r="I194" s="1" t="s">
        <v>2</v>
      </c>
      <c r="J194" s="7"/>
      <c r="K194" s="17" t="s">
        <v>74</v>
      </c>
      <c r="L194" t="s">
        <v>63</v>
      </c>
      <c r="M194" t="s">
        <v>15</v>
      </c>
      <c r="N194" t="str">
        <f t="shared" si="52"/>
        <v>https://api.bcb.gov.br/dados/serie/bcdata.sgs.4030/dados?formato=json</v>
      </c>
      <c r="O194">
        <v>7</v>
      </c>
      <c r="P194" t="s">
        <v>19</v>
      </c>
      <c r="Q194" t="s">
        <v>19</v>
      </c>
      <c r="R194" t="str">
        <f t="shared" si="53"/>
        <v>NFSP sem desvalorização cambial - Fluxo mensal corrente (u.m.c.) - Resultado nominal - Externa - Banco Central</v>
      </c>
      <c r="S194" t="s">
        <v>64</v>
      </c>
    </row>
    <row r="195" spans="1:19" x14ac:dyDescent="0.25">
      <c r="A195" s="8"/>
      <c r="B195" s="8">
        <v>4031</v>
      </c>
      <c r="C195" s="9" t="s">
        <v>28</v>
      </c>
      <c r="D195" s="1" t="s">
        <v>37</v>
      </c>
      <c r="E195" s="10" t="s">
        <v>0</v>
      </c>
      <c r="F195" s="11">
        <v>33269</v>
      </c>
      <c r="G195" s="12">
        <v>45597</v>
      </c>
      <c r="H195" s="13" t="s">
        <v>1</v>
      </c>
      <c r="I195" s="8" t="s">
        <v>2</v>
      </c>
      <c r="J195" s="14"/>
      <c r="K195" s="17" t="s">
        <v>74</v>
      </c>
      <c r="L195" t="s">
        <v>63</v>
      </c>
      <c r="M195" t="s">
        <v>15</v>
      </c>
      <c r="N195" t="str">
        <f t="shared" si="52"/>
        <v>https://api.bcb.gov.br/dados/serie/bcdata.sgs.4031/dados?formato=json</v>
      </c>
      <c r="O195">
        <v>7</v>
      </c>
      <c r="P195" t="s">
        <v>19</v>
      </c>
      <c r="Q195" t="s">
        <v>19</v>
      </c>
      <c r="R195" t="str">
        <f t="shared" si="53"/>
        <v>Governos estaduais e municipais</v>
      </c>
      <c r="S195" t="s">
        <v>64</v>
      </c>
    </row>
    <row r="196" spans="1:19" x14ac:dyDescent="0.25">
      <c r="A196" s="1"/>
      <c r="B196" s="1">
        <v>4032</v>
      </c>
      <c r="C196" s="2" t="s">
        <v>72</v>
      </c>
      <c r="D196" s="1" t="s">
        <v>37</v>
      </c>
      <c r="E196" s="3" t="s">
        <v>0</v>
      </c>
      <c r="F196" s="4">
        <v>35796</v>
      </c>
      <c r="G196" s="5">
        <v>45597</v>
      </c>
      <c r="H196" s="6" t="s">
        <v>1</v>
      </c>
      <c r="I196" s="1" t="s">
        <v>2</v>
      </c>
      <c r="J196" s="7"/>
      <c r="K196" s="17" t="s">
        <v>74</v>
      </c>
      <c r="L196" t="s">
        <v>63</v>
      </c>
      <c r="M196" t="s">
        <v>15</v>
      </c>
      <c r="N196" t="str">
        <f t="shared" si="52"/>
        <v>https://api.bcb.gov.br/dados/serie/bcdata.sgs.4032/dados?formato=json</v>
      </c>
      <c r="O196">
        <v>7</v>
      </c>
      <c r="P196" t="s">
        <v>19</v>
      </c>
      <c r="Q196" t="s">
        <v>19</v>
      </c>
      <c r="R196" t="str">
        <f t="shared" si="53"/>
        <v>NFSP sem desvalorização cambial - Fluxo mensal corrente (u.m.c.) - Resultado nominal - Externa - Governos estaduais</v>
      </c>
      <c r="S196" t="s">
        <v>64</v>
      </c>
    </row>
    <row r="197" spans="1:19" x14ac:dyDescent="0.25">
      <c r="A197" s="8"/>
      <c r="B197" s="8">
        <v>4033</v>
      </c>
      <c r="C197" s="9" t="s">
        <v>73</v>
      </c>
      <c r="D197" s="1" t="s">
        <v>37</v>
      </c>
      <c r="E197" s="10" t="s">
        <v>0</v>
      </c>
      <c r="F197" s="11">
        <v>35796</v>
      </c>
      <c r="G197" s="12">
        <v>45597</v>
      </c>
      <c r="H197" s="13" t="s">
        <v>1</v>
      </c>
      <c r="I197" s="8" t="s">
        <v>2</v>
      </c>
      <c r="J197" s="14"/>
      <c r="K197" s="17" t="s">
        <v>74</v>
      </c>
      <c r="L197" t="s">
        <v>63</v>
      </c>
      <c r="M197" t="s">
        <v>15</v>
      </c>
      <c r="N197" t="str">
        <f t="shared" si="52"/>
        <v>https://api.bcb.gov.br/dados/serie/bcdata.sgs.4033/dados?formato=json</v>
      </c>
      <c r="O197">
        <v>7</v>
      </c>
      <c r="P197" t="s">
        <v>19</v>
      </c>
      <c r="Q197" t="s">
        <v>19</v>
      </c>
      <c r="R197" t="str">
        <f t="shared" si="53"/>
        <v>NFSP sem desvalorização cambial - Fluxo mensal corrente (u.m.c.) - Resultado nominal - Externa - Governos municipais</v>
      </c>
      <c r="S197" t="s">
        <v>64</v>
      </c>
    </row>
    <row r="198" spans="1:19" x14ac:dyDescent="0.25">
      <c r="A198" s="1"/>
      <c r="B198" s="1">
        <v>4034</v>
      </c>
      <c r="C198" s="2" t="s">
        <v>31</v>
      </c>
      <c r="D198" s="1" t="s">
        <v>37</v>
      </c>
      <c r="E198" s="3" t="s">
        <v>0</v>
      </c>
      <c r="F198" s="4">
        <v>37226</v>
      </c>
      <c r="G198" s="5">
        <v>45597</v>
      </c>
      <c r="H198" s="6" t="s">
        <v>1</v>
      </c>
      <c r="I198" s="1" t="s">
        <v>2</v>
      </c>
      <c r="J198" s="7"/>
      <c r="K198" s="17" t="s">
        <v>74</v>
      </c>
      <c r="L198" t="s">
        <v>63</v>
      </c>
      <c r="M198" t="s">
        <v>15</v>
      </c>
      <c r="N198" t="str">
        <f t="shared" si="52"/>
        <v>https://api.bcb.gov.br/dados/serie/bcdata.sgs.4034/dados?formato=json</v>
      </c>
      <c r="O198">
        <v>7</v>
      </c>
      <c r="P198" t="s">
        <v>19</v>
      </c>
      <c r="Q198" t="s">
        <v>19</v>
      </c>
      <c r="R198" t="str">
        <f t="shared" si="53"/>
        <v>Empresas estatais</v>
      </c>
      <c r="S198" t="s">
        <v>64</v>
      </c>
    </row>
    <row r="199" spans="1:19" x14ac:dyDescent="0.25">
      <c r="A199" s="8"/>
      <c r="B199" s="8">
        <v>4035</v>
      </c>
      <c r="C199" s="9" t="s">
        <v>288</v>
      </c>
      <c r="D199" s="1" t="s">
        <v>37</v>
      </c>
      <c r="E199" s="10" t="s">
        <v>0</v>
      </c>
      <c r="F199" s="11">
        <v>37226</v>
      </c>
      <c r="G199" s="12">
        <v>45597</v>
      </c>
      <c r="H199" s="13" t="s">
        <v>1</v>
      </c>
      <c r="I199" s="8" t="s">
        <v>2</v>
      </c>
      <c r="J199" s="14"/>
      <c r="K199" s="17" t="s">
        <v>74</v>
      </c>
      <c r="L199" t="s">
        <v>63</v>
      </c>
      <c r="M199" t="s">
        <v>15</v>
      </c>
      <c r="N199" t="str">
        <f t="shared" si="52"/>
        <v>https://api.bcb.gov.br/dados/serie/bcdata.sgs.4035/dados?formato=json</v>
      </c>
      <c r="O199">
        <v>7</v>
      </c>
      <c r="P199" t="s">
        <v>19</v>
      </c>
      <c r="Q199" t="s">
        <v>19</v>
      </c>
      <c r="R199" t="str">
        <f t="shared" si="53"/>
        <v>NFSP sem desvalorização cambial - Fluxo mensal corrente (u.m.c.) - Resultado nominal - Externa - Empresas estatais federais</v>
      </c>
      <c r="S199" t="s">
        <v>64</v>
      </c>
    </row>
    <row r="200" spans="1:19" x14ac:dyDescent="0.25">
      <c r="A200" s="1"/>
      <c r="B200" s="1">
        <v>4036</v>
      </c>
      <c r="C200" s="2" t="s">
        <v>292</v>
      </c>
      <c r="D200" s="1" t="s">
        <v>37</v>
      </c>
      <c r="E200" s="3" t="s">
        <v>0</v>
      </c>
      <c r="F200" s="4">
        <v>35796</v>
      </c>
      <c r="G200" s="5">
        <v>45597</v>
      </c>
      <c r="H200" s="6" t="s">
        <v>1</v>
      </c>
      <c r="I200" s="1" t="s">
        <v>2</v>
      </c>
      <c r="J200" s="7"/>
      <c r="K200" s="17" t="s">
        <v>74</v>
      </c>
      <c r="L200" t="s">
        <v>63</v>
      </c>
      <c r="M200" t="s">
        <v>15</v>
      </c>
      <c r="N200" t="str">
        <f t="shared" si="52"/>
        <v>https://api.bcb.gov.br/dados/serie/bcdata.sgs.4036/dados?formato=json</v>
      </c>
      <c r="O200">
        <v>7</v>
      </c>
      <c r="P200" t="s">
        <v>19</v>
      </c>
      <c r="Q200" t="s">
        <v>19</v>
      </c>
      <c r="R200" t="str">
        <f t="shared" si="53"/>
        <v>NFSP sem desvalorização cambial - Fluxo mensal corrente (u.m.c.) - Resultado nominal - Externa - Empresas estatais estaduais</v>
      </c>
      <c r="S200" t="s">
        <v>64</v>
      </c>
    </row>
    <row r="201" spans="1:19" x14ac:dyDescent="0.25">
      <c r="A201" s="8"/>
      <c r="B201" s="8">
        <v>4037</v>
      </c>
      <c r="C201" s="9" t="s">
        <v>297</v>
      </c>
      <c r="D201" s="1" t="s">
        <v>37</v>
      </c>
      <c r="E201" s="10" t="s">
        <v>0</v>
      </c>
      <c r="F201" s="11">
        <v>35796</v>
      </c>
      <c r="G201" s="12">
        <v>45597</v>
      </c>
      <c r="H201" s="13" t="s">
        <v>1</v>
      </c>
      <c r="I201" s="8" t="s">
        <v>2</v>
      </c>
      <c r="J201" s="14"/>
      <c r="K201" s="17" t="s">
        <v>74</v>
      </c>
      <c r="L201" t="s">
        <v>63</v>
      </c>
      <c r="M201" t="s">
        <v>15</v>
      </c>
      <c r="N201" t="str">
        <f t="shared" si="52"/>
        <v>https://api.bcb.gov.br/dados/serie/bcdata.sgs.4037/dados?formato=json</v>
      </c>
      <c r="O201">
        <v>7</v>
      </c>
      <c r="P201" t="s">
        <v>19</v>
      </c>
      <c r="Q201" t="s">
        <v>19</v>
      </c>
      <c r="R201" t="str">
        <f t="shared" si="53"/>
        <v>NFSP sem desvalorização cambial - Fluxo mensal corrente (u.m.c.) - Resultado nominal - Externa - Empresas estatais municipais</v>
      </c>
      <c r="S201" t="s">
        <v>64</v>
      </c>
    </row>
    <row r="202" spans="1:19" x14ac:dyDescent="0.25">
      <c r="A202" s="1"/>
      <c r="B202" s="1">
        <v>4038</v>
      </c>
      <c r="C202" s="2" t="s">
        <v>35</v>
      </c>
      <c r="D202" s="1" t="s">
        <v>37</v>
      </c>
      <c r="E202" s="3" t="s">
        <v>0</v>
      </c>
      <c r="F202" s="4">
        <v>37226</v>
      </c>
      <c r="G202" s="5">
        <v>45597</v>
      </c>
      <c r="H202" s="6" t="s">
        <v>1</v>
      </c>
      <c r="I202" s="1" t="s">
        <v>2</v>
      </c>
      <c r="J202" s="7"/>
      <c r="K202" s="17" t="s">
        <v>74</v>
      </c>
      <c r="L202" t="s">
        <v>63</v>
      </c>
      <c r="M202" t="s">
        <v>15</v>
      </c>
      <c r="N202" t="str">
        <f t="shared" si="52"/>
        <v>https://api.bcb.gov.br/dados/serie/bcdata.sgs.4038/dados?formato=json</v>
      </c>
      <c r="O202">
        <v>7</v>
      </c>
      <c r="P202" t="s">
        <v>19</v>
      </c>
      <c r="Q202" t="s">
        <v>19</v>
      </c>
      <c r="R202" t="str">
        <f t="shared" si="53"/>
        <v>Setor público consolidado</v>
      </c>
      <c r="S202" t="s">
        <v>64</v>
      </c>
    </row>
    <row r="203" spans="1:19" x14ac:dyDescent="0.25">
      <c r="A203" s="18"/>
      <c r="B203" s="18">
        <v>4039</v>
      </c>
      <c r="C203" s="19" t="s">
        <v>61</v>
      </c>
      <c r="D203" s="1" t="s">
        <v>37</v>
      </c>
      <c r="E203" s="20" t="s">
        <v>0</v>
      </c>
      <c r="F203" s="21">
        <v>33269</v>
      </c>
      <c r="G203" s="22">
        <v>45597</v>
      </c>
      <c r="H203" s="23" t="s">
        <v>1</v>
      </c>
      <c r="I203" s="18" t="s">
        <v>2</v>
      </c>
      <c r="J203" s="24"/>
      <c r="K203" s="17" t="s">
        <v>76</v>
      </c>
      <c r="L203" t="s">
        <v>75</v>
      </c>
      <c r="M203" t="s">
        <v>15</v>
      </c>
      <c r="N203" t="str">
        <f t="shared" ref="N203:N213" si="54">_xlfn.CONCAT("https://api.bcb.gov.br/dados/serie/bcdata.sgs.",B203,"/dados?formato=json")</f>
        <v>https://api.bcb.gov.br/dados/serie/bcdata.sgs.4039/dados?formato=json</v>
      </c>
      <c r="O203">
        <v>7</v>
      </c>
      <c r="P203" t="s">
        <v>19</v>
      </c>
      <c r="Q203" t="s">
        <v>19</v>
      </c>
      <c r="R203" t="str">
        <f t="shared" ref="R203:R213" si="55">C203</f>
        <v>Governo Federal e Banco Cental</v>
      </c>
      <c r="S203" t="s">
        <v>64</v>
      </c>
    </row>
    <row r="204" spans="1:19" x14ac:dyDescent="0.25">
      <c r="A204" s="25"/>
      <c r="B204" s="25">
        <v>4040</v>
      </c>
      <c r="C204" s="26" t="s">
        <v>26</v>
      </c>
      <c r="D204" s="1" t="s">
        <v>37</v>
      </c>
      <c r="E204" s="27" t="s">
        <v>0</v>
      </c>
      <c r="F204" s="28">
        <v>36161</v>
      </c>
      <c r="G204" s="29">
        <v>45597</v>
      </c>
      <c r="H204" s="30" t="s">
        <v>1</v>
      </c>
      <c r="I204" s="25" t="s">
        <v>2</v>
      </c>
      <c r="J204" s="31"/>
      <c r="K204" s="17" t="s">
        <v>76</v>
      </c>
      <c r="L204" t="s">
        <v>75</v>
      </c>
      <c r="M204" t="s">
        <v>15</v>
      </c>
      <c r="N204" t="str">
        <f t="shared" si="54"/>
        <v>https://api.bcb.gov.br/dados/serie/bcdata.sgs.4040/dados?formato=json</v>
      </c>
      <c r="O204">
        <v>7</v>
      </c>
      <c r="P204" t="s">
        <v>19</v>
      </c>
      <c r="Q204" t="s">
        <v>19</v>
      </c>
      <c r="R204" t="str">
        <f t="shared" si="55"/>
        <v>Governo Federal</v>
      </c>
      <c r="S204" t="s">
        <v>64</v>
      </c>
    </row>
    <row r="205" spans="1:19" x14ac:dyDescent="0.25">
      <c r="A205" s="18"/>
      <c r="B205" s="18">
        <v>4041</v>
      </c>
      <c r="C205" s="19" t="s">
        <v>27</v>
      </c>
      <c r="D205" s="1" t="s">
        <v>37</v>
      </c>
      <c r="E205" s="20" t="s">
        <v>0</v>
      </c>
      <c r="F205" s="21">
        <v>36161</v>
      </c>
      <c r="G205" s="22">
        <v>45597</v>
      </c>
      <c r="H205" s="23" t="s">
        <v>1</v>
      </c>
      <c r="I205" s="18" t="s">
        <v>2</v>
      </c>
      <c r="J205" s="24"/>
      <c r="K205" s="17" t="s">
        <v>76</v>
      </c>
      <c r="L205" t="s">
        <v>75</v>
      </c>
      <c r="M205" t="s">
        <v>15</v>
      </c>
      <c r="N205" t="str">
        <f t="shared" si="54"/>
        <v>https://api.bcb.gov.br/dados/serie/bcdata.sgs.4041/dados?formato=json</v>
      </c>
      <c r="O205">
        <v>7</v>
      </c>
      <c r="P205" t="s">
        <v>19</v>
      </c>
      <c r="Q205" t="s">
        <v>19</v>
      </c>
      <c r="R205" t="str">
        <f t="shared" si="55"/>
        <v>Banco Central</v>
      </c>
      <c r="S205" t="s">
        <v>64</v>
      </c>
    </row>
    <row r="206" spans="1:19" x14ac:dyDescent="0.25">
      <c r="A206" s="25"/>
      <c r="B206" s="25">
        <v>4042</v>
      </c>
      <c r="C206" s="26" t="s">
        <v>28</v>
      </c>
      <c r="D206" s="1" t="s">
        <v>37</v>
      </c>
      <c r="E206" s="27" t="s">
        <v>0</v>
      </c>
      <c r="F206" s="28">
        <v>33269</v>
      </c>
      <c r="G206" s="29">
        <v>45597</v>
      </c>
      <c r="H206" s="30" t="s">
        <v>1</v>
      </c>
      <c r="I206" s="25" t="s">
        <v>2</v>
      </c>
      <c r="J206" s="31"/>
      <c r="K206" s="17" t="s">
        <v>76</v>
      </c>
      <c r="L206" t="s">
        <v>75</v>
      </c>
      <c r="M206" t="s">
        <v>15</v>
      </c>
      <c r="N206" t="str">
        <f t="shared" si="54"/>
        <v>https://api.bcb.gov.br/dados/serie/bcdata.sgs.4042/dados?formato=json</v>
      </c>
      <c r="O206">
        <v>7</v>
      </c>
      <c r="P206" t="s">
        <v>19</v>
      </c>
      <c r="Q206" t="s">
        <v>19</v>
      </c>
      <c r="R206" t="str">
        <f t="shared" si="55"/>
        <v>Governos estaduais e municipais</v>
      </c>
      <c r="S206" t="s">
        <v>64</v>
      </c>
    </row>
    <row r="207" spans="1:19" x14ac:dyDescent="0.25">
      <c r="A207" s="18"/>
      <c r="B207" s="18">
        <v>4043</v>
      </c>
      <c r="C207" s="19" t="s">
        <v>29</v>
      </c>
      <c r="D207" s="1" t="s">
        <v>37</v>
      </c>
      <c r="E207" s="20" t="s">
        <v>0</v>
      </c>
      <c r="F207" s="21">
        <v>35796</v>
      </c>
      <c r="G207" s="22">
        <v>45597</v>
      </c>
      <c r="H207" s="23" t="s">
        <v>1</v>
      </c>
      <c r="I207" s="18" t="s">
        <v>2</v>
      </c>
      <c r="J207" s="24"/>
      <c r="K207" s="17" t="s">
        <v>76</v>
      </c>
      <c r="L207" t="s">
        <v>75</v>
      </c>
      <c r="M207" t="s">
        <v>15</v>
      </c>
      <c r="N207" t="str">
        <f t="shared" si="54"/>
        <v>https://api.bcb.gov.br/dados/serie/bcdata.sgs.4043/dados?formato=json</v>
      </c>
      <c r="O207">
        <v>7</v>
      </c>
      <c r="P207" t="s">
        <v>19</v>
      </c>
      <c r="Q207" t="s">
        <v>19</v>
      </c>
      <c r="R207" t="str">
        <f t="shared" si="55"/>
        <v>Governos estaduais</v>
      </c>
      <c r="S207" t="s">
        <v>64</v>
      </c>
    </row>
    <row r="208" spans="1:19" x14ac:dyDescent="0.25">
      <c r="A208" s="25"/>
      <c r="B208" s="25">
        <v>4044</v>
      </c>
      <c r="C208" s="26" t="s">
        <v>30</v>
      </c>
      <c r="D208" s="1" t="s">
        <v>37</v>
      </c>
      <c r="E208" s="27" t="s">
        <v>0</v>
      </c>
      <c r="F208" s="28">
        <v>35796</v>
      </c>
      <c r="G208" s="29">
        <v>45597</v>
      </c>
      <c r="H208" s="30" t="s">
        <v>1</v>
      </c>
      <c r="I208" s="25" t="s">
        <v>2</v>
      </c>
      <c r="J208" s="31"/>
      <c r="K208" s="17" t="s">
        <v>76</v>
      </c>
      <c r="L208" t="s">
        <v>75</v>
      </c>
      <c r="M208" t="s">
        <v>15</v>
      </c>
      <c r="N208" t="str">
        <f t="shared" si="54"/>
        <v>https://api.bcb.gov.br/dados/serie/bcdata.sgs.4044/dados?formato=json</v>
      </c>
      <c r="O208">
        <v>7</v>
      </c>
      <c r="P208" t="s">
        <v>19</v>
      </c>
      <c r="Q208" t="s">
        <v>19</v>
      </c>
      <c r="R208" t="str">
        <f t="shared" si="55"/>
        <v>Governos municipais</v>
      </c>
      <c r="S208" t="s">
        <v>64</v>
      </c>
    </row>
    <row r="209" spans="1:19" x14ac:dyDescent="0.25">
      <c r="A209" s="18"/>
      <c r="B209" s="18">
        <v>4045</v>
      </c>
      <c r="C209" s="19" t="s">
        <v>31</v>
      </c>
      <c r="D209" s="1" t="s">
        <v>37</v>
      </c>
      <c r="E209" s="20" t="s">
        <v>0</v>
      </c>
      <c r="F209" s="21">
        <v>37226</v>
      </c>
      <c r="G209" s="22">
        <v>45597</v>
      </c>
      <c r="H209" s="23" t="s">
        <v>1</v>
      </c>
      <c r="I209" s="18" t="s">
        <v>2</v>
      </c>
      <c r="J209" s="24"/>
      <c r="K209" s="17" t="s">
        <v>76</v>
      </c>
      <c r="L209" t="s">
        <v>75</v>
      </c>
      <c r="M209" t="s">
        <v>15</v>
      </c>
      <c r="N209" t="str">
        <f t="shared" si="54"/>
        <v>https://api.bcb.gov.br/dados/serie/bcdata.sgs.4045/dados?formato=json</v>
      </c>
      <c r="O209">
        <v>7</v>
      </c>
      <c r="P209" t="s">
        <v>19</v>
      </c>
      <c r="Q209" t="s">
        <v>19</v>
      </c>
      <c r="R209" t="str">
        <f t="shared" si="55"/>
        <v>Empresas estatais</v>
      </c>
      <c r="S209" t="s">
        <v>64</v>
      </c>
    </row>
    <row r="210" spans="1:19" x14ac:dyDescent="0.25">
      <c r="A210" s="25"/>
      <c r="B210" s="25">
        <v>4046</v>
      </c>
      <c r="C210" s="26" t="s">
        <v>32</v>
      </c>
      <c r="D210" s="1" t="s">
        <v>37</v>
      </c>
      <c r="E210" s="27" t="s">
        <v>0</v>
      </c>
      <c r="F210" s="28">
        <v>37226</v>
      </c>
      <c r="G210" s="29">
        <v>45597</v>
      </c>
      <c r="H210" s="30" t="s">
        <v>1</v>
      </c>
      <c r="I210" s="25" t="s">
        <v>2</v>
      </c>
      <c r="J210" s="31"/>
      <c r="K210" s="17" t="s">
        <v>76</v>
      </c>
      <c r="L210" t="s">
        <v>75</v>
      </c>
      <c r="M210" t="s">
        <v>15</v>
      </c>
      <c r="N210" t="str">
        <f t="shared" si="54"/>
        <v>https://api.bcb.gov.br/dados/serie/bcdata.sgs.4046/dados?formato=json</v>
      </c>
      <c r="O210">
        <v>7</v>
      </c>
      <c r="P210" t="s">
        <v>19</v>
      </c>
      <c r="Q210" t="s">
        <v>19</v>
      </c>
      <c r="R210" t="str">
        <f t="shared" si="55"/>
        <v>Empresas estatais federais</v>
      </c>
      <c r="S210" t="s">
        <v>64</v>
      </c>
    </row>
    <row r="211" spans="1:19" x14ac:dyDescent="0.25">
      <c r="A211" s="18"/>
      <c r="B211" s="18">
        <v>4047</v>
      </c>
      <c r="C211" s="19" t="s">
        <v>33</v>
      </c>
      <c r="D211" s="1" t="s">
        <v>37</v>
      </c>
      <c r="E211" s="20" t="s">
        <v>0</v>
      </c>
      <c r="F211" s="21">
        <v>35796</v>
      </c>
      <c r="G211" s="22">
        <v>45597</v>
      </c>
      <c r="H211" s="23" t="s">
        <v>1</v>
      </c>
      <c r="I211" s="18" t="s">
        <v>2</v>
      </c>
      <c r="J211" s="24"/>
      <c r="K211" s="17" t="s">
        <v>76</v>
      </c>
      <c r="L211" t="s">
        <v>75</v>
      </c>
      <c r="M211" t="s">
        <v>15</v>
      </c>
      <c r="N211" t="str">
        <f t="shared" si="54"/>
        <v>https://api.bcb.gov.br/dados/serie/bcdata.sgs.4047/dados?formato=json</v>
      </c>
      <c r="O211">
        <v>7</v>
      </c>
      <c r="P211" t="s">
        <v>19</v>
      </c>
      <c r="Q211" t="s">
        <v>19</v>
      </c>
      <c r="R211" t="str">
        <f t="shared" si="55"/>
        <v>Empresas estatais estaduais</v>
      </c>
      <c r="S211" t="s">
        <v>64</v>
      </c>
    </row>
    <row r="212" spans="1:19" x14ac:dyDescent="0.25">
      <c r="A212" s="25"/>
      <c r="B212" s="25">
        <v>4048</v>
      </c>
      <c r="C212" s="26" t="s">
        <v>34</v>
      </c>
      <c r="D212" s="1" t="s">
        <v>37</v>
      </c>
      <c r="E212" s="27" t="s">
        <v>0</v>
      </c>
      <c r="F212" s="28">
        <v>35796</v>
      </c>
      <c r="G212" s="29">
        <v>45597</v>
      </c>
      <c r="H212" s="30" t="s">
        <v>1</v>
      </c>
      <c r="I212" s="25" t="s">
        <v>2</v>
      </c>
      <c r="J212" s="31"/>
      <c r="K212" s="17" t="s">
        <v>76</v>
      </c>
      <c r="L212" t="s">
        <v>75</v>
      </c>
      <c r="M212" t="s">
        <v>15</v>
      </c>
      <c r="N212" t="str">
        <f t="shared" si="54"/>
        <v>https://api.bcb.gov.br/dados/serie/bcdata.sgs.4048/dados?formato=json</v>
      </c>
      <c r="O212">
        <v>7</v>
      </c>
      <c r="P212" t="s">
        <v>19</v>
      </c>
      <c r="Q212" t="s">
        <v>19</v>
      </c>
      <c r="R212" t="str">
        <f t="shared" si="55"/>
        <v>Empresas estatais municipais</v>
      </c>
      <c r="S212" t="s">
        <v>64</v>
      </c>
    </row>
    <row r="213" spans="1:19" x14ac:dyDescent="0.25">
      <c r="A213" s="18"/>
      <c r="B213" s="18">
        <v>4049</v>
      </c>
      <c r="C213" s="19" t="s">
        <v>35</v>
      </c>
      <c r="D213" s="1" t="s">
        <v>37</v>
      </c>
      <c r="E213" s="20" t="s">
        <v>0</v>
      </c>
      <c r="F213" s="21">
        <v>37226</v>
      </c>
      <c r="G213" s="22">
        <v>45597</v>
      </c>
      <c r="H213" s="23" t="s">
        <v>1</v>
      </c>
      <c r="I213" s="18" t="s">
        <v>2</v>
      </c>
      <c r="J213" s="24"/>
      <c r="K213" s="17" t="s">
        <v>76</v>
      </c>
      <c r="L213" t="s">
        <v>75</v>
      </c>
      <c r="M213" t="s">
        <v>15</v>
      </c>
      <c r="N213" t="str">
        <f t="shared" si="54"/>
        <v>https://api.bcb.gov.br/dados/serie/bcdata.sgs.4049/dados?formato=json</v>
      </c>
      <c r="O213">
        <v>7</v>
      </c>
      <c r="P213" t="s">
        <v>19</v>
      </c>
      <c r="Q213" t="s">
        <v>19</v>
      </c>
      <c r="R213" t="str">
        <f t="shared" si="55"/>
        <v>Setor público consolidado</v>
      </c>
      <c r="S213" t="s">
        <v>64</v>
      </c>
    </row>
    <row r="214" spans="1:19" x14ac:dyDescent="0.25">
      <c r="A214" s="18"/>
      <c r="B214" s="18">
        <v>4050</v>
      </c>
      <c r="C214" s="19" t="s">
        <v>61</v>
      </c>
      <c r="D214" s="1" t="s">
        <v>37</v>
      </c>
      <c r="E214" s="20" t="s">
        <v>0</v>
      </c>
      <c r="F214" s="21">
        <v>33269</v>
      </c>
      <c r="G214" s="22">
        <v>45597</v>
      </c>
      <c r="H214" s="23" t="s">
        <v>1</v>
      </c>
      <c r="I214" s="18" t="s">
        <v>2</v>
      </c>
      <c r="J214" s="24"/>
      <c r="K214" s="17" t="s">
        <v>82</v>
      </c>
      <c r="L214" t="s">
        <v>75</v>
      </c>
      <c r="M214" t="s">
        <v>15</v>
      </c>
      <c r="N214" t="str">
        <f t="shared" ref="N214:N224" si="56">_xlfn.CONCAT("https://api.bcb.gov.br/dados/serie/bcdata.sgs.",B214,"/dados?formato=json")</f>
        <v>https://api.bcb.gov.br/dados/serie/bcdata.sgs.4050/dados?formato=json</v>
      </c>
      <c r="O214">
        <v>7</v>
      </c>
      <c r="P214" t="s">
        <v>19</v>
      </c>
      <c r="Q214" t="s">
        <v>19</v>
      </c>
      <c r="R214" t="str">
        <f t="shared" ref="R214:R224" si="57">C214</f>
        <v>Governo Federal e Banco Cental</v>
      </c>
      <c r="S214" t="s">
        <v>64</v>
      </c>
    </row>
    <row r="215" spans="1:19" x14ac:dyDescent="0.25">
      <c r="A215" s="8"/>
      <c r="B215" s="8">
        <v>4051</v>
      </c>
      <c r="C215" s="9" t="s">
        <v>77</v>
      </c>
      <c r="D215" s="1" t="s">
        <v>37</v>
      </c>
      <c r="E215" s="10" t="s">
        <v>0</v>
      </c>
      <c r="F215" s="11">
        <v>36161</v>
      </c>
      <c r="G215" s="12">
        <v>45597</v>
      </c>
      <c r="H215" s="13" t="s">
        <v>1</v>
      </c>
      <c r="I215" s="8" t="s">
        <v>2</v>
      </c>
      <c r="J215" s="14"/>
      <c r="K215" s="17" t="s">
        <v>82</v>
      </c>
      <c r="L215" t="s">
        <v>75</v>
      </c>
      <c r="M215" t="s">
        <v>15</v>
      </c>
      <c r="N215" t="str">
        <f t="shared" si="56"/>
        <v>https://api.bcb.gov.br/dados/serie/bcdata.sgs.4051/dados?formato=json</v>
      </c>
      <c r="O215">
        <v>7</v>
      </c>
      <c r="P215" t="s">
        <v>19</v>
      </c>
      <c r="Q215" t="s">
        <v>19</v>
      </c>
      <c r="R215" t="str">
        <f t="shared" si="57"/>
        <v>NFSP sem desvalorização cambial - Fluxo mensal corrente (u.m.c.) - Juros nominais - Interna - Governo Federal</v>
      </c>
      <c r="S215" t="s">
        <v>64</v>
      </c>
    </row>
    <row r="216" spans="1:19" x14ac:dyDescent="0.25">
      <c r="A216" s="1"/>
      <c r="B216" s="1">
        <v>4052</v>
      </c>
      <c r="C216" s="2" t="s">
        <v>78</v>
      </c>
      <c r="D216" s="1" t="s">
        <v>37</v>
      </c>
      <c r="E216" s="3" t="s">
        <v>0</v>
      </c>
      <c r="F216" s="4">
        <v>36161</v>
      </c>
      <c r="G216" s="5">
        <v>45597</v>
      </c>
      <c r="H216" s="6" t="s">
        <v>1</v>
      </c>
      <c r="I216" s="1" t="s">
        <v>2</v>
      </c>
      <c r="J216" s="7"/>
      <c r="K216" s="17" t="s">
        <v>82</v>
      </c>
      <c r="L216" t="s">
        <v>75</v>
      </c>
      <c r="M216" t="s">
        <v>15</v>
      </c>
      <c r="N216" t="str">
        <f t="shared" si="56"/>
        <v>https://api.bcb.gov.br/dados/serie/bcdata.sgs.4052/dados?formato=json</v>
      </c>
      <c r="O216">
        <v>7</v>
      </c>
      <c r="P216" t="s">
        <v>19</v>
      </c>
      <c r="Q216" t="s">
        <v>19</v>
      </c>
      <c r="R216" t="str">
        <f t="shared" si="57"/>
        <v>NFSP sem desvalorização cambial - Fluxo mensal corrente (u.m.c.) - Juros nominais - Interna - Banco Central</v>
      </c>
      <c r="S216" t="s">
        <v>64</v>
      </c>
    </row>
    <row r="217" spans="1:19" x14ac:dyDescent="0.25">
      <c r="A217" s="8"/>
      <c r="B217" s="8">
        <v>4053</v>
      </c>
      <c r="C217" s="9" t="s">
        <v>28</v>
      </c>
      <c r="D217" s="1" t="s">
        <v>37</v>
      </c>
      <c r="E217" s="10" t="s">
        <v>0</v>
      </c>
      <c r="F217" s="11">
        <v>33269</v>
      </c>
      <c r="G217" s="12">
        <v>45597</v>
      </c>
      <c r="H217" s="13" t="s">
        <v>1</v>
      </c>
      <c r="I217" s="8" t="s">
        <v>2</v>
      </c>
      <c r="J217" s="14"/>
      <c r="K217" s="17" t="s">
        <v>82</v>
      </c>
      <c r="L217" t="s">
        <v>75</v>
      </c>
      <c r="M217" t="s">
        <v>15</v>
      </c>
      <c r="N217" t="str">
        <f t="shared" si="56"/>
        <v>https://api.bcb.gov.br/dados/serie/bcdata.sgs.4053/dados?formato=json</v>
      </c>
      <c r="O217">
        <v>7</v>
      </c>
      <c r="P217" t="s">
        <v>19</v>
      </c>
      <c r="Q217" t="s">
        <v>19</v>
      </c>
      <c r="R217" t="str">
        <f t="shared" si="57"/>
        <v>Governos estaduais e municipais</v>
      </c>
      <c r="S217" t="s">
        <v>64</v>
      </c>
    </row>
    <row r="218" spans="1:19" x14ac:dyDescent="0.25">
      <c r="A218" s="1"/>
      <c r="B218" s="1">
        <v>4054</v>
      </c>
      <c r="C218" s="2" t="s">
        <v>79</v>
      </c>
      <c r="D218" s="1" t="s">
        <v>37</v>
      </c>
      <c r="E218" s="3" t="s">
        <v>0</v>
      </c>
      <c r="F218" s="4">
        <v>35796</v>
      </c>
      <c r="G218" s="5">
        <v>45597</v>
      </c>
      <c r="H218" s="6" t="s">
        <v>1</v>
      </c>
      <c r="I218" s="1" t="s">
        <v>2</v>
      </c>
      <c r="J218" s="7"/>
      <c r="K218" s="17" t="s">
        <v>82</v>
      </c>
      <c r="L218" t="s">
        <v>75</v>
      </c>
      <c r="M218" t="s">
        <v>15</v>
      </c>
      <c r="N218" t="str">
        <f t="shared" si="56"/>
        <v>https://api.bcb.gov.br/dados/serie/bcdata.sgs.4054/dados?formato=json</v>
      </c>
      <c r="O218">
        <v>7</v>
      </c>
      <c r="P218" t="s">
        <v>19</v>
      </c>
      <c r="Q218" t="s">
        <v>19</v>
      </c>
      <c r="R218" t="str">
        <f t="shared" si="57"/>
        <v>NFSP sem desvalorização cambial - Fluxo mensal corrente (u.m.c.) - Juros nominais - Interna - Governos estaduais</v>
      </c>
      <c r="S218" t="s">
        <v>64</v>
      </c>
    </row>
    <row r="219" spans="1:19" x14ac:dyDescent="0.25">
      <c r="A219" s="8"/>
      <c r="B219" s="8">
        <v>4055</v>
      </c>
      <c r="C219" s="9" t="s">
        <v>80</v>
      </c>
      <c r="D219" s="1" t="s">
        <v>37</v>
      </c>
      <c r="E219" s="10" t="s">
        <v>0</v>
      </c>
      <c r="F219" s="11">
        <v>35796</v>
      </c>
      <c r="G219" s="12">
        <v>45597</v>
      </c>
      <c r="H219" s="13" t="s">
        <v>1</v>
      </c>
      <c r="I219" s="8" t="s">
        <v>2</v>
      </c>
      <c r="J219" s="14"/>
      <c r="K219" s="17" t="s">
        <v>82</v>
      </c>
      <c r="L219" t="s">
        <v>75</v>
      </c>
      <c r="M219" t="s">
        <v>15</v>
      </c>
      <c r="N219" t="str">
        <f t="shared" si="56"/>
        <v>https://api.bcb.gov.br/dados/serie/bcdata.sgs.4055/dados?formato=json</v>
      </c>
      <c r="O219">
        <v>7</v>
      </c>
      <c r="P219" t="s">
        <v>19</v>
      </c>
      <c r="Q219" t="s">
        <v>19</v>
      </c>
      <c r="R219" t="str">
        <f t="shared" si="57"/>
        <v>NFSP sem desvalorização cambial - Fluxo mensal corrente (u.m.c.) - Juros nominais - Interna - Governos municipais</v>
      </c>
      <c r="S219" t="s">
        <v>64</v>
      </c>
    </row>
    <row r="220" spans="1:19" x14ac:dyDescent="0.25">
      <c r="A220" s="1"/>
      <c r="B220" s="1">
        <v>4056</v>
      </c>
      <c r="C220" s="2" t="s">
        <v>31</v>
      </c>
      <c r="D220" s="1" t="s">
        <v>37</v>
      </c>
      <c r="E220" s="3" t="s">
        <v>0</v>
      </c>
      <c r="F220" s="4">
        <v>37226</v>
      </c>
      <c r="G220" s="5">
        <v>45597</v>
      </c>
      <c r="H220" s="6" t="s">
        <v>1</v>
      </c>
      <c r="I220" s="1" t="s">
        <v>2</v>
      </c>
      <c r="J220" s="7"/>
      <c r="K220" s="17" t="s">
        <v>82</v>
      </c>
      <c r="L220" t="s">
        <v>75</v>
      </c>
      <c r="M220" t="s">
        <v>15</v>
      </c>
      <c r="N220" t="str">
        <f t="shared" si="56"/>
        <v>https://api.bcb.gov.br/dados/serie/bcdata.sgs.4056/dados?formato=json</v>
      </c>
      <c r="O220">
        <v>7</v>
      </c>
      <c r="P220" t="s">
        <v>19</v>
      </c>
      <c r="Q220" t="s">
        <v>19</v>
      </c>
      <c r="R220" t="str">
        <f t="shared" si="57"/>
        <v>Empresas estatais</v>
      </c>
      <c r="S220" t="s">
        <v>64</v>
      </c>
    </row>
    <row r="221" spans="1:19" x14ac:dyDescent="0.25">
      <c r="A221" s="8"/>
      <c r="B221" s="8">
        <v>4057</v>
      </c>
      <c r="C221" s="9" t="s">
        <v>81</v>
      </c>
      <c r="D221" s="1" t="s">
        <v>37</v>
      </c>
      <c r="E221" s="10" t="s">
        <v>0</v>
      </c>
      <c r="F221" s="11">
        <v>37226</v>
      </c>
      <c r="G221" s="12">
        <v>45597</v>
      </c>
      <c r="H221" s="13" t="s">
        <v>1</v>
      </c>
      <c r="I221" s="8" t="s">
        <v>2</v>
      </c>
      <c r="J221" s="14"/>
      <c r="K221" s="17" t="s">
        <v>82</v>
      </c>
      <c r="L221" t="s">
        <v>75</v>
      </c>
      <c r="M221" t="s">
        <v>15</v>
      </c>
      <c r="N221" t="str">
        <f t="shared" si="56"/>
        <v>https://api.bcb.gov.br/dados/serie/bcdata.sgs.4057/dados?formato=json</v>
      </c>
      <c r="O221">
        <v>7</v>
      </c>
      <c r="P221" t="s">
        <v>19</v>
      </c>
      <c r="Q221" t="s">
        <v>19</v>
      </c>
      <c r="R221" t="str">
        <f t="shared" si="57"/>
        <v>NFSP sem desvalorização cambial - Fluxo mensal corrente (u.m.c.) - Juros nominais - Interna - Empresas estatais federais</v>
      </c>
      <c r="S221" t="s">
        <v>64</v>
      </c>
    </row>
    <row r="222" spans="1:19" x14ac:dyDescent="0.25">
      <c r="A222" s="1"/>
      <c r="B222" s="1">
        <v>4058</v>
      </c>
      <c r="C222" s="2" t="s">
        <v>293</v>
      </c>
      <c r="D222" s="1" t="s">
        <v>37</v>
      </c>
      <c r="E222" s="3" t="s">
        <v>0</v>
      </c>
      <c r="F222" s="4">
        <v>35796</v>
      </c>
      <c r="G222" s="5">
        <v>45597</v>
      </c>
      <c r="H222" s="6" t="s">
        <v>1</v>
      </c>
      <c r="I222" s="1" t="s">
        <v>2</v>
      </c>
      <c r="J222" s="7"/>
      <c r="K222" s="17" t="s">
        <v>82</v>
      </c>
      <c r="L222" t="s">
        <v>75</v>
      </c>
      <c r="M222" t="s">
        <v>15</v>
      </c>
      <c r="N222" t="str">
        <f t="shared" si="56"/>
        <v>https://api.bcb.gov.br/dados/serie/bcdata.sgs.4058/dados?formato=json</v>
      </c>
      <c r="O222">
        <v>7</v>
      </c>
      <c r="P222" t="s">
        <v>19</v>
      </c>
      <c r="Q222" t="s">
        <v>19</v>
      </c>
      <c r="R222" t="str">
        <f t="shared" si="57"/>
        <v>NFSP sem desvalorização cambial - Fluxo mensal corrente (u.m.c.) - Juros nominais - Interna - Empresas estatais estaduais</v>
      </c>
      <c r="S222" t="s">
        <v>64</v>
      </c>
    </row>
    <row r="223" spans="1:19" x14ac:dyDescent="0.25">
      <c r="A223" s="8"/>
      <c r="B223" s="8">
        <v>4059</v>
      </c>
      <c r="C223" s="9" t="s">
        <v>300</v>
      </c>
      <c r="D223" s="1" t="s">
        <v>37</v>
      </c>
      <c r="E223" s="10" t="s">
        <v>0</v>
      </c>
      <c r="F223" s="11">
        <v>35796</v>
      </c>
      <c r="G223" s="12">
        <v>45597</v>
      </c>
      <c r="H223" s="13" t="s">
        <v>1</v>
      </c>
      <c r="I223" s="8" t="s">
        <v>2</v>
      </c>
      <c r="J223" s="14"/>
      <c r="K223" s="17" t="s">
        <v>82</v>
      </c>
      <c r="L223" t="s">
        <v>75</v>
      </c>
      <c r="M223" t="s">
        <v>15</v>
      </c>
      <c r="N223" t="str">
        <f t="shared" si="56"/>
        <v>https://api.bcb.gov.br/dados/serie/bcdata.sgs.4059/dados?formato=json</v>
      </c>
      <c r="O223">
        <v>7</v>
      </c>
      <c r="P223" t="s">
        <v>19</v>
      </c>
      <c r="Q223" t="s">
        <v>19</v>
      </c>
      <c r="R223" t="str">
        <f t="shared" si="57"/>
        <v>NFSP sem desvalorização cambial - Fluxo mensal corrente (u.m.c.) - Juros nominais - Interna - Empresas estatais municipais</v>
      </c>
      <c r="S223" t="s">
        <v>64</v>
      </c>
    </row>
    <row r="224" spans="1:19" x14ac:dyDescent="0.25">
      <c r="A224" s="1"/>
      <c r="B224" s="1">
        <v>4060</v>
      </c>
      <c r="C224" s="2" t="s">
        <v>35</v>
      </c>
      <c r="D224" s="1" t="s">
        <v>37</v>
      </c>
      <c r="E224" s="3" t="s">
        <v>0</v>
      </c>
      <c r="F224" s="4">
        <v>37226</v>
      </c>
      <c r="G224" s="5">
        <v>45597</v>
      </c>
      <c r="H224" s="6" t="s">
        <v>1</v>
      </c>
      <c r="I224" s="1" t="s">
        <v>2</v>
      </c>
      <c r="J224" s="7"/>
      <c r="K224" s="17" t="s">
        <v>82</v>
      </c>
      <c r="L224" t="s">
        <v>75</v>
      </c>
      <c r="M224" t="s">
        <v>15</v>
      </c>
      <c r="N224" t="str">
        <f t="shared" si="56"/>
        <v>https://api.bcb.gov.br/dados/serie/bcdata.sgs.4060/dados?formato=json</v>
      </c>
      <c r="O224">
        <v>7</v>
      </c>
      <c r="P224" t="s">
        <v>19</v>
      </c>
      <c r="Q224" t="s">
        <v>19</v>
      </c>
      <c r="R224" t="str">
        <f t="shared" si="57"/>
        <v>Setor público consolidado</v>
      </c>
      <c r="S224" t="s">
        <v>64</v>
      </c>
    </row>
    <row r="225" spans="1:19" x14ac:dyDescent="0.25">
      <c r="A225" s="1"/>
      <c r="B225" s="1">
        <v>4061</v>
      </c>
      <c r="C225" s="2" t="s">
        <v>61</v>
      </c>
      <c r="D225" s="1" t="s">
        <v>37</v>
      </c>
      <c r="E225" s="3" t="s">
        <v>0</v>
      </c>
      <c r="F225" s="4">
        <v>33269</v>
      </c>
      <c r="G225" s="5">
        <v>45597</v>
      </c>
      <c r="H225" s="6" t="s">
        <v>1</v>
      </c>
      <c r="I225" s="1" t="s">
        <v>2</v>
      </c>
      <c r="J225" s="7"/>
      <c r="K225" s="17" t="s">
        <v>88</v>
      </c>
      <c r="L225" t="s">
        <v>75</v>
      </c>
      <c r="M225" t="s">
        <v>15</v>
      </c>
      <c r="N225" t="str">
        <f t="shared" ref="N225:N235" si="58">_xlfn.CONCAT("https://api.bcb.gov.br/dados/serie/bcdata.sgs.",B225,"/dados?formato=json")</f>
        <v>https://api.bcb.gov.br/dados/serie/bcdata.sgs.4061/dados?formato=json</v>
      </c>
      <c r="O225">
        <v>7</v>
      </c>
      <c r="P225" t="s">
        <v>19</v>
      </c>
      <c r="Q225" t="s">
        <v>19</v>
      </c>
      <c r="R225" t="str">
        <f t="shared" ref="R225:R235" si="59">C225</f>
        <v>Governo Federal e Banco Cental</v>
      </c>
      <c r="S225" t="s">
        <v>64</v>
      </c>
    </row>
    <row r="226" spans="1:19" x14ac:dyDescent="0.25">
      <c r="A226" s="8"/>
      <c r="B226" s="8">
        <v>4062</v>
      </c>
      <c r="C226" s="9" t="s">
        <v>83</v>
      </c>
      <c r="D226" s="1" t="s">
        <v>37</v>
      </c>
      <c r="E226" s="10" t="s">
        <v>0</v>
      </c>
      <c r="F226" s="11">
        <v>36161</v>
      </c>
      <c r="G226" s="12">
        <v>45597</v>
      </c>
      <c r="H226" s="13" t="s">
        <v>1</v>
      </c>
      <c r="I226" s="8" t="s">
        <v>2</v>
      </c>
      <c r="J226" s="14"/>
      <c r="K226" s="17" t="s">
        <v>88</v>
      </c>
      <c r="L226" t="s">
        <v>75</v>
      </c>
      <c r="M226" t="s">
        <v>15</v>
      </c>
      <c r="N226" t="str">
        <f t="shared" si="58"/>
        <v>https://api.bcb.gov.br/dados/serie/bcdata.sgs.4062/dados?formato=json</v>
      </c>
      <c r="O226">
        <v>7</v>
      </c>
      <c r="P226" t="s">
        <v>19</v>
      </c>
      <c r="Q226" t="s">
        <v>19</v>
      </c>
      <c r="R226" t="str">
        <f t="shared" si="59"/>
        <v>NFSP sem desvalorização cambial - Fluxo mensal corrente (u.m.c.) - Juros nominais - Externa - Governo Federal</v>
      </c>
      <c r="S226" t="s">
        <v>64</v>
      </c>
    </row>
    <row r="227" spans="1:19" x14ac:dyDescent="0.25">
      <c r="A227" s="1"/>
      <c r="B227" s="1">
        <v>4063</v>
      </c>
      <c r="C227" s="2" t="s">
        <v>84</v>
      </c>
      <c r="D227" s="1" t="s">
        <v>37</v>
      </c>
      <c r="E227" s="3" t="s">
        <v>0</v>
      </c>
      <c r="F227" s="4">
        <v>36161</v>
      </c>
      <c r="G227" s="5">
        <v>45597</v>
      </c>
      <c r="H227" s="6" t="s">
        <v>1</v>
      </c>
      <c r="I227" s="1" t="s">
        <v>2</v>
      </c>
      <c r="J227" s="7"/>
      <c r="K227" s="17" t="s">
        <v>88</v>
      </c>
      <c r="L227" t="s">
        <v>75</v>
      </c>
      <c r="M227" t="s">
        <v>15</v>
      </c>
      <c r="N227" t="str">
        <f t="shared" si="58"/>
        <v>https://api.bcb.gov.br/dados/serie/bcdata.sgs.4063/dados?formato=json</v>
      </c>
      <c r="O227">
        <v>7</v>
      </c>
      <c r="P227" t="s">
        <v>19</v>
      </c>
      <c r="Q227" t="s">
        <v>19</v>
      </c>
      <c r="R227" t="str">
        <f t="shared" si="59"/>
        <v>NFSP sem desvalorização cambial - Fluxo mensal corrente (u.m.c.) - Juros nominais - Externa - Banco Central</v>
      </c>
      <c r="S227" t="s">
        <v>64</v>
      </c>
    </row>
    <row r="228" spans="1:19" x14ac:dyDescent="0.25">
      <c r="A228" s="8"/>
      <c r="B228" s="8">
        <v>4064</v>
      </c>
      <c r="C228" s="9" t="s">
        <v>28</v>
      </c>
      <c r="D228" s="1" t="s">
        <v>37</v>
      </c>
      <c r="E228" s="10" t="s">
        <v>0</v>
      </c>
      <c r="F228" s="11">
        <v>33269</v>
      </c>
      <c r="G228" s="12">
        <v>45597</v>
      </c>
      <c r="H228" s="13" t="s">
        <v>1</v>
      </c>
      <c r="I228" s="8" t="s">
        <v>2</v>
      </c>
      <c r="J228" s="14"/>
      <c r="K228" s="17" t="s">
        <v>88</v>
      </c>
      <c r="L228" t="s">
        <v>75</v>
      </c>
      <c r="M228" t="s">
        <v>15</v>
      </c>
      <c r="N228" t="str">
        <f t="shared" si="58"/>
        <v>https://api.bcb.gov.br/dados/serie/bcdata.sgs.4064/dados?formato=json</v>
      </c>
      <c r="O228">
        <v>7</v>
      </c>
      <c r="P228" t="s">
        <v>19</v>
      </c>
      <c r="Q228" t="s">
        <v>19</v>
      </c>
      <c r="R228" t="str">
        <f t="shared" si="59"/>
        <v>Governos estaduais e municipais</v>
      </c>
      <c r="S228" t="s">
        <v>64</v>
      </c>
    </row>
    <row r="229" spans="1:19" x14ac:dyDescent="0.25">
      <c r="A229" s="1"/>
      <c r="B229" s="1">
        <v>4065</v>
      </c>
      <c r="C229" s="2" t="s">
        <v>85</v>
      </c>
      <c r="D229" s="1" t="s">
        <v>37</v>
      </c>
      <c r="E229" s="3" t="s">
        <v>0</v>
      </c>
      <c r="F229" s="4">
        <v>35796</v>
      </c>
      <c r="G229" s="5">
        <v>45597</v>
      </c>
      <c r="H229" s="6" t="s">
        <v>1</v>
      </c>
      <c r="I229" s="1" t="s">
        <v>2</v>
      </c>
      <c r="J229" s="7"/>
      <c r="K229" s="17" t="s">
        <v>88</v>
      </c>
      <c r="L229" t="s">
        <v>75</v>
      </c>
      <c r="M229" t="s">
        <v>15</v>
      </c>
      <c r="N229" t="str">
        <f t="shared" si="58"/>
        <v>https://api.bcb.gov.br/dados/serie/bcdata.sgs.4065/dados?formato=json</v>
      </c>
      <c r="O229">
        <v>7</v>
      </c>
      <c r="P229" t="s">
        <v>19</v>
      </c>
      <c r="Q229" t="s">
        <v>19</v>
      </c>
      <c r="R229" t="str">
        <f t="shared" si="59"/>
        <v>NFSP sem desvalorização cambial - Fluxo mensal corrente (u.m.c.) - Juros nominais - Externa - Governos estaduais</v>
      </c>
      <c r="S229" t="s">
        <v>64</v>
      </c>
    </row>
    <row r="230" spans="1:19" x14ac:dyDescent="0.25">
      <c r="A230" s="8"/>
      <c r="B230" s="8">
        <v>4066</v>
      </c>
      <c r="C230" s="9" t="s">
        <v>86</v>
      </c>
      <c r="D230" s="1" t="s">
        <v>37</v>
      </c>
      <c r="E230" s="10" t="s">
        <v>0</v>
      </c>
      <c r="F230" s="11">
        <v>35796</v>
      </c>
      <c r="G230" s="12">
        <v>45597</v>
      </c>
      <c r="H230" s="13" t="s">
        <v>1</v>
      </c>
      <c r="I230" s="8" t="s">
        <v>2</v>
      </c>
      <c r="J230" s="14"/>
      <c r="K230" s="17" t="s">
        <v>88</v>
      </c>
      <c r="L230" t="s">
        <v>75</v>
      </c>
      <c r="M230" t="s">
        <v>15</v>
      </c>
      <c r="N230" t="str">
        <f t="shared" si="58"/>
        <v>https://api.bcb.gov.br/dados/serie/bcdata.sgs.4066/dados?formato=json</v>
      </c>
      <c r="O230">
        <v>7</v>
      </c>
      <c r="P230" t="s">
        <v>19</v>
      </c>
      <c r="Q230" t="s">
        <v>19</v>
      </c>
      <c r="R230" t="str">
        <f t="shared" si="59"/>
        <v>NFSP sem desvalorização cambial - Fluxo mensal corrente (u.m.c.) - Juros nominais - Externa - Governos municipais</v>
      </c>
      <c r="S230" t="s">
        <v>64</v>
      </c>
    </row>
    <row r="231" spans="1:19" x14ac:dyDescent="0.25">
      <c r="A231" s="1"/>
      <c r="B231" s="1">
        <v>4067</v>
      </c>
      <c r="C231" s="2" t="s">
        <v>31</v>
      </c>
      <c r="D231" s="1" t="s">
        <v>37</v>
      </c>
      <c r="E231" s="3" t="s">
        <v>0</v>
      </c>
      <c r="F231" s="4">
        <v>37226</v>
      </c>
      <c r="G231" s="5">
        <v>45597</v>
      </c>
      <c r="H231" s="6" t="s">
        <v>1</v>
      </c>
      <c r="I231" s="1" t="s">
        <v>2</v>
      </c>
      <c r="J231" s="7"/>
      <c r="K231" s="17" t="s">
        <v>88</v>
      </c>
      <c r="L231" t="s">
        <v>75</v>
      </c>
      <c r="M231" t="s">
        <v>15</v>
      </c>
      <c r="N231" t="str">
        <f t="shared" si="58"/>
        <v>https://api.bcb.gov.br/dados/serie/bcdata.sgs.4067/dados?formato=json</v>
      </c>
      <c r="O231">
        <v>7</v>
      </c>
      <c r="P231" t="s">
        <v>19</v>
      </c>
      <c r="Q231" t="s">
        <v>19</v>
      </c>
      <c r="R231" t="str">
        <f t="shared" si="59"/>
        <v>Empresas estatais</v>
      </c>
      <c r="S231" t="s">
        <v>64</v>
      </c>
    </row>
    <row r="232" spans="1:19" x14ac:dyDescent="0.25">
      <c r="A232" s="8"/>
      <c r="B232" s="8">
        <v>4068</v>
      </c>
      <c r="C232" s="9" t="s">
        <v>87</v>
      </c>
      <c r="D232" s="1" t="s">
        <v>37</v>
      </c>
      <c r="E232" s="10" t="s">
        <v>0</v>
      </c>
      <c r="F232" s="11">
        <v>37226</v>
      </c>
      <c r="G232" s="12">
        <v>45597</v>
      </c>
      <c r="H232" s="13" t="s">
        <v>1</v>
      </c>
      <c r="I232" s="8" t="s">
        <v>2</v>
      </c>
      <c r="J232" s="14"/>
      <c r="K232" s="17" t="s">
        <v>88</v>
      </c>
      <c r="L232" t="s">
        <v>75</v>
      </c>
      <c r="M232" t="s">
        <v>15</v>
      </c>
      <c r="N232" t="str">
        <f t="shared" si="58"/>
        <v>https://api.bcb.gov.br/dados/serie/bcdata.sgs.4068/dados?formato=json</v>
      </c>
      <c r="O232">
        <v>7</v>
      </c>
      <c r="P232" t="s">
        <v>19</v>
      </c>
      <c r="Q232" t="s">
        <v>19</v>
      </c>
      <c r="R232" t="str">
        <f t="shared" si="59"/>
        <v>NFSP sem desvalorização cambial - Fluxo mensal corrente (u.m.c.) - Juros nominais - Externa - Empresas estatais federais</v>
      </c>
      <c r="S232" t="s">
        <v>64</v>
      </c>
    </row>
    <row r="233" spans="1:19" x14ac:dyDescent="0.25">
      <c r="A233" s="1"/>
      <c r="B233" s="1">
        <v>4069</v>
      </c>
      <c r="C233" s="2" t="s">
        <v>294</v>
      </c>
      <c r="D233" s="1" t="s">
        <v>37</v>
      </c>
      <c r="E233" s="3" t="s">
        <v>0</v>
      </c>
      <c r="F233" s="4">
        <v>35796</v>
      </c>
      <c r="G233" s="5">
        <v>45597</v>
      </c>
      <c r="H233" s="6" t="s">
        <v>1</v>
      </c>
      <c r="I233" s="1" t="s">
        <v>2</v>
      </c>
      <c r="J233" s="7"/>
      <c r="K233" s="17" t="s">
        <v>88</v>
      </c>
      <c r="L233" t="s">
        <v>75</v>
      </c>
      <c r="M233" t="s">
        <v>15</v>
      </c>
      <c r="N233" t="str">
        <f t="shared" si="58"/>
        <v>https://api.bcb.gov.br/dados/serie/bcdata.sgs.4069/dados?formato=json</v>
      </c>
      <c r="O233">
        <v>7</v>
      </c>
      <c r="P233" t="s">
        <v>19</v>
      </c>
      <c r="Q233" t="s">
        <v>19</v>
      </c>
      <c r="R233" t="str">
        <f t="shared" si="59"/>
        <v>NFSP sem desvalorização cambial - Fluxo mensal corrente (u.m.c.) - Juros nominais - Externa - Empresas estatais estaduais</v>
      </c>
      <c r="S233" t="s">
        <v>64</v>
      </c>
    </row>
    <row r="234" spans="1:19" x14ac:dyDescent="0.25">
      <c r="A234" s="8"/>
      <c r="B234" s="8">
        <v>4070</v>
      </c>
      <c r="C234" s="9" t="s">
        <v>298</v>
      </c>
      <c r="D234" s="1" t="s">
        <v>37</v>
      </c>
      <c r="E234" s="10" t="s">
        <v>0</v>
      </c>
      <c r="F234" s="11">
        <v>35796</v>
      </c>
      <c r="G234" s="12">
        <v>45597</v>
      </c>
      <c r="H234" s="13" t="s">
        <v>1</v>
      </c>
      <c r="I234" s="8" t="s">
        <v>2</v>
      </c>
      <c r="J234" s="14"/>
      <c r="K234" s="17" t="s">
        <v>88</v>
      </c>
      <c r="L234" t="s">
        <v>75</v>
      </c>
      <c r="M234" t="s">
        <v>15</v>
      </c>
      <c r="N234" t="str">
        <f t="shared" si="58"/>
        <v>https://api.bcb.gov.br/dados/serie/bcdata.sgs.4070/dados?formato=json</v>
      </c>
      <c r="O234">
        <v>7</v>
      </c>
      <c r="P234" t="s">
        <v>19</v>
      </c>
      <c r="Q234" t="s">
        <v>19</v>
      </c>
      <c r="R234" t="str">
        <f t="shared" si="59"/>
        <v>NFSP sem desvalorização cambial - Fluxo mensal corrente (u.m.c.) - Juros nominais - Externa - Empresas estatais municipais</v>
      </c>
      <c r="S234" t="s">
        <v>64</v>
      </c>
    </row>
    <row r="235" spans="1:19" x14ac:dyDescent="0.25">
      <c r="A235" s="1"/>
      <c r="B235" s="1">
        <v>4071</v>
      </c>
      <c r="C235" s="2" t="s">
        <v>35</v>
      </c>
      <c r="D235" s="1" t="s">
        <v>37</v>
      </c>
      <c r="E235" s="3" t="s">
        <v>0</v>
      </c>
      <c r="F235" s="4">
        <v>37226</v>
      </c>
      <c r="G235" s="5">
        <v>45597</v>
      </c>
      <c r="H235" s="6" t="s">
        <v>1</v>
      </c>
      <c r="I235" s="1" t="s">
        <v>2</v>
      </c>
      <c r="J235" s="7"/>
      <c r="K235" s="17" t="s">
        <v>88</v>
      </c>
      <c r="L235" t="s">
        <v>75</v>
      </c>
      <c r="M235" t="s">
        <v>15</v>
      </c>
      <c r="N235" t="str">
        <f t="shared" si="58"/>
        <v>https://api.bcb.gov.br/dados/serie/bcdata.sgs.4071/dados?formato=json</v>
      </c>
      <c r="O235">
        <v>7</v>
      </c>
      <c r="P235" t="s">
        <v>19</v>
      </c>
      <c r="Q235" t="s">
        <v>19</v>
      </c>
      <c r="R235" t="str">
        <f t="shared" si="59"/>
        <v>Setor público consolidado</v>
      </c>
      <c r="S235" t="s">
        <v>64</v>
      </c>
    </row>
    <row r="236" spans="1:19" x14ac:dyDescent="0.25">
      <c r="A236" s="1"/>
      <c r="B236" s="1">
        <v>2143</v>
      </c>
      <c r="C236" s="2" t="s">
        <v>61</v>
      </c>
      <c r="D236" s="1" t="s">
        <v>37</v>
      </c>
      <c r="E236" s="3" t="s">
        <v>0</v>
      </c>
      <c r="F236" s="4">
        <v>33269</v>
      </c>
      <c r="G236" s="5">
        <v>45597</v>
      </c>
      <c r="H236" s="6" t="s">
        <v>1</v>
      </c>
      <c r="I236" s="1" t="s">
        <v>2</v>
      </c>
      <c r="J236" s="7"/>
      <c r="K236" s="17" t="s">
        <v>95</v>
      </c>
      <c r="L236" t="s">
        <v>96</v>
      </c>
      <c r="M236" t="s">
        <v>15</v>
      </c>
      <c r="N236" t="str">
        <f t="shared" ref="N236:N248" si="60">_xlfn.CONCAT("https://api.bcb.gov.br/dados/serie/bcdata.sgs.",B236,"/dados?formato=json")</f>
        <v>https://api.bcb.gov.br/dados/serie/bcdata.sgs.2143/dados?formato=json</v>
      </c>
      <c r="O236">
        <v>7</v>
      </c>
      <c r="P236" t="s">
        <v>19</v>
      </c>
      <c r="Q236" t="s">
        <v>19</v>
      </c>
      <c r="R236" t="str">
        <f t="shared" ref="R236:R248" si="61">C236</f>
        <v>Governo Federal e Banco Cental</v>
      </c>
      <c r="S236" t="s">
        <v>64</v>
      </c>
    </row>
    <row r="237" spans="1:19" x14ac:dyDescent="0.25">
      <c r="A237" s="8"/>
      <c r="B237" s="8">
        <v>2144</v>
      </c>
      <c r="C237" s="9" t="s">
        <v>89</v>
      </c>
      <c r="D237" s="1" t="s">
        <v>37</v>
      </c>
      <c r="E237" s="10" t="s">
        <v>0</v>
      </c>
      <c r="F237" s="11">
        <v>36161</v>
      </c>
      <c r="G237" s="12">
        <v>45597</v>
      </c>
      <c r="H237" s="13" t="s">
        <v>1</v>
      </c>
      <c r="I237" s="8" t="s">
        <v>2</v>
      </c>
      <c r="J237" s="14"/>
      <c r="K237" s="17" t="s">
        <v>95</v>
      </c>
      <c r="L237" t="s">
        <v>96</v>
      </c>
      <c r="M237" t="s">
        <v>15</v>
      </c>
      <c r="N237" t="str">
        <f t="shared" si="60"/>
        <v>https://api.bcb.gov.br/dados/serie/bcdata.sgs.2144/dados?formato=json</v>
      </c>
      <c r="O237">
        <v>7</v>
      </c>
      <c r="P237" t="s">
        <v>19</v>
      </c>
      <c r="Q237" t="s">
        <v>19</v>
      </c>
      <c r="R237" t="str">
        <f t="shared" si="61"/>
        <v>NFSP sem desvalorização cambial - Fluxo mensal corrente (u.m.c.) - Resultado primário - Total - Governo Federal</v>
      </c>
      <c r="S237" t="s">
        <v>64</v>
      </c>
    </row>
    <row r="238" spans="1:19" x14ac:dyDescent="0.25">
      <c r="A238" s="1"/>
      <c r="B238" s="1">
        <v>2145</v>
      </c>
      <c r="C238" s="2" t="s">
        <v>90</v>
      </c>
      <c r="D238" s="1" t="s">
        <v>37</v>
      </c>
      <c r="E238" s="3" t="s">
        <v>0</v>
      </c>
      <c r="F238" s="4">
        <v>36161</v>
      </c>
      <c r="G238" s="5">
        <v>45597</v>
      </c>
      <c r="H238" s="6" t="s">
        <v>1</v>
      </c>
      <c r="I238" s="1" t="s">
        <v>2</v>
      </c>
      <c r="J238" s="7"/>
      <c r="K238" s="17" t="s">
        <v>95</v>
      </c>
      <c r="L238" t="s">
        <v>96</v>
      </c>
      <c r="M238" t="s">
        <v>15</v>
      </c>
      <c r="N238" t="str">
        <f t="shared" si="60"/>
        <v>https://api.bcb.gov.br/dados/serie/bcdata.sgs.2145/dados?formato=json</v>
      </c>
      <c r="O238">
        <v>7</v>
      </c>
      <c r="P238" t="s">
        <v>19</v>
      </c>
      <c r="Q238" t="s">
        <v>19</v>
      </c>
      <c r="R238" t="str">
        <f t="shared" si="61"/>
        <v>NFSP sem desvalorização cambial - Fluxo mensal corrente (u.m.c.) - Resultado primário - Total - Banco Central</v>
      </c>
      <c r="S238" t="s">
        <v>64</v>
      </c>
    </row>
    <row r="239" spans="1:19" x14ac:dyDescent="0.25">
      <c r="A239" s="8"/>
      <c r="B239" s="8">
        <v>2146</v>
      </c>
      <c r="C239" s="9" t="s">
        <v>28</v>
      </c>
      <c r="D239" s="1" t="s">
        <v>37</v>
      </c>
      <c r="E239" s="10" t="s">
        <v>0</v>
      </c>
      <c r="F239" s="11">
        <v>33269</v>
      </c>
      <c r="G239" s="12">
        <v>45597</v>
      </c>
      <c r="H239" s="13" t="s">
        <v>1</v>
      </c>
      <c r="I239" s="8" t="s">
        <v>2</v>
      </c>
      <c r="J239" s="14"/>
      <c r="K239" s="17" t="s">
        <v>95</v>
      </c>
      <c r="L239" t="s">
        <v>96</v>
      </c>
      <c r="M239" t="s">
        <v>15</v>
      </c>
      <c r="N239" t="str">
        <f t="shared" si="60"/>
        <v>https://api.bcb.gov.br/dados/serie/bcdata.sgs.2146/dados?formato=json</v>
      </c>
      <c r="O239">
        <v>7</v>
      </c>
      <c r="P239" t="s">
        <v>19</v>
      </c>
      <c r="Q239" t="s">
        <v>19</v>
      </c>
      <c r="R239" t="str">
        <f t="shared" si="61"/>
        <v>Governos estaduais e municipais</v>
      </c>
      <c r="S239" t="s">
        <v>64</v>
      </c>
    </row>
    <row r="240" spans="1:19" x14ac:dyDescent="0.25">
      <c r="A240" s="1"/>
      <c r="B240" s="1">
        <v>2147</v>
      </c>
      <c r="C240" s="2" t="s">
        <v>91</v>
      </c>
      <c r="D240" s="1" t="s">
        <v>37</v>
      </c>
      <c r="E240" s="3" t="s">
        <v>0</v>
      </c>
      <c r="F240" s="4">
        <v>35796</v>
      </c>
      <c r="G240" s="5">
        <v>45597</v>
      </c>
      <c r="H240" s="6" t="s">
        <v>1</v>
      </c>
      <c r="I240" s="1" t="s">
        <v>2</v>
      </c>
      <c r="J240" s="7"/>
      <c r="K240" s="17" t="s">
        <v>95</v>
      </c>
      <c r="L240" t="s">
        <v>96</v>
      </c>
      <c r="M240" t="s">
        <v>15</v>
      </c>
      <c r="N240" t="str">
        <f t="shared" si="60"/>
        <v>https://api.bcb.gov.br/dados/serie/bcdata.sgs.2147/dados?formato=json</v>
      </c>
      <c r="O240">
        <v>7</v>
      </c>
      <c r="P240" t="s">
        <v>19</v>
      </c>
      <c r="Q240" t="s">
        <v>19</v>
      </c>
      <c r="R240" t="str">
        <f t="shared" si="61"/>
        <v>NFSP sem desvalorização cambial - Fluxo mensal corrente (u.m.c.) - Resultado primário - Total - Governos estaduais</v>
      </c>
      <c r="S240" t="s">
        <v>64</v>
      </c>
    </row>
    <row r="241" spans="1:19" x14ac:dyDescent="0.25">
      <c r="A241" s="8"/>
      <c r="B241" s="8">
        <v>2148</v>
      </c>
      <c r="C241" s="9" t="s">
        <v>92</v>
      </c>
      <c r="D241" s="1" t="s">
        <v>37</v>
      </c>
      <c r="E241" s="10" t="s">
        <v>0</v>
      </c>
      <c r="F241" s="11">
        <v>35796</v>
      </c>
      <c r="G241" s="12">
        <v>45597</v>
      </c>
      <c r="H241" s="13" t="s">
        <v>1</v>
      </c>
      <c r="I241" s="8" t="s">
        <v>2</v>
      </c>
      <c r="J241" s="14"/>
      <c r="K241" s="17" t="s">
        <v>95</v>
      </c>
      <c r="L241" t="s">
        <v>96</v>
      </c>
      <c r="M241" t="s">
        <v>15</v>
      </c>
      <c r="N241" t="str">
        <f t="shared" si="60"/>
        <v>https://api.bcb.gov.br/dados/serie/bcdata.sgs.2148/dados?formato=json</v>
      </c>
      <c r="O241">
        <v>7</v>
      </c>
      <c r="P241" t="s">
        <v>19</v>
      </c>
      <c r="Q241" t="s">
        <v>19</v>
      </c>
      <c r="R241" t="str">
        <f t="shared" si="61"/>
        <v>NFSP sem desvalorização cambial - Fluxo mensal corrente (u.m.c.) - Resultado primário - Total - Governos municipais</v>
      </c>
      <c r="S241" t="s">
        <v>64</v>
      </c>
    </row>
    <row r="242" spans="1:19" x14ac:dyDescent="0.25">
      <c r="A242" s="1"/>
      <c r="B242" s="1">
        <v>2149</v>
      </c>
      <c r="C242" s="2" t="s">
        <v>31</v>
      </c>
      <c r="D242" s="1" t="s">
        <v>37</v>
      </c>
      <c r="E242" s="3" t="s">
        <v>0</v>
      </c>
      <c r="F242" s="4">
        <v>37226</v>
      </c>
      <c r="G242" s="5">
        <v>45597</v>
      </c>
      <c r="H242" s="6" t="s">
        <v>1</v>
      </c>
      <c r="I242" s="1" t="s">
        <v>2</v>
      </c>
      <c r="J242" s="7"/>
      <c r="K242" s="17" t="s">
        <v>95</v>
      </c>
      <c r="L242" t="s">
        <v>96</v>
      </c>
      <c r="M242" t="s">
        <v>15</v>
      </c>
      <c r="N242" t="str">
        <f t="shared" si="60"/>
        <v>https://api.bcb.gov.br/dados/serie/bcdata.sgs.2149/dados?formato=json</v>
      </c>
      <c r="O242">
        <v>7</v>
      </c>
      <c r="P242" t="s">
        <v>19</v>
      </c>
      <c r="Q242" t="s">
        <v>19</v>
      </c>
      <c r="R242" t="str">
        <f t="shared" si="61"/>
        <v>Empresas estatais</v>
      </c>
      <c r="S242" t="s">
        <v>64</v>
      </c>
    </row>
    <row r="243" spans="1:19" x14ac:dyDescent="0.25">
      <c r="A243" s="8"/>
      <c r="B243" s="8">
        <v>2150</v>
      </c>
      <c r="C243" s="9" t="s">
        <v>290</v>
      </c>
      <c r="D243" s="1" t="s">
        <v>37</v>
      </c>
      <c r="E243" s="10" t="s">
        <v>0</v>
      </c>
      <c r="F243" s="11">
        <v>37226</v>
      </c>
      <c r="G243" s="12">
        <v>45597</v>
      </c>
      <c r="H243" s="13" t="s">
        <v>1</v>
      </c>
      <c r="I243" s="8" t="s">
        <v>2</v>
      </c>
      <c r="J243" s="14"/>
      <c r="K243" s="17" t="s">
        <v>95</v>
      </c>
      <c r="L243" t="s">
        <v>96</v>
      </c>
      <c r="M243" t="s">
        <v>15</v>
      </c>
      <c r="N243" t="str">
        <f t="shared" si="60"/>
        <v>https://api.bcb.gov.br/dados/serie/bcdata.sgs.2150/dados?formato=json</v>
      </c>
      <c r="O243">
        <v>7</v>
      </c>
      <c r="P243" t="s">
        <v>19</v>
      </c>
      <c r="Q243" t="s">
        <v>19</v>
      </c>
      <c r="R243" t="str">
        <f t="shared" si="61"/>
        <v>NFSP sem desvalorização cambial - Fluxo mensal corrente (u.m.c.) - Resultado primário - Total - Empresas estatais federais</v>
      </c>
      <c r="S243" t="s">
        <v>64</v>
      </c>
    </row>
    <row r="244" spans="1:19" x14ac:dyDescent="0.25">
      <c r="A244" s="1"/>
      <c r="B244" s="1">
        <v>2151</v>
      </c>
      <c r="C244" s="2" t="s">
        <v>295</v>
      </c>
      <c r="D244" s="1" t="s">
        <v>37</v>
      </c>
      <c r="E244" s="3" t="s">
        <v>0</v>
      </c>
      <c r="F244" s="4">
        <v>35065</v>
      </c>
      <c r="G244" s="5">
        <v>45597</v>
      </c>
      <c r="H244" s="6" t="s">
        <v>1</v>
      </c>
      <c r="I244" s="1" t="s">
        <v>2</v>
      </c>
      <c r="J244" s="7"/>
      <c r="K244" s="17" t="s">
        <v>95</v>
      </c>
      <c r="L244" t="s">
        <v>96</v>
      </c>
      <c r="M244" t="s">
        <v>15</v>
      </c>
      <c r="N244" t="str">
        <f t="shared" si="60"/>
        <v>https://api.bcb.gov.br/dados/serie/bcdata.sgs.2151/dados?formato=json</v>
      </c>
      <c r="O244">
        <v>7</v>
      </c>
      <c r="P244" t="s">
        <v>19</v>
      </c>
      <c r="Q244" t="s">
        <v>19</v>
      </c>
      <c r="R244" t="str">
        <f t="shared" si="61"/>
        <v>NFSP sem desvalorização cambial - Fluxo mensal corrente (u.m.c.) - Resultado primário - Total - Empresas estatais estaduais</v>
      </c>
      <c r="S244" t="s">
        <v>64</v>
      </c>
    </row>
    <row r="245" spans="1:19" x14ac:dyDescent="0.25">
      <c r="A245" s="8"/>
      <c r="B245" s="8">
        <v>2152</v>
      </c>
      <c r="C245" s="9" t="s">
        <v>299</v>
      </c>
      <c r="D245" s="1" t="s">
        <v>37</v>
      </c>
      <c r="E245" s="10" t="s">
        <v>0</v>
      </c>
      <c r="F245" s="11">
        <v>35065</v>
      </c>
      <c r="G245" s="12">
        <v>45597</v>
      </c>
      <c r="H245" s="13" t="s">
        <v>1</v>
      </c>
      <c r="I245" s="8" t="s">
        <v>2</v>
      </c>
      <c r="J245" s="14"/>
      <c r="K245" s="17" t="s">
        <v>95</v>
      </c>
      <c r="L245" t="s">
        <v>96</v>
      </c>
      <c r="M245" t="s">
        <v>15</v>
      </c>
      <c r="N245" t="str">
        <f t="shared" si="60"/>
        <v>https://api.bcb.gov.br/dados/serie/bcdata.sgs.2152/dados?formato=json</v>
      </c>
      <c r="O245">
        <v>7</v>
      </c>
      <c r="P245" t="s">
        <v>19</v>
      </c>
      <c r="Q245" t="s">
        <v>19</v>
      </c>
      <c r="R245" t="str">
        <f t="shared" si="61"/>
        <v>NFSP sem desvalorização cambial - Fluxo mensal corrente (u.m.c.) - Resultado primário - Total - Empresas estatais municipais</v>
      </c>
      <c r="S245" t="s">
        <v>64</v>
      </c>
    </row>
    <row r="246" spans="1:19" x14ac:dyDescent="0.25">
      <c r="A246" s="1"/>
      <c r="B246" s="1">
        <v>4144</v>
      </c>
      <c r="C246" s="2" t="s">
        <v>35</v>
      </c>
      <c r="D246" s="1" t="s">
        <v>37</v>
      </c>
      <c r="E246" s="3" t="s">
        <v>0</v>
      </c>
      <c r="F246" s="4">
        <v>37226</v>
      </c>
      <c r="G246" s="5">
        <v>45597</v>
      </c>
      <c r="H246" s="6" t="s">
        <v>1</v>
      </c>
      <c r="I246" s="1" t="s">
        <v>2</v>
      </c>
      <c r="J246" s="7"/>
      <c r="K246" s="17" t="s">
        <v>95</v>
      </c>
      <c r="L246" t="s">
        <v>96</v>
      </c>
      <c r="M246" t="s">
        <v>15</v>
      </c>
      <c r="N246" t="str">
        <f t="shared" si="60"/>
        <v>https://api.bcb.gov.br/dados/serie/bcdata.sgs.4144/dados?formato=json</v>
      </c>
      <c r="O246">
        <v>7</v>
      </c>
      <c r="P246" t="s">
        <v>19</v>
      </c>
      <c r="Q246" t="s">
        <v>19</v>
      </c>
      <c r="R246" t="str">
        <f t="shared" si="61"/>
        <v>Setor público consolidado</v>
      </c>
      <c r="S246" t="s">
        <v>64</v>
      </c>
    </row>
    <row r="247" spans="1:19" x14ac:dyDescent="0.25">
      <c r="A247" s="8"/>
      <c r="B247" s="8">
        <v>7851</v>
      </c>
      <c r="C247" s="9" t="s">
        <v>93</v>
      </c>
      <c r="D247" s="1" t="s">
        <v>37</v>
      </c>
      <c r="E247" s="10" t="s">
        <v>0</v>
      </c>
      <c r="F247" s="11">
        <v>36161</v>
      </c>
      <c r="G247" s="12">
        <v>45597</v>
      </c>
      <c r="H247" s="13" t="s">
        <v>1</v>
      </c>
      <c r="I247" s="8" t="s">
        <v>2</v>
      </c>
      <c r="J247" s="14"/>
      <c r="K247" s="17" t="s">
        <v>95</v>
      </c>
      <c r="L247" t="s">
        <v>96</v>
      </c>
      <c r="M247" t="s">
        <v>15</v>
      </c>
      <c r="N247" t="str">
        <f t="shared" si="60"/>
        <v>https://api.bcb.gov.br/dados/serie/bcdata.sgs.7851/dados?formato=json</v>
      </c>
      <c r="O247">
        <v>7</v>
      </c>
      <c r="P247" t="s">
        <v>19</v>
      </c>
      <c r="Q247" t="s">
        <v>19</v>
      </c>
      <c r="R247" t="str">
        <f t="shared" si="61"/>
        <v>Governo Federal sem INSS</v>
      </c>
      <c r="S247" t="s">
        <v>64</v>
      </c>
    </row>
    <row r="248" spans="1:19" x14ac:dyDescent="0.25">
      <c r="A248" s="1"/>
      <c r="B248" s="1">
        <v>7852</v>
      </c>
      <c r="C248" s="2" t="s">
        <v>94</v>
      </c>
      <c r="D248" s="1" t="s">
        <v>37</v>
      </c>
      <c r="E248" s="3" t="s">
        <v>0</v>
      </c>
      <c r="F248" s="4">
        <v>35796</v>
      </c>
      <c r="G248" s="5">
        <v>45597</v>
      </c>
      <c r="H248" s="6" t="s">
        <v>1</v>
      </c>
      <c r="I248" s="1" t="s">
        <v>2</v>
      </c>
      <c r="J248" s="7"/>
      <c r="K248" s="17" t="s">
        <v>95</v>
      </c>
      <c r="L248" t="s">
        <v>96</v>
      </c>
      <c r="M248" t="s">
        <v>15</v>
      </c>
      <c r="N248" t="str">
        <f t="shared" si="60"/>
        <v>https://api.bcb.gov.br/dados/serie/bcdata.sgs.7852/dados?formato=json</v>
      </c>
      <c r="O248">
        <v>7</v>
      </c>
      <c r="P248" t="s">
        <v>19</v>
      </c>
      <c r="Q248" t="s">
        <v>19</v>
      </c>
      <c r="R248" t="str">
        <f t="shared" si="61"/>
        <v>NFSP - Fluxo mensal corrente (u.m.c.) - Resultado primário - Total - INSS</v>
      </c>
      <c r="S248" t="s">
        <v>64</v>
      </c>
    </row>
    <row r="249" spans="1:19" x14ac:dyDescent="0.25">
      <c r="A249" s="1"/>
      <c r="B249" s="1">
        <v>4151</v>
      </c>
      <c r="C249" s="2" t="s">
        <v>97</v>
      </c>
      <c r="D249" s="1" t="s">
        <v>37</v>
      </c>
      <c r="E249" s="3" t="s">
        <v>0</v>
      </c>
      <c r="F249" s="4">
        <v>33269</v>
      </c>
      <c r="G249" s="5">
        <v>45597</v>
      </c>
      <c r="H249" s="6" t="s">
        <v>1</v>
      </c>
      <c r="I249" s="1" t="s">
        <v>2</v>
      </c>
      <c r="J249" s="7"/>
      <c r="K249" s="17" t="s">
        <v>171</v>
      </c>
      <c r="L249" t="s">
        <v>136</v>
      </c>
      <c r="M249" t="s">
        <v>15</v>
      </c>
      <c r="N249" t="str">
        <f t="shared" ref="N249:N262" si="62">_xlfn.CONCAT("https://api.bcb.gov.br/dados/serie/bcdata.sgs.",B249,"/dados?formato=json")</f>
        <v>https://api.bcb.gov.br/dados/serie/bcdata.sgs.4151/dados?formato=json</v>
      </c>
      <c r="O249">
        <v>7</v>
      </c>
      <c r="P249" t="s">
        <v>19</v>
      </c>
      <c r="Q249" t="s">
        <v>19</v>
      </c>
      <c r="R249" t="str">
        <f t="shared" ref="R249:R261" si="63">C249</f>
        <v>Total emitido</v>
      </c>
      <c r="S249" t="s">
        <v>24</v>
      </c>
    </row>
    <row r="250" spans="1:19" x14ac:dyDescent="0.25">
      <c r="A250" s="8"/>
      <c r="B250" s="8">
        <v>4152</v>
      </c>
      <c r="C250" s="9" t="s">
        <v>98</v>
      </c>
      <c r="D250" s="1" t="s">
        <v>37</v>
      </c>
      <c r="E250" s="10" t="s">
        <v>0</v>
      </c>
      <c r="F250" s="11">
        <v>36556</v>
      </c>
      <c r="G250" s="12">
        <v>45597</v>
      </c>
      <c r="H250" s="13" t="s">
        <v>1</v>
      </c>
      <c r="I250" s="8" t="s">
        <v>2</v>
      </c>
      <c r="J250" s="14"/>
      <c r="K250" s="17" t="s">
        <v>171</v>
      </c>
      <c r="L250" t="s">
        <v>136</v>
      </c>
      <c r="M250" t="s">
        <v>15</v>
      </c>
      <c r="N250" t="str">
        <f t="shared" si="62"/>
        <v>https://api.bcb.gov.br/dados/serie/bcdata.sgs.4152/dados?formato=json</v>
      </c>
      <c r="O250">
        <v>7</v>
      </c>
      <c r="P250" t="s">
        <v>19</v>
      </c>
      <c r="Q250" t="s">
        <v>19</v>
      </c>
      <c r="R250" t="str">
        <f t="shared" si="63"/>
        <v>Carteira do Banco Central</v>
      </c>
      <c r="S250" t="s">
        <v>24</v>
      </c>
    </row>
    <row r="251" spans="1:19" x14ac:dyDescent="0.25">
      <c r="A251" s="1"/>
      <c r="B251" s="1">
        <v>4153</v>
      </c>
      <c r="C251" s="2" t="s">
        <v>99</v>
      </c>
      <c r="D251" s="1" t="s">
        <v>37</v>
      </c>
      <c r="E251" s="3" t="s">
        <v>0</v>
      </c>
      <c r="F251" s="4">
        <v>33269</v>
      </c>
      <c r="G251" s="5">
        <v>45597</v>
      </c>
      <c r="H251" s="6" t="s">
        <v>1</v>
      </c>
      <c r="I251" s="1" t="s">
        <v>2</v>
      </c>
      <c r="J251" s="7"/>
      <c r="K251" s="17" t="s">
        <v>171</v>
      </c>
      <c r="L251" t="s">
        <v>136</v>
      </c>
      <c r="M251" t="s">
        <v>15</v>
      </c>
      <c r="N251" t="str">
        <f t="shared" si="62"/>
        <v>https://api.bcb.gov.br/dados/serie/bcdata.sgs.4153/dados?formato=json</v>
      </c>
      <c r="O251">
        <v>7</v>
      </c>
      <c r="P251" t="s">
        <v>19</v>
      </c>
      <c r="Q251" t="s">
        <v>19</v>
      </c>
      <c r="R251" t="str">
        <f t="shared" si="63"/>
        <v>Títulos Públicos Federais (posição de custódia)</v>
      </c>
      <c r="S251" t="s">
        <v>24</v>
      </c>
    </row>
    <row r="252" spans="1:19" x14ac:dyDescent="0.25">
      <c r="A252" s="8"/>
      <c r="B252" s="8">
        <v>4154</v>
      </c>
      <c r="C252" s="9" t="s">
        <v>100</v>
      </c>
      <c r="D252" s="1" t="s">
        <v>37</v>
      </c>
      <c r="E252" s="10" t="s">
        <v>0</v>
      </c>
      <c r="F252" s="11">
        <v>36556</v>
      </c>
      <c r="G252" s="12">
        <v>45597</v>
      </c>
      <c r="H252" s="13" t="s">
        <v>1</v>
      </c>
      <c r="I252" s="8" t="s">
        <v>2</v>
      </c>
      <c r="J252" s="14"/>
      <c r="K252" s="17" t="s">
        <v>171</v>
      </c>
      <c r="L252" t="s">
        <v>136</v>
      </c>
      <c r="M252" t="s">
        <v>15</v>
      </c>
      <c r="N252" t="str">
        <f t="shared" si="62"/>
        <v>https://api.bcb.gov.br/dados/serie/bcdata.sgs.4154/dados?formato=json</v>
      </c>
      <c r="O252">
        <v>7</v>
      </c>
      <c r="P252" t="s">
        <v>19</v>
      </c>
      <c r="Q252" t="s">
        <v>19</v>
      </c>
      <c r="R252" t="str">
        <f t="shared" si="63"/>
        <v>Total em mercado</v>
      </c>
      <c r="S252" t="s">
        <v>24</v>
      </c>
    </row>
    <row r="253" spans="1:19" x14ac:dyDescent="0.25">
      <c r="A253" s="8"/>
      <c r="B253" s="8">
        <v>4156</v>
      </c>
      <c r="C253" s="9" t="s">
        <v>101</v>
      </c>
      <c r="D253" s="1" t="s">
        <v>37</v>
      </c>
      <c r="E253" s="10" t="s">
        <v>0</v>
      </c>
      <c r="F253" s="11">
        <v>36556</v>
      </c>
      <c r="G253" s="12">
        <v>45597</v>
      </c>
      <c r="H253" s="13" t="s">
        <v>1</v>
      </c>
      <c r="I253" s="8" t="s">
        <v>2</v>
      </c>
      <c r="J253" s="14"/>
      <c r="K253" s="17" t="s">
        <v>171</v>
      </c>
      <c r="L253" t="s">
        <v>136</v>
      </c>
      <c r="M253" t="s">
        <v>15</v>
      </c>
      <c r="N253" t="str">
        <f t="shared" si="62"/>
        <v>https://api.bcb.gov.br/dados/serie/bcdata.sgs.4156/dados?formato=json</v>
      </c>
      <c r="O253">
        <v>7</v>
      </c>
      <c r="P253" t="s">
        <v>19</v>
      </c>
      <c r="Q253" t="s">
        <v>19</v>
      </c>
      <c r="R253" t="str">
        <f t="shared" si="63"/>
        <v>Títulos do Tesouro Nacional-posição em carteira - LTN</v>
      </c>
      <c r="S253" t="s">
        <v>24</v>
      </c>
    </row>
    <row r="254" spans="1:19" x14ac:dyDescent="0.25">
      <c r="A254" s="1"/>
      <c r="B254" s="1">
        <v>4157</v>
      </c>
      <c r="C254" s="2" t="s">
        <v>102</v>
      </c>
      <c r="D254" s="1" t="s">
        <v>37</v>
      </c>
      <c r="E254" s="3" t="s">
        <v>0</v>
      </c>
      <c r="F254" s="4">
        <v>36556</v>
      </c>
      <c r="G254" s="5">
        <v>45597</v>
      </c>
      <c r="H254" s="6" t="s">
        <v>1</v>
      </c>
      <c r="I254" s="1" t="s">
        <v>2</v>
      </c>
      <c r="J254" s="7"/>
      <c r="K254" s="17" t="s">
        <v>171</v>
      </c>
      <c r="L254" t="s">
        <v>136</v>
      </c>
      <c r="M254" t="s">
        <v>15</v>
      </c>
      <c r="N254" t="str">
        <f t="shared" si="62"/>
        <v>https://api.bcb.gov.br/dados/serie/bcdata.sgs.4157/dados?formato=json</v>
      </c>
      <c r="O254">
        <v>7</v>
      </c>
      <c r="P254" t="s">
        <v>19</v>
      </c>
      <c r="Q254" t="s">
        <v>19</v>
      </c>
      <c r="R254" t="str">
        <f t="shared" si="63"/>
        <v>Títulos do Tesouro Nacional-posição em carteira - LFT</v>
      </c>
      <c r="S254" t="s">
        <v>24</v>
      </c>
    </row>
    <row r="255" spans="1:19" x14ac:dyDescent="0.25">
      <c r="A255" s="8"/>
      <c r="B255" s="8">
        <v>4158</v>
      </c>
      <c r="C255" s="9" t="s">
        <v>103</v>
      </c>
      <c r="D255" s="1" t="s">
        <v>37</v>
      </c>
      <c r="E255" s="10" t="s">
        <v>0</v>
      </c>
      <c r="F255" s="11">
        <v>36556</v>
      </c>
      <c r="G255" s="12">
        <v>45597</v>
      </c>
      <c r="H255" s="13" t="s">
        <v>1</v>
      </c>
      <c r="I255" s="8" t="s">
        <v>2</v>
      </c>
      <c r="J255" s="14"/>
      <c r="K255" s="17" t="s">
        <v>171</v>
      </c>
      <c r="L255" t="s">
        <v>136</v>
      </c>
      <c r="M255" t="s">
        <v>15</v>
      </c>
      <c r="N255" t="str">
        <f t="shared" si="62"/>
        <v>https://api.bcb.gov.br/dados/serie/bcdata.sgs.4158/dados?formato=json</v>
      </c>
      <c r="O255">
        <v>7</v>
      </c>
      <c r="P255" t="s">
        <v>19</v>
      </c>
      <c r="Q255" t="s">
        <v>19</v>
      </c>
      <c r="R255" t="str">
        <f t="shared" si="63"/>
        <v>Títulos do Tesouro Nacional-posição em carteira - NTN</v>
      </c>
      <c r="S255" t="s">
        <v>24</v>
      </c>
    </row>
    <row r="256" spans="1:19" x14ac:dyDescent="0.25">
      <c r="A256" s="1"/>
      <c r="B256" s="1">
        <v>4159</v>
      </c>
      <c r="C256" s="2" t="s">
        <v>104</v>
      </c>
      <c r="D256" s="1" t="s">
        <v>37</v>
      </c>
      <c r="E256" s="3" t="s">
        <v>0</v>
      </c>
      <c r="F256" s="4">
        <v>36556</v>
      </c>
      <c r="G256" s="5">
        <v>45597</v>
      </c>
      <c r="H256" s="6" t="s">
        <v>1</v>
      </c>
      <c r="I256" s="1" t="s">
        <v>2</v>
      </c>
      <c r="J256" s="7"/>
      <c r="K256" s="17" t="s">
        <v>171</v>
      </c>
      <c r="L256" t="s">
        <v>136</v>
      </c>
      <c r="M256" t="s">
        <v>15</v>
      </c>
      <c r="N256" t="str">
        <f t="shared" si="62"/>
        <v>https://api.bcb.gov.br/dados/serie/bcdata.sgs.4159/dados?formato=json</v>
      </c>
      <c r="O256">
        <v>7</v>
      </c>
      <c r="P256" t="s">
        <v>19</v>
      </c>
      <c r="Q256" t="s">
        <v>19</v>
      </c>
      <c r="R256" t="str">
        <f t="shared" si="63"/>
        <v>Títulos do Tesouro Nacional-posição em carteira - CTN</v>
      </c>
      <c r="S256" t="s">
        <v>24</v>
      </c>
    </row>
    <row r="257" spans="1:19" x14ac:dyDescent="0.25">
      <c r="A257" s="8"/>
      <c r="B257" s="8">
        <v>4160</v>
      </c>
      <c r="C257" s="9" t="s">
        <v>105</v>
      </c>
      <c r="D257" s="1" t="s">
        <v>37</v>
      </c>
      <c r="E257" s="10" t="s">
        <v>0</v>
      </c>
      <c r="F257" s="11">
        <v>36556</v>
      </c>
      <c r="G257" s="12">
        <v>45597</v>
      </c>
      <c r="H257" s="13" t="s">
        <v>1</v>
      </c>
      <c r="I257" s="8" t="s">
        <v>2</v>
      </c>
      <c r="J257" s="14"/>
      <c r="K257" s="17" t="s">
        <v>171</v>
      </c>
      <c r="L257" t="s">
        <v>136</v>
      </c>
      <c r="M257" t="s">
        <v>15</v>
      </c>
      <c r="N257" t="str">
        <f t="shared" si="62"/>
        <v>https://api.bcb.gov.br/dados/serie/bcdata.sgs.4160/dados?formato=json</v>
      </c>
      <c r="O257">
        <v>7</v>
      </c>
      <c r="P257" t="s">
        <v>19</v>
      </c>
      <c r="Q257" t="s">
        <v>19</v>
      </c>
      <c r="R257" t="str">
        <f t="shared" si="63"/>
        <v>Títulos do Tesouro Nacional-posição em carteira - CFT</v>
      </c>
      <c r="S257" t="s">
        <v>24</v>
      </c>
    </row>
    <row r="258" spans="1:19" x14ac:dyDescent="0.25">
      <c r="A258" s="1"/>
      <c r="B258" s="1">
        <v>4161</v>
      </c>
      <c r="C258" s="2" t="s">
        <v>106</v>
      </c>
      <c r="D258" s="1" t="s">
        <v>37</v>
      </c>
      <c r="E258" s="3" t="s">
        <v>0</v>
      </c>
      <c r="F258" s="4">
        <v>36556</v>
      </c>
      <c r="G258" s="5">
        <v>45597</v>
      </c>
      <c r="H258" s="6" t="s">
        <v>1</v>
      </c>
      <c r="I258" s="1" t="s">
        <v>2</v>
      </c>
      <c r="J258" s="7"/>
      <c r="K258" s="17" t="s">
        <v>171</v>
      </c>
      <c r="L258" t="s">
        <v>136</v>
      </c>
      <c r="M258" t="s">
        <v>15</v>
      </c>
      <c r="N258" t="str">
        <f t="shared" si="62"/>
        <v>https://api.bcb.gov.br/dados/serie/bcdata.sgs.4161/dados?formato=json</v>
      </c>
      <c r="O258">
        <v>7</v>
      </c>
      <c r="P258" t="s">
        <v>19</v>
      </c>
      <c r="Q258" t="s">
        <v>19</v>
      </c>
      <c r="R258" t="str">
        <f t="shared" si="63"/>
        <v>Títulos do Tesouro Nacional-posição em carteira - BTN</v>
      </c>
      <c r="S258" t="s">
        <v>24</v>
      </c>
    </row>
    <row r="259" spans="1:19" x14ac:dyDescent="0.25">
      <c r="A259" s="8"/>
      <c r="B259" s="8">
        <v>4162</v>
      </c>
      <c r="C259" s="9" t="s">
        <v>107</v>
      </c>
      <c r="D259" s="1" t="s">
        <v>37</v>
      </c>
      <c r="E259" s="10" t="s">
        <v>0</v>
      </c>
      <c r="F259" s="11">
        <v>36556</v>
      </c>
      <c r="G259" s="12">
        <v>45597</v>
      </c>
      <c r="H259" s="13" t="s">
        <v>1</v>
      </c>
      <c r="I259" s="8" t="s">
        <v>2</v>
      </c>
      <c r="J259" s="14"/>
      <c r="K259" s="17" t="s">
        <v>171</v>
      </c>
      <c r="L259" t="s">
        <v>136</v>
      </c>
      <c r="M259" t="s">
        <v>15</v>
      </c>
      <c r="N259" t="str">
        <f t="shared" si="62"/>
        <v>https://api.bcb.gov.br/dados/serie/bcdata.sgs.4162/dados?formato=json</v>
      </c>
      <c r="O259">
        <v>7</v>
      </c>
      <c r="P259" t="s">
        <v>19</v>
      </c>
      <c r="Q259" t="s">
        <v>19</v>
      </c>
      <c r="R259" t="str">
        <f t="shared" si="63"/>
        <v>Títulos do Tesouro Nacional-posição em carteira - Créditos securitizados</v>
      </c>
      <c r="S259" t="s">
        <v>24</v>
      </c>
    </row>
    <row r="260" spans="1:19" x14ac:dyDescent="0.25">
      <c r="A260" s="1"/>
      <c r="B260" s="1">
        <v>4163</v>
      </c>
      <c r="C260" s="2" t="s">
        <v>108</v>
      </c>
      <c r="D260" s="1" t="s">
        <v>37</v>
      </c>
      <c r="E260" s="3" t="s">
        <v>0</v>
      </c>
      <c r="F260" s="4">
        <v>36556</v>
      </c>
      <c r="G260" s="5">
        <v>45597</v>
      </c>
      <c r="H260" s="6" t="s">
        <v>1</v>
      </c>
      <c r="I260" s="1" t="s">
        <v>2</v>
      </c>
      <c r="J260" s="7"/>
      <c r="K260" s="17" t="s">
        <v>171</v>
      </c>
      <c r="L260" t="s">
        <v>136</v>
      </c>
      <c r="M260" t="s">
        <v>15</v>
      </c>
      <c r="N260" t="str">
        <f t="shared" si="62"/>
        <v>https://api.bcb.gov.br/dados/serie/bcdata.sgs.4163/dados?formato=json</v>
      </c>
      <c r="O260">
        <v>7</v>
      </c>
      <c r="P260" t="s">
        <v>19</v>
      </c>
      <c r="Q260" t="s">
        <v>19</v>
      </c>
      <c r="R260" t="str">
        <f t="shared" si="63"/>
        <v>Títulos do Tesouro Nacional-posição em carteira - Dívida agrícola</v>
      </c>
      <c r="S260" t="s">
        <v>24</v>
      </c>
    </row>
    <row r="261" spans="1:19" x14ac:dyDescent="0.25">
      <c r="A261" s="8"/>
      <c r="B261" s="8">
        <v>4164</v>
      </c>
      <c r="C261" s="9" t="s">
        <v>109</v>
      </c>
      <c r="D261" s="1" t="s">
        <v>37</v>
      </c>
      <c r="E261" s="10" t="s">
        <v>0</v>
      </c>
      <c r="F261" s="11">
        <v>36556</v>
      </c>
      <c r="G261" s="12">
        <v>45597</v>
      </c>
      <c r="H261" s="13" t="s">
        <v>1</v>
      </c>
      <c r="I261" s="8" t="s">
        <v>2</v>
      </c>
      <c r="J261" s="14"/>
      <c r="K261" s="17" t="s">
        <v>171</v>
      </c>
      <c r="L261" t="s">
        <v>136</v>
      </c>
      <c r="M261" t="s">
        <v>15</v>
      </c>
      <c r="N261" t="str">
        <f t="shared" si="62"/>
        <v>https://api.bcb.gov.br/dados/serie/bcdata.sgs.4164/dados?formato=json</v>
      </c>
      <c r="O261">
        <v>7</v>
      </c>
      <c r="P261" t="s">
        <v>19</v>
      </c>
      <c r="Q261" t="s">
        <v>19</v>
      </c>
      <c r="R261" t="str">
        <f t="shared" si="63"/>
        <v>Títulos do Tesouro Nacional-posição em carteira - TDA</v>
      </c>
      <c r="S261" t="s">
        <v>24</v>
      </c>
    </row>
    <row r="262" spans="1:19" x14ac:dyDescent="0.25">
      <c r="A262" s="1"/>
      <c r="B262" s="1">
        <v>4165</v>
      </c>
      <c r="C262" s="2" t="s">
        <v>110</v>
      </c>
      <c r="D262" s="1" t="s">
        <v>37</v>
      </c>
      <c r="E262" s="3" t="s">
        <v>0</v>
      </c>
      <c r="F262" s="4">
        <v>36556</v>
      </c>
      <c r="G262" s="5">
        <v>45597</v>
      </c>
      <c r="H262" s="6" t="s">
        <v>1</v>
      </c>
      <c r="I262" s="1" t="s">
        <v>2</v>
      </c>
      <c r="J262" s="7"/>
      <c r="K262" s="17" t="s">
        <v>171</v>
      </c>
      <c r="L262" t="s">
        <v>136</v>
      </c>
      <c r="M262" t="s">
        <v>15</v>
      </c>
      <c r="N262" t="str">
        <f t="shared" si="62"/>
        <v>https://api.bcb.gov.br/dados/serie/bcdata.sgs.4165/dados?formato=json</v>
      </c>
      <c r="O262">
        <v>7</v>
      </c>
      <c r="P262" t="s">
        <v>19</v>
      </c>
      <c r="Q262" t="s">
        <v>19</v>
      </c>
      <c r="R262" t="str">
        <f>C262</f>
        <v>Títulos do Tesouro Nacional-posição em carteira - CDP</v>
      </c>
      <c r="S262" t="s">
        <v>24</v>
      </c>
    </row>
    <row r="263" spans="1:19" x14ac:dyDescent="0.25">
      <c r="A263" s="1"/>
      <c r="B263" s="1">
        <v>2213</v>
      </c>
      <c r="C263" s="2" t="s">
        <v>97</v>
      </c>
      <c r="D263" s="1" t="s">
        <v>37</v>
      </c>
      <c r="E263" s="3" t="s">
        <v>0</v>
      </c>
      <c r="F263" s="4">
        <v>33269</v>
      </c>
      <c r="G263" s="5">
        <v>45597</v>
      </c>
      <c r="H263" s="6" t="s">
        <v>1</v>
      </c>
      <c r="I263" s="1" t="s">
        <v>2</v>
      </c>
      <c r="J263" s="7"/>
      <c r="K263" s="17" t="s">
        <v>172</v>
      </c>
      <c r="L263" t="s">
        <v>136</v>
      </c>
      <c r="M263" t="s">
        <v>15</v>
      </c>
      <c r="N263" t="str">
        <f t="shared" ref="N263:N276" si="64">_xlfn.CONCAT("https://api.bcb.gov.br/dados/serie/bcdata.sgs.",B263,"/dados?formato=json")</f>
        <v>https://api.bcb.gov.br/dados/serie/bcdata.sgs.2213/dados?formato=json</v>
      </c>
      <c r="O263">
        <v>7</v>
      </c>
      <c r="P263" t="s">
        <v>19</v>
      </c>
      <c r="Q263" t="s">
        <v>19</v>
      </c>
      <c r="R263" t="str">
        <f t="shared" ref="R263:R276" si="65">C263</f>
        <v>Total emitido</v>
      </c>
      <c r="S263" t="s">
        <v>24</v>
      </c>
    </row>
    <row r="264" spans="1:19" x14ac:dyDescent="0.25">
      <c r="A264" s="8"/>
      <c r="B264" s="8">
        <v>2214</v>
      </c>
      <c r="C264" s="9" t="s">
        <v>98</v>
      </c>
      <c r="D264" s="1" t="s">
        <v>37</v>
      </c>
      <c r="E264" s="10" t="s">
        <v>0</v>
      </c>
      <c r="F264" s="11">
        <v>33269</v>
      </c>
      <c r="G264" s="12">
        <v>45597</v>
      </c>
      <c r="H264" s="13" t="s">
        <v>1</v>
      </c>
      <c r="I264" s="8" t="s">
        <v>2</v>
      </c>
      <c r="J264" s="14"/>
      <c r="K264" s="17" t="s">
        <v>172</v>
      </c>
      <c r="L264" t="s">
        <v>136</v>
      </c>
      <c r="M264" t="s">
        <v>15</v>
      </c>
      <c r="N264" t="str">
        <f t="shared" si="64"/>
        <v>https://api.bcb.gov.br/dados/serie/bcdata.sgs.2214/dados?formato=json</v>
      </c>
      <c r="O264">
        <v>7</v>
      </c>
      <c r="P264" t="s">
        <v>19</v>
      </c>
      <c r="Q264" t="s">
        <v>19</v>
      </c>
      <c r="R264" t="str">
        <f t="shared" si="65"/>
        <v>Carteira do Banco Central</v>
      </c>
      <c r="S264" t="s">
        <v>24</v>
      </c>
    </row>
    <row r="265" spans="1:19" x14ac:dyDescent="0.25">
      <c r="A265" s="1"/>
      <c r="B265" s="1">
        <v>2215</v>
      </c>
      <c r="C265" s="2" t="s">
        <v>111</v>
      </c>
      <c r="D265" s="1" t="s">
        <v>37</v>
      </c>
      <c r="E265" s="3" t="s">
        <v>0</v>
      </c>
      <c r="F265" s="4">
        <v>33269</v>
      </c>
      <c r="G265" s="5">
        <v>45597</v>
      </c>
      <c r="H265" s="6" t="s">
        <v>1</v>
      </c>
      <c r="I265" s="1" t="s">
        <v>2</v>
      </c>
      <c r="J265" s="7"/>
      <c r="K265" s="17" t="s">
        <v>172</v>
      </c>
      <c r="L265" t="s">
        <v>136</v>
      </c>
      <c r="M265" t="s">
        <v>15</v>
      </c>
      <c r="N265" t="str">
        <f t="shared" si="64"/>
        <v>https://api.bcb.gov.br/dados/serie/bcdata.sgs.2215/dados?formato=json</v>
      </c>
      <c r="O265">
        <v>7</v>
      </c>
      <c r="P265" t="s">
        <v>19</v>
      </c>
      <c r="Q265" t="s">
        <v>19</v>
      </c>
      <c r="R265" t="str">
        <f t="shared" si="65"/>
        <v>Tesouraria MP nº 1.789</v>
      </c>
      <c r="S265" t="s">
        <v>24</v>
      </c>
    </row>
    <row r="266" spans="1:19" x14ac:dyDescent="0.25">
      <c r="A266" s="8"/>
      <c r="B266" s="8">
        <v>2216</v>
      </c>
      <c r="C266" s="9" t="s">
        <v>100</v>
      </c>
      <c r="D266" s="1" t="s">
        <v>37</v>
      </c>
      <c r="E266" s="10" t="s">
        <v>0</v>
      </c>
      <c r="F266" s="11">
        <v>25599</v>
      </c>
      <c r="G266" s="12">
        <v>45597</v>
      </c>
      <c r="H266" s="13" t="s">
        <v>1</v>
      </c>
      <c r="I266" s="8" t="s">
        <v>2</v>
      </c>
      <c r="J266" s="14"/>
      <c r="K266" s="17" t="s">
        <v>172</v>
      </c>
      <c r="L266" t="s">
        <v>136</v>
      </c>
      <c r="M266" t="s">
        <v>15</v>
      </c>
      <c r="N266" t="str">
        <f t="shared" si="64"/>
        <v>https://api.bcb.gov.br/dados/serie/bcdata.sgs.2216/dados?formato=json</v>
      </c>
      <c r="O266">
        <v>7</v>
      </c>
      <c r="P266" t="s">
        <v>19</v>
      </c>
      <c r="Q266" t="s">
        <v>19</v>
      </c>
      <c r="R266" t="str">
        <f t="shared" si="65"/>
        <v>Total em mercado</v>
      </c>
      <c r="S266" t="s">
        <v>24</v>
      </c>
    </row>
    <row r="267" spans="1:19" x14ac:dyDescent="0.25">
      <c r="A267" s="1"/>
      <c r="B267" s="1">
        <v>2217</v>
      </c>
      <c r="C267" s="2" t="s">
        <v>112</v>
      </c>
      <c r="D267" s="1" t="s">
        <v>37</v>
      </c>
      <c r="E267" s="3" t="s">
        <v>0</v>
      </c>
      <c r="F267" s="4">
        <v>33269</v>
      </c>
      <c r="G267" s="5">
        <v>45597</v>
      </c>
      <c r="H267" s="6" t="s">
        <v>1</v>
      </c>
      <c r="I267" s="1" t="s">
        <v>2</v>
      </c>
      <c r="J267" s="7"/>
      <c r="K267" s="17" t="s">
        <v>172</v>
      </c>
      <c r="L267" t="s">
        <v>136</v>
      </c>
      <c r="M267" t="s">
        <v>15</v>
      </c>
      <c r="N267" t="str">
        <f t="shared" si="64"/>
        <v>https://api.bcb.gov.br/dados/serie/bcdata.sgs.2217/dados?formato=json</v>
      </c>
      <c r="O267">
        <v>7</v>
      </c>
      <c r="P267" t="s">
        <v>19</v>
      </c>
      <c r="Q267" t="s">
        <v>19</v>
      </c>
      <c r="R267" t="str">
        <f t="shared" si="65"/>
        <v>Títulos do Tesouro Nacional - posição de custódia - LTN</v>
      </c>
      <c r="S267" t="s">
        <v>24</v>
      </c>
    </row>
    <row r="268" spans="1:19" x14ac:dyDescent="0.25">
      <c r="A268" s="8"/>
      <c r="B268" s="8">
        <v>2218</v>
      </c>
      <c r="C268" s="9" t="s">
        <v>113</v>
      </c>
      <c r="D268" s="1" t="s">
        <v>37</v>
      </c>
      <c r="E268" s="10" t="s">
        <v>0</v>
      </c>
      <c r="F268" s="11">
        <v>33269</v>
      </c>
      <c r="G268" s="12">
        <v>45597</v>
      </c>
      <c r="H268" s="13" t="s">
        <v>1</v>
      </c>
      <c r="I268" s="8" t="s">
        <v>2</v>
      </c>
      <c r="J268" s="14"/>
      <c r="K268" s="17" t="s">
        <v>172</v>
      </c>
      <c r="L268" t="s">
        <v>136</v>
      </c>
      <c r="M268" t="s">
        <v>15</v>
      </c>
      <c r="N268" t="str">
        <f t="shared" si="64"/>
        <v>https://api.bcb.gov.br/dados/serie/bcdata.sgs.2218/dados?formato=json</v>
      </c>
      <c r="O268">
        <v>7</v>
      </c>
      <c r="P268" t="s">
        <v>19</v>
      </c>
      <c r="Q268" t="s">
        <v>19</v>
      </c>
      <c r="R268" t="str">
        <f t="shared" si="65"/>
        <v>Títulos do Tesouro Nacional - posição de custódia - LFT</v>
      </c>
      <c r="S268" t="s">
        <v>24</v>
      </c>
    </row>
    <row r="269" spans="1:19" x14ac:dyDescent="0.25">
      <c r="A269" s="1"/>
      <c r="B269" s="1">
        <v>2219</v>
      </c>
      <c r="C269" s="2" t="s">
        <v>114</v>
      </c>
      <c r="D269" s="1" t="s">
        <v>37</v>
      </c>
      <c r="E269" s="3" t="s">
        <v>0</v>
      </c>
      <c r="F269" s="4">
        <v>33269</v>
      </c>
      <c r="G269" s="5">
        <v>45597</v>
      </c>
      <c r="H269" s="6" t="s">
        <v>1</v>
      </c>
      <c r="I269" s="1" t="s">
        <v>2</v>
      </c>
      <c r="J269" s="7"/>
      <c r="K269" s="17" t="s">
        <v>172</v>
      </c>
      <c r="L269" t="s">
        <v>136</v>
      </c>
      <c r="M269" t="s">
        <v>15</v>
      </c>
      <c r="N269" t="str">
        <f t="shared" si="64"/>
        <v>https://api.bcb.gov.br/dados/serie/bcdata.sgs.2219/dados?formato=json</v>
      </c>
      <c r="O269">
        <v>7</v>
      </c>
      <c r="P269" t="s">
        <v>19</v>
      </c>
      <c r="Q269" t="s">
        <v>19</v>
      </c>
      <c r="R269" t="str">
        <f t="shared" si="65"/>
        <v>Títulos do Tesouro Nacional - posição de custódia - NTN</v>
      </c>
      <c r="S269" t="s">
        <v>24</v>
      </c>
    </row>
    <row r="270" spans="1:19" x14ac:dyDescent="0.25">
      <c r="A270" s="8"/>
      <c r="B270" s="8">
        <v>2220</v>
      </c>
      <c r="C270" s="9" t="s">
        <v>115</v>
      </c>
      <c r="D270" s="1" t="s">
        <v>37</v>
      </c>
      <c r="E270" s="10" t="s">
        <v>0</v>
      </c>
      <c r="F270" s="11">
        <v>33269</v>
      </c>
      <c r="G270" s="12">
        <v>45597</v>
      </c>
      <c r="H270" s="13" t="s">
        <v>1</v>
      </c>
      <c r="I270" s="8" t="s">
        <v>2</v>
      </c>
      <c r="J270" s="14"/>
      <c r="K270" s="17" t="s">
        <v>172</v>
      </c>
      <c r="L270" t="s">
        <v>136</v>
      </c>
      <c r="M270" t="s">
        <v>15</v>
      </c>
      <c r="N270" t="str">
        <f t="shared" si="64"/>
        <v>https://api.bcb.gov.br/dados/serie/bcdata.sgs.2220/dados?formato=json</v>
      </c>
      <c r="O270">
        <v>7</v>
      </c>
      <c r="P270" t="s">
        <v>19</v>
      </c>
      <c r="Q270" t="s">
        <v>19</v>
      </c>
      <c r="R270" t="str">
        <f t="shared" si="65"/>
        <v>Títulos do Tesouro Nacional - posição de custódia - CTN</v>
      </c>
      <c r="S270" t="s">
        <v>24</v>
      </c>
    </row>
    <row r="271" spans="1:19" x14ac:dyDescent="0.25">
      <c r="A271" s="1"/>
      <c r="B271" s="1">
        <v>2221</v>
      </c>
      <c r="C271" s="2" t="s">
        <v>116</v>
      </c>
      <c r="D271" s="1" t="s">
        <v>37</v>
      </c>
      <c r="E271" s="3" t="s">
        <v>0</v>
      </c>
      <c r="F271" s="4">
        <v>33269</v>
      </c>
      <c r="G271" s="5">
        <v>45597</v>
      </c>
      <c r="H271" s="6" t="s">
        <v>1</v>
      </c>
      <c r="I271" s="1" t="s">
        <v>2</v>
      </c>
      <c r="J271" s="7"/>
      <c r="K271" s="17" t="s">
        <v>172</v>
      </c>
      <c r="L271" t="s">
        <v>136</v>
      </c>
      <c r="M271" t="s">
        <v>15</v>
      </c>
      <c r="N271" t="str">
        <f t="shared" si="64"/>
        <v>https://api.bcb.gov.br/dados/serie/bcdata.sgs.2221/dados?formato=json</v>
      </c>
      <c r="O271">
        <v>7</v>
      </c>
      <c r="P271" t="s">
        <v>19</v>
      </c>
      <c r="Q271" t="s">
        <v>19</v>
      </c>
      <c r="R271" t="str">
        <f t="shared" si="65"/>
        <v>Títulos do Tesouro Nacional - posição de custódia - CFT</v>
      </c>
      <c r="S271" t="s">
        <v>24</v>
      </c>
    </row>
    <row r="272" spans="1:19" x14ac:dyDescent="0.25">
      <c r="A272" s="8"/>
      <c r="B272" s="8">
        <v>2222</v>
      </c>
      <c r="C272" s="9" t="s">
        <v>117</v>
      </c>
      <c r="D272" s="1" t="s">
        <v>37</v>
      </c>
      <c r="E272" s="10" t="s">
        <v>0</v>
      </c>
      <c r="F272" s="11">
        <v>33269</v>
      </c>
      <c r="G272" s="12">
        <v>45597</v>
      </c>
      <c r="H272" s="13" t="s">
        <v>1</v>
      </c>
      <c r="I272" s="8" t="s">
        <v>2</v>
      </c>
      <c r="J272" s="14"/>
      <c r="K272" s="17" t="s">
        <v>172</v>
      </c>
      <c r="L272" t="s">
        <v>136</v>
      </c>
      <c r="M272" t="s">
        <v>15</v>
      </c>
      <c r="N272" t="str">
        <f t="shared" si="64"/>
        <v>https://api.bcb.gov.br/dados/serie/bcdata.sgs.2222/dados?formato=json</v>
      </c>
      <c r="O272">
        <v>7</v>
      </c>
      <c r="P272" t="s">
        <v>19</v>
      </c>
      <c r="Q272" t="s">
        <v>19</v>
      </c>
      <c r="R272" t="str">
        <f t="shared" si="65"/>
        <v>Títulos do Tesouro Nacional - posição de custódia - BTN</v>
      </c>
      <c r="S272" t="s">
        <v>24</v>
      </c>
    </row>
    <row r="273" spans="1:19" x14ac:dyDescent="0.25">
      <c r="A273" s="1"/>
      <c r="B273" s="1">
        <v>2223</v>
      </c>
      <c r="C273" s="2" t="s">
        <v>118</v>
      </c>
      <c r="D273" s="1" t="s">
        <v>37</v>
      </c>
      <c r="E273" s="3" t="s">
        <v>0</v>
      </c>
      <c r="F273" s="4">
        <v>33269</v>
      </c>
      <c r="G273" s="5">
        <v>45597</v>
      </c>
      <c r="H273" s="6" t="s">
        <v>1</v>
      </c>
      <c r="I273" s="1" t="s">
        <v>2</v>
      </c>
      <c r="J273" s="7"/>
      <c r="K273" s="17" t="s">
        <v>172</v>
      </c>
      <c r="L273" t="s">
        <v>136</v>
      </c>
      <c r="M273" t="s">
        <v>15</v>
      </c>
      <c r="N273" t="str">
        <f t="shared" si="64"/>
        <v>https://api.bcb.gov.br/dados/serie/bcdata.sgs.2223/dados?formato=json</v>
      </c>
      <c r="O273">
        <v>7</v>
      </c>
      <c r="P273" t="s">
        <v>19</v>
      </c>
      <c r="Q273" t="s">
        <v>19</v>
      </c>
      <c r="R273" t="str">
        <f t="shared" si="65"/>
        <v>Títulos do Tesouro Nacional - posição de custódia - Créditos securitizados</v>
      </c>
      <c r="S273" t="s">
        <v>24</v>
      </c>
    </row>
    <row r="274" spans="1:19" x14ac:dyDescent="0.25">
      <c r="A274" s="8"/>
      <c r="B274" s="8">
        <v>2224</v>
      </c>
      <c r="C274" s="9" t="s">
        <v>119</v>
      </c>
      <c r="D274" s="1" t="s">
        <v>37</v>
      </c>
      <c r="E274" s="10" t="s">
        <v>0</v>
      </c>
      <c r="F274" s="11">
        <v>33269</v>
      </c>
      <c r="G274" s="12">
        <v>45597</v>
      </c>
      <c r="H274" s="13" t="s">
        <v>1</v>
      </c>
      <c r="I274" s="8" t="s">
        <v>2</v>
      </c>
      <c r="J274" s="14"/>
      <c r="K274" s="17" t="s">
        <v>172</v>
      </c>
      <c r="L274" t="s">
        <v>136</v>
      </c>
      <c r="M274" t="s">
        <v>15</v>
      </c>
      <c r="N274" t="str">
        <f t="shared" si="64"/>
        <v>https://api.bcb.gov.br/dados/serie/bcdata.sgs.2224/dados?formato=json</v>
      </c>
      <c r="O274">
        <v>7</v>
      </c>
      <c r="P274" t="s">
        <v>19</v>
      </c>
      <c r="Q274" t="s">
        <v>19</v>
      </c>
      <c r="R274" t="str">
        <f t="shared" si="65"/>
        <v>Títulos do Tesouro Nacional - posição de custódia - Dívida agrícola</v>
      </c>
      <c r="S274" t="s">
        <v>24</v>
      </c>
    </row>
    <row r="275" spans="1:19" x14ac:dyDescent="0.25">
      <c r="A275" s="1"/>
      <c r="B275" s="1">
        <v>2225</v>
      </c>
      <c r="C275" s="2" t="s">
        <v>120</v>
      </c>
      <c r="D275" s="1" t="s">
        <v>37</v>
      </c>
      <c r="E275" s="3" t="s">
        <v>0</v>
      </c>
      <c r="F275" s="4">
        <v>33269</v>
      </c>
      <c r="G275" s="5">
        <v>45597</v>
      </c>
      <c r="H275" s="6" t="s">
        <v>1</v>
      </c>
      <c r="I275" s="1" t="s">
        <v>2</v>
      </c>
      <c r="J275" s="7"/>
      <c r="K275" s="17" t="s">
        <v>172</v>
      </c>
      <c r="L275" t="s">
        <v>136</v>
      </c>
      <c r="M275" t="s">
        <v>15</v>
      </c>
      <c r="N275" t="str">
        <f t="shared" si="64"/>
        <v>https://api.bcb.gov.br/dados/serie/bcdata.sgs.2225/dados?formato=json</v>
      </c>
      <c r="O275">
        <v>7</v>
      </c>
      <c r="P275" t="s">
        <v>19</v>
      </c>
      <c r="Q275" t="s">
        <v>19</v>
      </c>
      <c r="R275" t="str">
        <f t="shared" si="65"/>
        <v>Títulos do Tesouro Nacional - posição de custódia - TDA</v>
      </c>
      <c r="S275" t="s">
        <v>24</v>
      </c>
    </row>
    <row r="276" spans="1:19" x14ac:dyDescent="0.25">
      <c r="A276" s="8"/>
      <c r="B276" s="8">
        <v>2226</v>
      </c>
      <c r="C276" s="9" t="s">
        <v>121</v>
      </c>
      <c r="D276" s="1" t="s">
        <v>37</v>
      </c>
      <c r="E276" s="10" t="s">
        <v>0</v>
      </c>
      <c r="F276" s="11">
        <v>33269</v>
      </c>
      <c r="G276" s="12">
        <v>45597</v>
      </c>
      <c r="H276" s="13" t="s">
        <v>1</v>
      </c>
      <c r="I276" s="8" t="s">
        <v>2</v>
      </c>
      <c r="J276" s="14"/>
      <c r="K276" s="17" t="s">
        <v>172</v>
      </c>
      <c r="L276" t="s">
        <v>136</v>
      </c>
      <c r="M276" t="s">
        <v>15</v>
      </c>
      <c r="N276" t="str">
        <f t="shared" si="64"/>
        <v>https://api.bcb.gov.br/dados/serie/bcdata.sgs.2226/dados?formato=json</v>
      </c>
      <c r="O276">
        <v>7</v>
      </c>
      <c r="P276" t="s">
        <v>19</v>
      </c>
      <c r="Q276" t="s">
        <v>19</v>
      </c>
      <c r="R276" t="str">
        <f t="shared" si="65"/>
        <v>Títulos do Tesouro Nacional - posição de custódia - CDP</v>
      </c>
      <c r="S276" t="s">
        <v>24</v>
      </c>
    </row>
    <row r="277" spans="1:19" x14ac:dyDescent="0.25">
      <c r="A277" s="1"/>
      <c r="B277" s="1">
        <v>10608</v>
      </c>
      <c r="C277" s="2" t="s">
        <v>122</v>
      </c>
      <c r="D277" s="1" t="s">
        <v>123</v>
      </c>
      <c r="E277" s="3" t="s">
        <v>0</v>
      </c>
      <c r="F277" s="4">
        <v>37346</v>
      </c>
      <c r="G277" s="5">
        <v>45597</v>
      </c>
      <c r="H277" s="6" t="s">
        <v>124</v>
      </c>
      <c r="I277" s="1" t="s">
        <v>2</v>
      </c>
      <c r="J277" s="7"/>
      <c r="K277" s="17" t="s">
        <v>173</v>
      </c>
      <c r="L277" t="s">
        <v>136</v>
      </c>
      <c r="M277" t="s">
        <v>15</v>
      </c>
      <c r="N277" t="str">
        <f t="shared" ref="N277:N288" si="66">_xlfn.CONCAT("https://api.bcb.gov.br/dados/serie/bcdata.sgs.",B277,"/dados?formato=json")</f>
        <v>https://api.bcb.gov.br/dados/serie/bcdata.sgs.10608/dados?formato=json</v>
      </c>
      <c r="O277">
        <v>7</v>
      </c>
      <c r="P277" t="s">
        <v>19</v>
      </c>
      <c r="Q277" t="s">
        <v>19</v>
      </c>
      <c r="R277" t="str">
        <f t="shared" ref="R277:R288" si="67">C277</f>
        <v>Emitidos em oferta pública - prazo e duração médios - NTN-B</v>
      </c>
      <c r="S277" t="s">
        <v>123</v>
      </c>
    </row>
    <row r="278" spans="1:19" x14ac:dyDescent="0.25">
      <c r="A278" s="8"/>
      <c r="B278" s="8">
        <v>10609</v>
      </c>
      <c r="C278" s="9" t="s">
        <v>125</v>
      </c>
      <c r="D278" s="8" t="s">
        <v>123</v>
      </c>
      <c r="E278" s="10" t="s">
        <v>0</v>
      </c>
      <c r="F278" s="11">
        <v>36525</v>
      </c>
      <c r="G278" s="12">
        <v>45597</v>
      </c>
      <c r="H278" s="13" t="s">
        <v>124</v>
      </c>
      <c r="I278" s="8" t="s">
        <v>2</v>
      </c>
      <c r="J278" s="14"/>
      <c r="K278" s="17" t="s">
        <v>173</v>
      </c>
      <c r="L278" t="s">
        <v>136</v>
      </c>
      <c r="M278" t="s">
        <v>15</v>
      </c>
      <c r="N278" t="str">
        <f t="shared" si="66"/>
        <v>https://api.bcb.gov.br/dados/serie/bcdata.sgs.10609/dados?formato=json</v>
      </c>
      <c r="O278">
        <v>7</v>
      </c>
      <c r="P278" t="s">
        <v>19</v>
      </c>
      <c r="Q278" t="s">
        <v>19</v>
      </c>
      <c r="R278" t="str">
        <f t="shared" si="67"/>
        <v>Emitidos em oferta pública - prazo e duração médios - NTN-C</v>
      </c>
      <c r="S278" t="s">
        <v>123</v>
      </c>
    </row>
    <row r="279" spans="1:19" x14ac:dyDescent="0.25">
      <c r="A279" s="1"/>
      <c r="B279" s="1">
        <v>10610</v>
      </c>
      <c r="C279" s="2" t="s">
        <v>126</v>
      </c>
      <c r="D279" s="1" t="s">
        <v>123</v>
      </c>
      <c r="E279" s="3" t="s">
        <v>0</v>
      </c>
      <c r="F279" s="4">
        <v>35277</v>
      </c>
      <c r="G279" s="5">
        <v>45597</v>
      </c>
      <c r="H279" s="6" t="s">
        <v>124</v>
      </c>
      <c r="I279" s="1" t="s">
        <v>2</v>
      </c>
      <c r="J279" s="7"/>
      <c r="K279" s="17" t="s">
        <v>173</v>
      </c>
      <c r="L279" t="s">
        <v>136</v>
      </c>
      <c r="M279" t="s">
        <v>15</v>
      </c>
      <c r="N279" t="str">
        <f t="shared" si="66"/>
        <v>https://api.bcb.gov.br/dados/serie/bcdata.sgs.10610/dados?formato=json</v>
      </c>
      <c r="O279">
        <v>7</v>
      </c>
      <c r="P279" t="s">
        <v>19</v>
      </c>
      <c r="Q279" t="s">
        <v>19</v>
      </c>
      <c r="R279" t="str">
        <f t="shared" si="67"/>
        <v>Emitidos em oferta pública - prazo e duração médios - NTN-D</v>
      </c>
      <c r="S279" t="s">
        <v>123</v>
      </c>
    </row>
    <row r="280" spans="1:19" x14ac:dyDescent="0.25">
      <c r="A280" s="8"/>
      <c r="B280" s="8">
        <v>10611</v>
      </c>
      <c r="C280" s="9" t="s">
        <v>127</v>
      </c>
      <c r="D280" s="8" t="s">
        <v>123</v>
      </c>
      <c r="E280" s="10" t="s">
        <v>0</v>
      </c>
      <c r="F280" s="11">
        <v>35277</v>
      </c>
      <c r="G280" s="12">
        <v>45597</v>
      </c>
      <c r="H280" s="13" t="s">
        <v>124</v>
      </c>
      <c r="I280" s="8" t="s">
        <v>2</v>
      </c>
      <c r="J280" s="14"/>
      <c r="K280" s="17" t="s">
        <v>173</v>
      </c>
      <c r="L280" t="s">
        <v>136</v>
      </c>
      <c r="M280" t="s">
        <v>15</v>
      </c>
      <c r="N280" t="str">
        <f t="shared" si="66"/>
        <v>https://api.bcb.gov.br/dados/serie/bcdata.sgs.10611/dados?formato=json</v>
      </c>
      <c r="O280">
        <v>7</v>
      </c>
      <c r="P280" t="s">
        <v>19</v>
      </c>
      <c r="Q280" t="s">
        <v>19</v>
      </c>
      <c r="R280" t="str">
        <f t="shared" si="67"/>
        <v>Emitidos em oferta pública - prazo e duração médios - NTN-E e NTN-H</v>
      </c>
      <c r="S280" t="s">
        <v>123</v>
      </c>
    </row>
    <row r="281" spans="1:19" x14ac:dyDescent="0.25">
      <c r="A281" s="1"/>
      <c r="B281" s="1">
        <v>10612</v>
      </c>
      <c r="C281" s="2" t="s">
        <v>128</v>
      </c>
      <c r="D281" s="1" t="s">
        <v>123</v>
      </c>
      <c r="E281" s="3" t="s">
        <v>0</v>
      </c>
      <c r="F281" s="4">
        <v>36160</v>
      </c>
      <c r="G281" s="5">
        <v>45597</v>
      </c>
      <c r="H281" s="6" t="s">
        <v>124</v>
      </c>
      <c r="I281" s="1" t="s">
        <v>2</v>
      </c>
      <c r="J281" s="7"/>
      <c r="K281" s="17" t="s">
        <v>173</v>
      </c>
      <c r="L281" t="s">
        <v>136</v>
      </c>
      <c r="M281" t="s">
        <v>15</v>
      </c>
      <c r="N281" t="str">
        <f t="shared" si="66"/>
        <v>https://api.bcb.gov.br/dados/serie/bcdata.sgs.10612/dados?formato=json</v>
      </c>
      <c r="O281">
        <v>7</v>
      </c>
      <c r="P281" t="s">
        <v>19</v>
      </c>
      <c r="Q281" t="s">
        <v>19</v>
      </c>
      <c r="R281" t="str">
        <f t="shared" si="67"/>
        <v>Emitidos em oferta pública - prazo e duração médios - NTN-S</v>
      </c>
      <c r="S281" t="s">
        <v>123</v>
      </c>
    </row>
    <row r="282" spans="1:19" x14ac:dyDescent="0.25">
      <c r="A282" s="8"/>
      <c r="B282" s="8">
        <v>10613</v>
      </c>
      <c r="C282" s="9" t="s">
        <v>129</v>
      </c>
      <c r="D282" s="8" t="s">
        <v>123</v>
      </c>
      <c r="E282" s="10" t="s">
        <v>0</v>
      </c>
      <c r="F282" s="11">
        <v>35277</v>
      </c>
      <c r="G282" s="12">
        <v>45597</v>
      </c>
      <c r="H282" s="13" t="s">
        <v>124</v>
      </c>
      <c r="I282" s="8" t="s">
        <v>2</v>
      </c>
      <c r="J282" s="14"/>
      <c r="K282" s="17" t="s">
        <v>173</v>
      </c>
      <c r="L282" t="s">
        <v>136</v>
      </c>
      <c r="M282" t="s">
        <v>15</v>
      </c>
      <c r="N282" t="str">
        <f t="shared" si="66"/>
        <v>https://api.bcb.gov.br/dados/serie/bcdata.sgs.10613/dados?formato=json</v>
      </c>
      <c r="O282">
        <v>7</v>
      </c>
      <c r="P282" t="s">
        <v>19</v>
      </c>
      <c r="Q282" t="s">
        <v>19</v>
      </c>
      <c r="R282" t="str">
        <f t="shared" si="67"/>
        <v>Emitidos em oferta pública - prazo e duração médios - LTN</v>
      </c>
      <c r="S282" t="s">
        <v>123</v>
      </c>
    </row>
    <row r="283" spans="1:19" x14ac:dyDescent="0.25">
      <c r="A283" s="1"/>
      <c r="B283" s="1">
        <v>10614</v>
      </c>
      <c r="C283" s="2" t="s">
        <v>130</v>
      </c>
      <c r="D283" s="1" t="s">
        <v>123</v>
      </c>
      <c r="E283" s="3" t="s">
        <v>0</v>
      </c>
      <c r="F283" s="4">
        <v>35976</v>
      </c>
      <c r="G283" s="5">
        <v>45597</v>
      </c>
      <c r="H283" s="6" t="s">
        <v>124</v>
      </c>
      <c r="I283" s="1" t="s">
        <v>2</v>
      </c>
      <c r="J283" s="7"/>
      <c r="K283" s="17" t="s">
        <v>173</v>
      </c>
      <c r="L283" t="s">
        <v>136</v>
      </c>
      <c r="M283" t="s">
        <v>15</v>
      </c>
      <c r="N283" t="str">
        <f t="shared" si="66"/>
        <v>https://api.bcb.gov.br/dados/serie/bcdata.sgs.10614/dados?formato=json</v>
      </c>
      <c r="O283">
        <v>7</v>
      </c>
      <c r="P283" t="s">
        <v>19</v>
      </c>
      <c r="Q283" t="s">
        <v>19</v>
      </c>
      <c r="R283" t="str">
        <f t="shared" si="67"/>
        <v>Emitidos em oferta pública - prazo médio - LFT</v>
      </c>
      <c r="S283" t="s">
        <v>123</v>
      </c>
    </row>
    <row r="284" spans="1:19" x14ac:dyDescent="0.25">
      <c r="A284" s="8"/>
      <c r="B284" s="8">
        <v>10615</v>
      </c>
      <c r="C284" s="9" t="s">
        <v>131</v>
      </c>
      <c r="D284" s="8" t="s">
        <v>123</v>
      </c>
      <c r="E284" s="10" t="s">
        <v>0</v>
      </c>
      <c r="F284" s="11">
        <v>35976</v>
      </c>
      <c r="G284" s="12">
        <v>45597</v>
      </c>
      <c r="H284" s="13" t="s">
        <v>124</v>
      </c>
      <c r="I284" s="8" t="s">
        <v>2</v>
      </c>
      <c r="J284" s="14"/>
      <c r="K284" s="17" t="s">
        <v>173</v>
      </c>
      <c r="L284" t="s">
        <v>136</v>
      </c>
      <c r="M284" t="s">
        <v>15</v>
      </c>
      <c r="N284" t="str">
        <f t="shared" si="66"/>
        <v>https://api.bcb.gov.br/dados/serie/bcdata.sgs.10615/dados?formato=json</v>
      </c>
      <c r="O284">
        <v>7</v>
      </c>
      <c r="P284" t="s">
        <v>19</v>
      </c>
      <c r="Q284" t="s">
        <v>19</v>
      </c>
      <c r="R284" t="str">
        <f t="shared" si="67"/>
        <v>Emitidos em oferta pública - duração média - LFT</v>
      </c>
      <c r="S284" t="s">
        <v>123</v>
      </c>
    </row>
    <row r="285" spans="1:19" x14ac:dyDescent="0.25">
      <c r="A285" s="1"/>
      <c r="B285" s="1">
        <v>10616</v>
      </c>
      <c r="C285" s="2" t="s">
        <v>132</v>
      </c>
      <c r="D285" s="1" t="s">
        <v>123</v>
      </c>
      <c r="E285" s="3" t="s">
        <v>0</v>
      </c>
      <c r="F285" s="4">
        <v>35277</v>
      </c>
      <c r="G285" s="5">
        <v>45597</v>
      </c>
      <c r="H285" s="6" t="s">
        <v>124</v>
      </c>
      <c r="I285" s="1" t="s">
        <v>2</v>
      </c>
      <c r="J285" s="7"/>
      <c r="K285" s="17" t="s">
        <v>173</v>
      </c>
      <c r="L285" t="s">
        <v>136</v>
      </c>
      <c r="M285" t="s">
        <v>15</v>
      </c>
      <c r="N285" t="str">
        <f t="shared" si="66"/>
        <v>https://api.bcb.gov.br/dados/serie/bcdata.sgs.10616/dados?formato=json</v>
      </c>
      <c r="O285">
        <v>7</v>
      </c>
      <c r="P285" t="s">
        <v>19</v>
      </c>
      <c r="Q285" t="s">
        <v>19</v>
      </c>
      <c r="R285" t="str">
        <f t="shared" si="67"/>
        <v>Dívida mobiliária federal - Títulos do Tesouro Nacional - Emitidos em oferta pública - prazo médio - Total</v>
      </c>
      <c r="S285" t="s">
        <v>123</v>
      </c>
    </row>
    <row r="286" spans="1:19" x14ac:dyDescent="0.25">
      <c r="A286" s="8"/>
      <c r="B286" s="8">
        <v>10617</v>
      </c>
      <c r="C286" s="9" t="s">
        <v>133</v>
      </c>
      <c r="D286" s="8" t="s">
        <v>123</v>
      </c>
      <c r="E286" s="10" t="s">
        <v>0</v>
      </c>
      <c r="F286" s="11">
        <v>35277</v>
      </c>
      <c r="G286" s="12">
        <v>45597</v>
      </c>
      <c r="H286" s="13" t="s">
        <v>124</v>
      </c>
      <c r="I286" s="8" t="s">
        <v>2</v>
      </c>
      <c r="J286" s="14"/>
      <c r="K286" s="17" t="s">
        <v>173</v>
      </c>
      <c r="L286" t="s">
        <v>136</v>
      </c>
      <c r="M286" t="s">
        <v>15</v>
      </c>
      <c r="N286" t="str">
        <f t="shared" si="66"/>
        <v>https://api.bcb.gov.br/dados/serie/bcdata.sgs.10617/dados?formato=json</v>
      </c>
      <c r="O286">
        <v>7</v>
      </c>
      <c r="P286" t="s">
        <v>19</v>
      </c>
      <c r="Q286" t="s">
        <v>19</v>
      </c>
      <c r="R286" t="str">
        <f t="shared" si="67"/>
        <v>Dívida mobiliária federal - Títulos do Tesouro Nacional - Emitidos em oferta pública - duração média - Total</v>
      </c>
      <c r="S286" t="s">
        <v>123</v>
      </c>
    </row>
    <row r="287" spans="1:19" x14ac:dyDescent="0.25">
      <c r="A287" s="1"/>
      <c r="B287" s="1">
        <v>10618</v>
      </c>
      <c r="C287" s="2" t="s">
        <v>134</v>
      </c>
      <c r="D287" s="1" t="s">
        <v>123</v>
      </c>
      <c r="E287" s="3" t="s">
        <v>0</v>
      </c>
      <c r="F287" s="4">
        <v>36799</v>
      </c>
      <c r="G287" s="5">
        <v>45597</v>
      </c>
      <c r="H287" s="6" t="s">
        <v>124</v>
      </c>
      <c r="I287" s="1" t="s">
        <v>2</v>
      </c>
      <c r="J287" s="7"/>
      <c r="K287" s="17" t="s">
        <v>173</v>
      </c>
      <c r="L287" t="s">
        <v>136</v>
      </c>
      <c r="M287" t="s">
        <v>15</v>
      </c>
      <c r="N287" t="str">
        <f t="shared" si="66"/>
        <v>https://api.bcb.gov.br/dados/serie/bcdata.sgs.10618/dados?formato=json</v>
      </c>
      <c r="O287">
        <v>7</v>
      </c>
      <c r="P287" t="s">
        <v>19</v>
      </c>
      <c r="Q287" t="s">
        <v>19</v>
      </c>
      <c r="R287" t="str">
        <f t="shared" si="67"/>
        <v>Dívida mobiliária federal - Títulos do Tesouro Nacional - Emitidos - prazo médio - Total</v>
      </c>
      <c r="S287" t="s">
        <v>123</v>
      </c>
    </row>
    <row r="288" spans="1:19" x14ac:dyDescent="0.25">
      <c r="A288" s="8"/>
      <c r="B288" s="8">
        <v>17802</v>
      </c>
      <c r="C288" s="9" t="s">
        <v>135</v>
      </c>
      <c r="D288" s="8" t="s">
        <v>123</v>
      </c>
      <c r="E288" s="10" t="s">
        <v>0</v>
      </c>
      <c r="F288" s="11">
        <v>37986</v>
      </c>
      <c r="G288" s="12">
        <v>45597</v>
      </c>
      <c r="H288" s="13" t="s">
        <v>124</v>
      </c>
      <c r="I288" s="8" t="s">
        <v>2</v>
      </c>
      <c r="J288" s="14"/>
      <c r="K288" s="17" t="s">
        <v>173</v>
      </c>
      <c r="L288" t="s">
        <v>136</v>
      </c>
      <c r="M288" t="s">
        <v>15</v>
      </c>
      <c r="N288" t="str">
        <f t="shared" si="66"/>
        <v>https://api.bcb.gov.br/dados/serie/bcdata.sgs.17802/dados?formato=json</v>
      </c>
      <c r="O288">
        <v>7</v>
      </c>
      <c r="P288" t="s">
        <v>19</v>
      </c>
      <c r="Q288" t="s">
        <v>19</v>
      </c>
      <c r="R288" t="str">
        <f t="shared" si="67"/>
        <v>Emitidos em oferta pública - prazo e duração médios - NTN-F</v>
      </c>
      <c r="S288" t="s">
        <v>123</v>
      </c>
    </row>
    <row r="289" spans="1:19" x14ac:dyDescent="0.25">
      <c r="A289" s="1"/>
      <c r="B289" s="1">
        <v>4166</v>
      </c>
      <c r="C289" s="2" t="s">
        <v>100</v>
      </c>
      <c r="D289" s="1" t="s">
        <v>37</v>
      </c>
      <c r="E289" s="3" t="s">
        <v>0</v>
      </c>
      <c r="F289" s="4">
        <v>36556</v>
      </c>
      <c r="G289" s="5">
        <v>45597</v>
      </c>
      <c r="H289" s="6" t="s">
        <v>1</v>
      </c>
      <c r="I289" s="1" t="s">
        <v>2</v>
      </c>
      <c r="J289" s="7"/>
      <c r="K289" s="17" t="s">
        <v>174</v>
      </c>
      <c r="L289" t="s">
        <v>143</v>
      </c>
      <c r="M289" t="s">
        <v>15</v>
      </c>
      <c r="N289" t="str">
        <f t="shared" ref="N289:N295" si="68">_xlfn.CONCAT("https://api.bcb.gov.br/dados/serie/bcdata.sgs.",B289,"/dados?formato=json")</f>
        <v>https://api.bcb.gov.br/dados/serie/bcdata.sgs.4166/dados?formato=json</v>
      </c>
      <c r="O289">
        <v>7</v>
      </c>
      <c r="P289" t="s">
        <v>19</v>
      </c>
      <c r="Q289" t="s">
        <v>19</v>
      </c>
      <c r="R289" t="str">
        <f t="shared" ref="R289:R295" si="69">C289</f>
        <v>Total em mercado</v>
      </c>
      <c r="S289" t="s">
        <v>24</v>
      </c>
    </row>
    <row r="290" spans="1:19" x14ac:dyDescent="0.25">
      <c r="A290" s="8"/>
      <c r="B290" s="8">
        <v>4167</v>
      </c>
      <c r="C290" s="9" t="s">
        <v>137</v>
      </c>
      <c r="D290" s="1" t="s">
        <v>37</v>
      </c>
      <c r="E290" s="10" t="s">
        <v>0</v>
      </c>
      <c r="F290" s="11">
        <v>36556</v>
      </c>
      <c r="G290" s="12">
        <v>45597</v>
      </c>
      <c r="H290" s="13" t="s">
        <v>1</v>
      </c>
      <c r="I290" s="8" t="s">
        <v>2</v>
      </c>
      <c r="J290" s="14"/>
      <c r="K290" s="17" t="s">
        <v>174</v>
      </c>
      <c r="L290" t="s">
        <v>143</v>
      </c>
      <c r="M290" t="s">
        <v>15</v>
      </c>
      <c r="N290" t="str">
        <f t="shared" si="68"/>
        <v>https://api.bcb.gov.br/dados/serie/bcdata.sgs.4167/dados?formato=json</v>
      </c>
      <c r="O290">
        <v>7</v>
      </c>
      <c r="P290" t="s">
        <v>19</v>
      </c>
      <c r="Q290" t="s">
        <v>19</v>
      </c>
      <c r="R290" t="str">
        <f t="shared" si="69"/>
        <v>Dívida mobiliária (Saldos) - Títulos do Banco Central-posição em carteira - LBC e LBC-E</v>
      </c>
      <c r="S290" t="s">
        <v>24</v>
      </c>
    </row>
    <row r="291" spans="1:19" x14ac:dyDescent="0.25">
      <c r="A291" s="1"/>
      <c r="B291" s="1">
        <v>4168</v>
      </c>
      <c r="C291" s="2" t="s">
        <v>138</v>
      </c>
      <c r="D291" s="1" t="s">
        <v>37</v>
      </c>
      <c r="E291" s="3" t="s">
        <v>0</v>
      </c>
      <c r="F291" s="4">
        <v>36556</v>
      </c>
      <c r="G291" s="5">
        <v>45597</v>
      </c>
      <c r="H291" s="6" t="s">
        <v>1</v>
      </c>
      <c r="I291" s="1" t="s">
        <v>2</v>
      </c>
      <c r="J291" s="7"/>
      <c r="K291" s="17" t="s">
        <v>174</v>
      </c>
      <c r="L291" t="s">
        <v>143</v>
      </c>
      <c r="M291" t="s">
        <v>15</v>
      </c>
      <c r="N291" t="str">
        <f t="shared" si="68"/>
        <v>https://api.bcb.gov.br/dados/serie/bcdata.sgs.4168/dados?formato=json</v>
      </c>
      <c r="O291">
        <v>7</v>
      </c>
      <c r="P291" t="s">
        <v>19</v>
      </c>
      <c r="Q291" t="s">
        <v>19</v>
      </c>
      <c r="R291" t="str">
        <f t="shared" si="69"/>
        <v>Dívida mobiliária (Saldos) - Títulos do Banco Central-posição em carteira - BBC</v>
      </c>
      <c r="S291" t="s">
        <v>24</v>
      </c>
    </row>
    <row r="292" spans="1:19" x14ac:dyDescent="0.25">
      <c r="A292" s="8"/>
      <c r="B292" s="8">
        <v>4169</v>
      </c>
      <c r="C292" s="9" t="s">
        <v>139</v>
      </c>
      <c r="D292" s="1" t="s">
        <v>37</v>
      </c>
      <c r="E292" s="10" t="s">
        <v>0</v>
      </c>
      <c r="F292" s="11">
        <v>36556</v>
      </c>
      <c r="G292" s="12">
        <v>45597</v>
      </c>
      <c r="H292" s="13" t="s">
        <v>1</v>
      </c>
      <c r="I292" s="8" t="s">
        <v>2</v>
      </c>
      <c r="J292" s="14"/>
      <c r="K292" s="17" t="s">
        <v>174</v>
      </c>
      <c r="L292" t="s">
        <v>143</v>
      </c>
      <c r="M292" t="s">
        <v>15</v>
      </c>
      <c r="N292" t="str">
        <f t="shared" si="68"/>
        <v>https://api.bcb.gov.br/dados/serie/bcdata.sgs.4169/dados?formato=json</v>
      </c>
      <c r="O292">
        <v>7</v>
      </c>
      <c r="P292" t="s">
        <v>19</v>
      </c>
      <c r="Q292" t="s">
        <v>19</v>
      </c>
      <c r="R292" t="str">
        <f t="shared" si="69"/>
        <v>Dívida mobiliária (Saldos) - Títulos do Banco Central-posição em carteira - BBC-A</v>
      </c>
      <c r="S292" t="s">
        <v>24</v>
      </c>
    </row>
    <row r="293" spans="1:19" x14ac:dyDescent="0.25">
      <c r="A293" s="1"/>
      <c r="B293" s="1">
        <v>4170</v>
      </c>
      <c r="C293" s="2" t="s">
        <v>140</v>
      </c>
      <c r="D293" s="1" t="s">
        <v>37</v>
      </c>
      <c r="E293" s="3" t="s">
        <v>0</v>
      </c>
      <c r="F293" s="4">
        <v>36556</v>
      </c>
      <c r="G293" s="5">
        <v>45597</v>
      </c>
      <c r="H293" s="6" t="s">
        <v>1</v>
      </c>
      <c r="I293" s="1" t="s">
        <v>2</v>
      </c>
      <c r="J293" s="7"/>
      <c r="K293" s="17" t="s">
        <v>174</v>
      </c>
      <c r="L293" t="s">
        <v>143</v>
      </c>
      <c r="M293" t="s">
        <v>15</v>
      </c>
      <c r="N293" t="str">
        <f t="shared" si="68"/>
        <v>https://api.bcb.gov.br/dados/serie/bcdata.sgs.4170/dados?formato=json</v>
      </c>
      <c r="O293">
        <v>7</v>
      </c>
      <c r="P293" t="s">
        <v>19</v>
      </c>
      <c r="Q293" t="s">
        <v>19</v>
      </c>
      <c r="R293" t="str">
        <f t="shared" si="69"/>
        <v>Dívida mobiliária (Saldos) - Títulos do Banco Central-posição em carteira - NBC-A</v>
      </c>
      <c r="S293" t="s">
        <v>24</v>
      </c>
    </row>
    <row r="294" spans="1:19" x14ac:dyDescent="0.25">
      <c r="A294" s="8"/>
      <c r="B294" s="8">
        <v>4171</v>
      </c>
      <c r="C294" s="9" t="s">
        <v>141</v>
      </c>
      <c r="D294" s="1" t="s">
        <v>37</v>
      </c>
      <c r="E294" s="10" t="s">
        <v>0</v>
      </c>
      <c r="F294" s="11">
        <v>36556</v>
      </c>
      <c r="G294" s="12">
        <v>45597</v>
      </c>
      <c r="H294" s="13" t="s">
        <v>1</v>
      </c>
      <c r="I294" s="8" t="s">
        <v>2</v>
      </c>
      <c r="J294" s="14"/>
      <c r="K294" s="17" t="s">
        <v>174</v>
      </c>
      <c r="L294" t="s">
        <v>143</v>
      </c>
      <c r="M294" t="s">
        <v>15</v>
      </c>
      <c r="N294" t="str">
        <f t="shared" si="68"/>
        <v>https://api.bcb.gov.br/dados/serie/bcdata.sgs.4171/dados?formato=json</v>
      </c>
      <c r="O294">
        <v>7</v>
      </c>
      <c r="P294" t="s">
        <v>19</v>
      </c>
      <c r="Q294" t="s">
        <v>19</v>
      </c>
      <c r="R294" t="str">
        <f t="shared" si="69"/>
        <v>Dívida mobiliária (Saldos) - Títulos do Banco Central-posição em carteira - NBC-E</v>
      </c>
      <c r="S294" t="s">
        <v>24</v>
      </c>
    </row>
    <row r="295" spans="1:19" x14ac:dyDescent="0.25">
      <c r="A295" s="1"/>
      <c r="B295" s="1">
        <v>4172</v>
      </c>
      <c r="C295" s="2" t="s">
        <v>142</v>
      </c>
      <c r="D295" s="1" t="s">
        <v>37</v>
      </c>
      <c r="E295" s="3" t="s">
        <v>0</v>
      </c>
      <c r="F295" s="4">
        <v>36556</v>
      </c>
      <c r="G295" s="5">
        <v>45597</v>
      </c>
      <c r="H295" s="6" t="s">
        <v>1</v>
      </c>
      <c r="I295" s="1" t="s">
        <v>2</v>
      </c>
      <c r="J295" s="7"/>
      <c r="K295" s="17" t="s">
        <v>174</v>
      </c>
      <c r="L295" t="s">
        <v>143</v>
      </c>
      <c r="M295" t="s">
        <v>15</v>
      </c>
      <c r="N295" t="str">
        <f t="shared" si="68"/>
        <v>https://api.bcb.gov.br/dados/serie/bcdata.sgs.4172/dados?formato=json</v>
      </c>
      <c r="O295">
        <v>7</v>
      </c>
      <c r="P295" t="s">
        <v>19</v>
      </c>
      <c r="Q295" t="s">
        <v>19</v>
      </c>
      <c r="R295" t="str">
        <f t="shared" si="69"/>
        <v>Dívida mobiliária (Saldos) - Títulos do Banco Central-posição em carteira - NBC-F</v>
      </c>
      <c r="S295" t="s">
        <v>24</v>
      </c>
    </row>
    <row r="296" spans="1:19" x14ac:dyDescent="0.25">
      <c r="A296" s="18"/>
      <c r="B296" s="18">
        <v>2227</v>
      </c>
      <c r="C296" s="19" t="s">
        <v>100</v>
      </c>
      <c r="D296" s="1" t="s">
        <v>37</v>
      </c>
      <c r="E296" s="20" t="s">
        <v>0</v>
      </c>
      <c r="F296" s="21">
        <v>31593</v>
      </c>
      <c r="G296" s="22">
        <v>45597</v>
      </c>
      <c r="H296" s="23" t="s">
        <v>1</v>
      </c>
      <c r="I296" s="18" t="s">
        <v>2</v>
      </c>
      <c r="J296" s="24"/>
      <c r="K296" s="17" t="s">
        <v>175</v>
      </c>
      <c r="L296" t="s">
        <v>143</v>
      </c>
      <c r="M296" t="s">
        <v>15</v>
      </c>
      <c r="N296" t="str">
        <f t="shared" ref="N296:N302" si="70">_xlfn.CONCAT("https://api.bcb.gov.br/dados/serie/bcdata.sgs.",B296,"/dados?formato=json")</f>
        <v>https://api.bcb.gov.br/dados/serie/bcdata.sgs.2227/dados?formato=json</v>
      </c>
      <c r="O296">
        <v>7</v>
      </c>
      <c r="P296" t="s">
        <v>19</v>
      </c>
      <c r="Q296" t="s">
        <v>19</v>
      </c>
      <c r="R296" t="str">
        <f t="shared" ref="R296:R302" si="71">C296</f>
        <v>Total em mercado</v>
      </c>
      <c r="S296" t="s">
        <v>24</v>
      </c>
    </row>
    <row r="297" spans="1:19" x14ac:dyDescent="0.25">
      <c r="A297" s="8"/>
      <c r="B297" s="8">
        <v>2228</v>
      </c>
      <c r="C297" s="9" t="s">
        <v>144</v>
      </c>
      <c r="D297" s="1" t="s">
        <v>37</v>
      </c>
      <c r="E297" s="10" t="s">
        <v>0</v>
      </c>
      <c r="F297" s="11">
        <v>33269</v>
      </c>
      <c r="G297" s="12">
        <v>45597</v>
      </c>
      <c r="H297" s="13" t="s">
        <v>1</v>
      </c>
      <c r="I297" s="8" t="s">
        <v>2</v>
      </c>
      <c r="J297" s="14"/>
      <c r="K297" s="17" t="s">
        <v>175</v>
      </c>
      <c r="L297" t="s">
        <v>143</v>
      </c>
      <c r="M297" t="s">
        <v>15</v>
      </c>
      <c r="N297" t="str">
        <f t="shared" si="70"/>
        <v>https://api.bcb.gov.br/dados/serie/bcdata.sgs.2228/dados?formato=json</v>
      </c>
      <c r="O297">
        <v>7</v>
      </c>
      <c r="P297" t="s">
        <v>19</v>
      </c>
      <c r="Q297" t="s">
        <v>19</v>
      </c>
      <c r="R297" t="str">
        <f t="shared" si="71"/>
        <v>Dívida mobiliária (Saldos) - Títulos do Banco Central - posição de custódia - LBC e LBC-E</v>
      </c>
      <c r="S297" t="s">
        <v>24</v>
      </c>
    </row>
    <row r="298" spans="1:19" x14ac:dyDescent="0.25">
      <c r="A298" s="1"/>
      <c r="B298" s="1">
        <v>2229</v>
      </c>
      <c r="C298" s="2" t="s">
        <v>145</v>
      </c>
      <c r="D298" s="1" t="s">
        <v>37</v>
      </c>
      <c r="E298" s="3" t="s">
        <v>0</v>
      </c>
      <c r="F298" s="4">
        <v>33269</v>
      </c>
      <c r="G298" s="5">
        <v>45597</v>
      </c>
      <c r="H298" s="6" t="s">
        <v>1</v>
      </c>
      <c r="I298" s="1" t="s">
        <v>2</v>
      </c>
      <c r="J298" s="7"/>
      <c r="K298" s="17" t="s">
        <v>175</v>
      </c>
      <c r="L298" t="s">
        <v>143</v>
      </c>
      <c r="M298" t="s">
        <v>15</v>
      </c>
      <c r="N298" t="str">
        <f t="shared" si="70"/>
        <v>https://api.bcb.gov.br/dados/serie/bcdata.sgs.2229/dados?formato=json</v>
      </c>
      <c r="O298">
        <v>7</v>
      </c>
      <c r="P298" t="s">
        <v>19</v>
      </c>
      <c r="Q298" t="s">
        <v>19</v>
      </c>
      <c r="R298" t="str">
        <f t="shared" si="71"/>
        <v>Dívida mobiliária (Saldos) - Títulos do Banco Central - posição de custódia - BBC</v>
      </c>
      <c r="S298" t="s">
        <v>24</v>
      </c>
    </row>
    <row r="299" spans="1:19" x14ac:dyDescent="0.25">
      <c r="A299" s="8"/>
      <c r="B299" s="8">
        <v>2230</v>
      </c>
      <c r="C299" s="9" t="s">
        <v>146</v>
      </c>
      <c r="D299" s="1" t="s">
        <v>37</v>
      </c>
      <c r="E299" s="10" t="s">
        <v>0</v>
      </c>
      <c r="F299" s="11">
        <v>33269</v>
      </c>
      <c r="G299" s="12">
        <v>45597</v>
      </c>
      <c r="H299" s="13" t="s">
        <v>1</v>
      </c>
      <c r="I299" s="8" t="s">
        <v>2</v>
      </c>
      <c r="J299" s="14"/>
      <c r="K299" s="17" t="s">
        <v>175</v>
      </c>
      <c r="L299" t="s">
        <v>143</v>
      </c>
      <c r="M299" t="s">
        <v>15</v>
      </c>
      <c r="N299" t="str">
        <f t="shared" si="70"/>
        <v>https://api.bcb.gov.br/dados/serie/bcdata.sgs.2230/dados?formato=json</v>
      </c>
      <c r="O299">
        <v>7</v>
      </c>
      <c r="P299" t="s">
        <v>19</v>
      </c>
      <c r="Q299" t="s">
        <v>19</v>
      </c>
      <c r="R299" t="str">
        <f t="shared" si="71"/>
        <v>Dívida mobiliária (Saldos) - Títulos do Banco Central - posição de custódia - BBC-A</v>
      </c>
      <c r="S299" t="s">
        <v>24</v>
      </c>
    </row>
    <row r="300" spans="1:19" x14ac:dyDescent="0.25">
      <c r="A300" s="1"/>
      <c r="B300" s="1">
        <v>2231</v>
      </c>
      <c r="C300" s="2" t="s">
        <v>147</v>
      </c>
      <c r="D300" s="1" t="s">
        <v>37</v>
      </c>
      <c r="E300" s="3" t="s">
        <v>0</v>
      </c>
      <c r="F300" s="4">
        <v>33269</v>
      </c>
      <c r="G300" s="5">
        <v>45597</v>
      </c>
      <c r="H300" s="6" t="s">
        <v>1</v>
      </c>
      <c r="I300" s="1" t="s">
        <v>2</v>
      </c>
      <c r="J300" s="7"/>
      <c r="K300" s="17" t="s">
        <v>175</v>
      </c>
      <c r="L300" t="s">
        <v>143</v>
      </c>
      <c r="M300" t="s">
        <v>15</v>
      </c>
      <c r="N300" t="str">
        <f t="shared" si="70"/>
        <v>https://api.bcb.gov.br/dados/serie/bcdata.sgs.2231/dados?formato=json</v>
      </c>
      <c r="O300">
        <v>7</v>
      </c>
      <c r="P300" t="s">
        <v>19</v>
      </c>
      <c r="Q300" t="s">
        <v>19</v>
      </c>
      <c r="R300" t="str">
        <f t="shared" si="71"/>
        <v>Dívida mobiliária (Saldos) - Títulos do Banco Central - posição de custódia - NBC-A</v>
      </c>
      <c r="S300" t="s">
        <v>24</v>
      </c>
    </row>
    <row r="301" spans="1:19" x14ac:dyDescent="0.25">
      <c r="A301" s="8"/>
      <c r="B301" s="8">
        <v>2232</v>
      </c>
      <c r="C301" s="9" t="s">
        <v>148</v>
      </c>
      <c r="D301" s="1" t="s">
        <v>37</v>
      </c>
      <c r="E301" s="10" t="s">
        <v>0</v>
      </c>
      <c r="F301" s="11">
        <v>33269</v>
      </c>
      <c r="G301" s="12">
        <v>45597</v>
      </c>
      <c r="H301" s="13" t="s">
        <v>1</v>
      </c>
      <c r="I301" s="8" t="s">
        <v>2</v>
      </c>
      <c r="J301" s="14"/>
      <c r="K301" s="17" t="s">
        <v>175</v>
      </c>
      <c r="L301" t="s">
        <v>143</v>
      </c>
      <c r="M301" t="s">
        <v>15</v>
      </c>
      <c r="N301" t="str">
        <f t="shared" si="70"/>
        <v>https://api.bcb.gov.br/dados/serie/bcdata.sgs.2232/dados?formato=json</v>
      </c>
      <c r="O301">
        <v>7</v>
      </c>
      <c r="P301" t="s">
        <v>19</v>
      </c>
      <c r="Q301" t="s">
        <v>19</v>
      </c>
      <c r="R301" t="str">
        <f t="shared" si="71"/>
        <v>Dívida mobiliária (Saldos) - Títulos do Banco Central - posição de custódia - NBC-E</v>
      </c>
      <c r="S301" t="s">
        <v>24</v>
      </c>
    </row>
    <row r="302" spans="1:19" x14ac:dyDescent="0.25">
      <c r="A302" s="1"/>
      <c r="B302" s="1">
        <v>2233</v>
      </c>
      <c r="C302" s="2" t="s">
        <v>149</v>
      </c>
      <c r="D302" s="1" t="s">
        <v>37</v>
      </c>
      <c r="E302" s="3" t="s">
        <v>0</v>
      </c>
      <c r="F302" s="4">
        <v>33269</v>
      </c>
      <c r="G302" s="5">
        <v>45597</v>
      </c>
      <c r="H302" s="6" t="s">
        <v>1</v>
      </c>
      <c r="I302" s="1" t="s">
        <v>2</v>
      </c>
      <c r="J302" s="7"/>
      <c r="K302" s="17" t="s">
        <v>175</v>
      </c>
      <c r="L302" t="s">
        <v>143</v>
      </c>
      <c r="M302" t="s">
        <v>15</v>
      </c>
      <c r="N302" t="str">
        <f t="shared" si="70"/>
        <v>https://api.bcb.gov.br/dados/serie/bcdata.sgs.2233/dados?formato=json</v>
      </c>
      <c r="O302">
        <v>7</v>
      </c>
      <c r="P302" t="s">
        <v>19</v>
      </c>
      <c r="Q302" t="s">
        <v>19</v>
      </c>
      <c r="R302" t="str">
        <f t="shared" si="71"/>
        <v>Dívida mobiliária (Saldos) - Títulos do Banco Central - posição de custódia - NBC-F</v>
      </c>
      <c r="S302" t="s">
        <v>24</v>
      </c>
    </row>
    <row r="303" spans="1:19" x14ac:dyDescent="0.25">
      <c r="A303" s="18"/>
      <c r="B303" s="18">
        <v>10601</v>
      </c>
      <c r="C303" s="19" t="s">
        <v>150</v>
      </c>
      <c r="D303" s="18" t="s">
        <v>123</v>
      </c>
      <c r="E303" s="20" t="s">
        <v>0</v>
      </c>
      <c r="F303" s="21">
        <v>35277</v>
      </c>
      <c r="G303" s="22">
        <v>45597</v>
      </c>
      <c r="H303" s="23" t="s">
        <v>124</v>
      </c>
      <c r="I303" s="18" t="s">
        <v>2</v>
      </c>
      <c r="J303" s="24"/>
      <c r="K303" s="17" t="s">
        <v>176</v>
      </c>
      <c r="L303" t="s">
        <v>143</v>
      </c>
      <c r="M303" t="s">
        <v>15</v>
      </c>
      <c r="N303" t="str">
        <f t="shared" ref="N303:N309" si="72">_xlfn.CONCAT("https://api.bcb.gov.br/dados/serie/bcdata.sgs.",B303,"/dados?formato=json")</f>
        <v>https://api.bcb.gov.br/dados/serie/bcdata.sgs.10601/dados?formato=json</v>
      </c>
      <c r="O303">
        <v>7</v>
      </c>
      <c r="P303" t="s">
        <v>19</v>
      </c>
      <c r="Q303" t="s">
        <v>19</v>
      </c>
      <c r="R303" t="str">
        <f t="shared" ref="R303:R309" si="73">C303</f>
        <v>Emitidos em oferta pública - prazo e duração médios - BBC</v>
      </c>
      <c r="S303" t="s">
        <v>24</v>
      </c>
    </row>
    <row r="304" spans="1:19" x14ac:dyDescent="0.25">
      <c r="A304" s="25"/>
      <c r="B304" s="25">
        <v>10602</v>
      </c>
      <c r="C304" s="26" t="s">
        <v>151</v>
      </c>
      <c r="D304" s="25" t="s">
        <v>123</v>
      </c>
      <c r="E304" s="27" t="s">
        <v>0</v>
      </c>
      <c r="F304" s="28">
        <v>36099</v>
      </c>
      <c r="G304" s="29">
        <v>45597</v>
      </c>
      <c r="H304" s="30" t="s">
        <v>124</v>
      </c>
      <c r="I304" s="25" t="s">
        <v>2</v>
      </c>
      <c r="J304" s="31"/>
      <c r="K304" s="17" t="s">
        <v>176</v>
      </c>
      <c r="L304" t="s">
        <v>143</v>
      </c>
      <c r="M304" t="s">
        <v>15</v>
      </c>
      <c r="N304" t="str">
        <f t="shared" si="72"/>
        <v>https://api.bcb.gov.br/dados/serie/bcdata.sgs.10602/dados?formato=json</v>
      </c>
      <c r="O304">
        <v>7</v>
      </c>
      <c r="P304" t="s">
        <v>19</v>
      </c>
      <c r="Q304" t="s">
        <v>19</v>
      </c>
      <c r="R304" t="str">
        <f t="shared" si="73"/>
        <v>Emitidos em oferta pública - prazo e duração médios - BBC-A</v>
      </c>
      <c r="S304" t="s">
        <v>24</v>
      </c>
    </row>
    <row r="305" spans="1:19" x14ac:dyDescent="0.25">
      <c r="A305" s="18"/>
      <c r="B305" s="18">
        <v>10603</v>
      </c>
      <c r="C305" s="19" t="s">
        <v>152</v>
      </c>
      <c r="D305" s="18" t="s">
        <v>123</v>
      </c>
      <c r="E305" s="20" t="s">
        <v>0</v>
      </c>
      <c r="F305" s="21">
        <v>36160</v>
      </c>
      <c r="G305" s="22">
        <v>45597</v>
      </c>
      <c r="H305" s="23" t="s">
        <v>124</v>
      </c>
      <c r="I305" s="18" t="s">
        <v>2</v>
      </c>
      <c r="J305" s="24"/>
      <c r="K305" s="17" t="s">
        <v>176</v>
      </c>
      <c r="L305" t="s">
        <v>143</v>
      </c>
      <c r="M305" t="s">
        <v>15</v>
      </c>
      <c r="N305" t="str">
        <f t="shared" si="72"/>
        <v>https://api.bcb.gov.br/dados/serie/bcdata.sgs.10603/dados?formato=json</v>
      </c>
      <c r="O305">
        <v>7</v>
      </c>
      <c r="P305" t="s">
        <v>19</v>
      </c>
      <c r="Q305" t="s">
        <v>19</v>
      </c>
      <c r="R305" t="str">
        <f t="shared" si="73"/>
        <v>Emitidos em oferta pública - prazo e duração médios - NBC-A</v>
      </c>
      <c r="S305" t="s">
        <v>24</v>
      </c>
    </row>
    <row r="306" spans="1:19" x14ac:dyDescent="0.25">
      <c r="A306" s="25"/>
      <c r="B306" s="25">
        <v>10604</v>
      </c>
      <c r="C306" s="26" t="s">
        <v>153</v>
      </c>
      <c r="D306" s="25" t="s">
        <v>123</v>
      </c>
      <c r="E306" s="27" t="s">
        <v>0</v>
      </c>
      <c r="F306" s="28">
        <v>35520</v>
      </c>
      <c r="G306" s="29">
        <v>45597</v>
      </c>
      <c r="H306" s="30" t="s">
        <v>124</v>
      </c>
      <c r="I306" s="25" t="s">
        <v>2</v>
      </c>
      <c r="J306" s="31"/>
      <c r="K306" s="17" t="s">
        <v>176</v>
      </c>
      <c r="L306" t="s">
        <v>143</v>
      </c>
      <c r="M306" t="s">
        <v>15</v>
      </c>
      <c r="N306" t="str">
        <f t="shared" si="72"/>
        <v>https://api.bcb.gov.br/dados/serie/bcdata.sgs.10604/dados?formato=json</v>
      </c>
      <c r="O306">
        <v>7</v>
      </c>
      <c r="P306" t="s">
        <v>19</v>
      </c>
      <c r="Q306" t="s">
        <v>19</v>
      </c>
      <c r="R306" t="str">
        <f t="shared" si="73"/>
        <v>Emitidos em oferta pública - prazo e duração médios - NBC-E</v>
      </c>
      <c r="S306" t="s">
        <v>24</v>
      </c>
    </row>
    <row r="307" spans="1:19" x14ac:dyDescent="0.25">
      <c r="A307" s="18"/>
      <c r="B307" s="18">
        <v>10605</v>
      </c>
      <c r="C307" s="19" t="s">
        <v>154</v>
      </c>
      <c r="D307" s="18" t="s">
        <v>123</v>
      </c>
      <c r="E307" s="20" t="s">
        <v>0</v>
      </c>
      <c r="F307" s="21">
        <v>36068</v>
      </c>
      <c r="G307" s="22">
        <v>45597</v>
      </c>
      <c r="H307" s="23" t="s">
        <v>124</v>
      </c>
      <c r="I307" s="18" t="s">
        <v>2</v>
      </c>
      <c r="J307" s="24"/>
      <c r="K307" s="17" t="s">
        <v>176</v>
      </c>
      <c r="L307" t="s">
        <v>143</v>
      </c>
      <c r="M307" t="s">
        <v>15</v>
      </c>
      <c r="N307" t="str">
        <f t="shared" si="72"/>
        <v>https://api.bcb.gov.br/dados/serie/bcdata.sgs.10605/dados?formato=json</v>
      </c>
      <c r="O307">
        <v>7</v>
      </c>
      <c r="P307" t="s">
        <v>19</v>
      </c>
      <c r="Q307" t="s">
        <v>19</v>
      </c>
      <c r="R307" t="str">
        <f t="shared" si="73"/>
        <v>Emitidos em oferta pública - prazo e duração médios - NBC-F</v>
      </c>
      <c r="S307" t="s">
        <v>24</v>
      </c>
    </row>
    <row r="308" spans="1:19" x14ac:dyDescent="0.25">
      <c r="A308" s="25"/>
      <c r="B308" s="25">
        <v>10606</v>
      </c>
      <c r="C308" s="26" t="s">
        <v>155</v>
      </c>
      <c r="D308" s="25" t="s">
        <v>123</v>
      </c>
      <c r="E308" s="27" t="s">
        <v>0</v>
      </c>
      <c r="F308" s="28">
        <v>35826</v>
      </c>
      <c r="G308" s="29">
        <v>45597</v>
      </c>
      <c r="H308" s="30" t="s">
        <v>124</v>
      </c>
      <c r="I308" s="25" t="s">
        <v>2</v>
      </c>
      <c r="J308" s="31"/>
      <c r="K308" s="17" t="s">
        <v>176</v>
      </c>
      <c r="L308" t="s">
        <v>143</v>
      </c>
      <c r="M308" t="s">
        <v>15</v>
      </c>
      <c r="N308" t="str">
        <f t="shared" si="72"/>
        <v>https://api.bcb.gov.br/dados/serie/bcdata.sgs.10606/dados?formato=json</v>
      </c>
      <c r="O308">
        <v>7</v>
      </c>
      <c r="P308" t="s">
        <v>19</v>
      </c>
      <c r="Q308" t="s">
        <v>19</v>
      </c>
      <c r="R308" t="str">
        <f t="shared" si="73"/>
        <v>Emitidos em oferta pública - prazo e duração médios - LBC</v>
      </c>
      <c r="S308" t="s">
        <v>24</v>
      </c>
    </row>
    <row r="309" spans="1:19" x14ac:dyDescent="0.25">
      <c r="A309" s="1"/>
      <c r="B309" s="1">
        <v>10607</v>
      </c>
      <c r="C309" s="2" t="s">
        <v>156</v>
      </c>
      <c r="D309" s="1" t="s">
        <v>123</v>
      </c>
      <c r="E309" s="3" t="s">
        <v>0</v>
      </c>
      <c r="F309" s="4">
        <v>35277</v>
      </c>
      <c r="G309" s="5">
        <v>45597</v>
      </c>
      <c r="H309" s="6" t="s">
        <v>124</v>
      </c>
      <c r="I309" s="1" t="s">
        <v>2</v>
      </c>
      <c r="J309" s="7"/>
      <c r="K309" s="17" t="s">
        <v>176</v>
      </c>
      <c r="L309" t="s">
        <v>143</v>
      </c>
      <c r="M309" t="s">
        <v>15</v>
      </c>
      <c r="N309" t="str">
        <f t="shared" si="72"/>
        <v>https://api.bcb.gov.br/dados/serie/bcdata.sgs.10607/dados?formato=json</v>
      </c>
      <c r="O309">
        <v>7</v>
      </c>
      <c r="P309" t="s">
        <v>19</v>
      </c>
      <c r="Q309" t="s">
        <v>19</v>
      </c>
      <c r="R309" t="str">
        <f t="shared" si="73"/>
        <v>Emitidos em oferta pública - prazo e duração médios - Total</v>
      </c>
      <c r="S309" t="s">
        <v>24</v>
      </c>
    </row>
    <row r="310" spans="1:19" x14ac:dyDescent="0.25">
      <c r="A310" s="1"/>
      <c r="B310" s="1">
        <v>10619</v>
      </c>
      <c r="C310" s="2" t="s">
        <v>157</v>
      </c>
      <c r="D310" s="1" t="s">
        <v>123</v>
      </c>
      <c r="E310" s="3" t="s">
        <v>0</v>
      </c>
      <c r="F310" s="4">
        <v>35461</v>
      </c>
      <c r="G310" s="5">
        <v>45597</v>
      </c>
      <c r="H310" s="6" t="s">
        <v>124</v>
      </c>
      <c r="I310" s="1" t="s">
        <v>2</v>
      </c>
      <c r="J310" s="7"/>
      <c r="K310" s="17" t="s">
        <v>177</v>
      </c>
      <c r="L310" t="s">
        <v>184</v>
      </c>
      <c r="M310" t="s">
        <v>15</v>
      </c>
      <c r="N310" t="str">
        <f t="shared" ref="N310:N312" si="74">_xlfn.CONCAT("https://api.bcb.gov.br/dados/serie/bcdata.sgs.",B310,"/dados?formato=json")</f>
        <v>https://api.bcb.gov.br/dados/serie/bcdata.sgs.10619/dados?formato=json</v>
      </c>
      <c r="O310">
        <v>7</v>
      </c>
      <c r="P310" t="s">
        <v>19</v>
      </c>
      <c r="Q310" t="s">
        <v>19</v>
      </c>
      <c r="R310" t="str">
        <f t="shared" ref="R310:R312" si="75">C310</f>
        <v>Dívida mobiliária federal - Títulos consolidados do Tesouro Nacional e Banco Central - Emitidos em oferta pública - praz</v>
      </c>
      <c r="S310" t="s">
        <v>123</v>
      </c>
    </row>
    <row r="311" spans="1:19" x14ac:dyDescent="0.25">
      <c r="A311" s="8"/>
      <c r="B311" s="8">
        <v>10620</v>
      </c>
      <c r="C311" s="9" t="s">
        <v>158</v>
      </c>
      <c r="D311" s="8" t="s">
        <v>123</v>
      </c>
      <c r="E311" s="10" t="s">
        <v>0</v>
      </c>
      <c r="F311" s="11">
        <v>35461</v>
      </c>
      <c r="G311" s="12">
        <v>45597</v>
      </c>
      <c r="H311" s="13" t="s">
        <v>124</v>
      </c>
      <c r="I311" s="8" t="s">
        <v>2</v>
      </c>
      <c r="J311" s="14"/>
      <c r="K311" s="17" t="s">
        <v>177</v>
      </c>
      <c r="L311" t="s">
        <v>184</v>
      </c>
      <c r="M311" t="s">
        <v>15</v>
      </c>
      <c r="N311" t="str">
        <f t="shared" si="74"/>
        <v>https://api.bcb.gov.br/dados/serie/bcdata.sgs.10620/dados?formato=json</v>
      </c>
      <c r="O311">
        <v>7</v>
      </c>
      <c r="P311" t="s">
        <v>19</v>
      </c>
      <c r="Q311" t="s">
        <v>19</v>
      </c>
      <c r="R311" t="str">
        <f t="shared" si="75"/>
        <v>Dívida mobiliária federal - Títulos consolidados do Tesouro Nacional e Banco Central - Emitidos em oferta pública - dura</v>
      </c>
      <c r="S311" t="s">
        <v>123</v>
      </c>
    </row>
    <row r="312" spans="1:19" x14ac:dyDescent="0.25">
      <c r="A312" s="1"/>
      <c r="B312" s="1">
        <v>10621</v>
      </c>
      <c r="C312" s="2" t="s">
        <v>159</v>
      </c>
      <c r="D312" s="1" t="s">
        <v>123</v>
      </c>
      <c r="E312" s="3" t="s">
        <v>0</v>
      </c>
      <c r="F312" s="4">
        <v>36799</v>
      </c>
      <c r="G312" s="5">
        <v>45597</v>
      </c>
      <c r="H312" s="6" t="s">
        <v>124</v>
      </c>
      <c r="I312" s="1" t="s">
        <v>2</v>
      </c>
      <c r="J312" s="7"/>
      <c r="K312" s="17" t="s">
        <v>177</v>
      </c>
      <c r="L312" t="s">
        <v>184</v>
      </c>
      <c r="M312" t="s">
        <v>15</v>
      </c>
      <c r="N312" t="str">
        <f t="shared" si="74"/>
        <v>https://api.bcb.gov.br/dados/serie/bcdata.sgs.10621/dados?formato=json</v>
      </c>
      <c r="O312">
        <v>7</v>
      </c>
      <c r="P312" t="s">
        <v>19</v>
      </c>
      <c r="Q312" t="s">
        <v>19</v>
      </c>
      <c r="R312" t="str">
        <f t="shared" si="75"/>
        <v>Dívida mobiliária federal - Títulos consolidados do Tesouro Nacional e Banco Central - Emitidos - prazo médio - Total</v>
      </c>
      <c r="S312" t="s">
        <v>123</v>
      </c>
    </row>
    <row r="313" spans="1:19" x14ac:dyDescent="0.25">
      <c r="A313" s="18"/>
      <c r="B313" s="18">
        <v>4173</v>
      </c>
      <c r="C313" s="19" t="s">
        <v>160</v>
      </c>
      <c r="D313" s="18" t="s">
        <v>54</v>
      </c>
      <c r="E313" s="20" t="s">
        <v>0</v>
      </c>
      <c r="F313" s="21">
        <v>36556</v>
      </c>
      <c r="G313" s="22">
        <v>45597</v>
      </c>
      <c r="H313" s="23" t="s">
        <v>1</v>
      </c>
      <c r="I313" s="18" t="s">
        <v>2</v>
      </c>
      <c r="J313" s="24"/>
      <c r="K313" s="17" t="s">
        <v>170</v>
      </c>
      <c r="L313" t="s">
        <v>184</v>
      </c>
      <c r="M313" t="s">
        <v>15</v>
      </c>
      <c r="N313" t="str">
        <f t="shared" ref="N313:N322" si="76">_xlfn.CONCAT("https://api.bcb.gov.br/dados/serie/bcdata.sgs.",B313,"/dados?formato=json")</f>
        <v>https://api.bcb.gov.br/dados/serie/bcdata.sgs.4173/dados?formato=json</v>
      </c>
      <c r="O313">
        <v>7</v>
      </c>
      <c r="P313" t="s">
        <v>19</v>
      </c>
      <c r="Q313" t="s">
        <v>19</v>
      </c>
      <c r="R313" t="str">
        <f t="shared" ref="R313:R322" si="77">C313</f>
        <v>Câmbio</v>
      </c>
      <c r="S313" t="s">
        <v>178</v>
      </c>
    </row>
    <row r="314" spans="1:19" x14ac:dyDescent="0.25">
      <c r="A314" s="25"/>
      <c r="B314" s="25">
        <v>4174</v>
      </c>
      <c r="C314" s="26" t="s">
        <v>161</v>
      </c>
      <c r="D314" s="25" t="s">
        <v>54</v>
      </c>
      <c r="E314" s="27" t="s">
        <v>0</v>
      </c>
      <c r="F314" s="28">
        <v>36556</v>
      </c>
      <c r="G314" s="29">
        <v>45597</v>
      </c>
      <c r="H314" s="30" t="s">
        <v>1</v>
      </c>
      <c r="I314" s="25" t="s">
        <v>2</v>
      </c>
      <c r="J314" s="31"/>
      <c r="K314" s="17" t="s">
        <v>170</v>
      </c>
      <c r="L314" t="s">
        <v>184</v>
      </c>
      <c r="M314" t="s">
        <v>15</v>
      </c>
      <c r="N314" t="str">
        <f t="shared" si="76"/>
        <v>https://api.bcb.gov.br/dados/serie/bcdata.sgs.4174/dados?formato=json</v>
      </c>
      <c r="O314">
        <v>7</v>
      </c>
      <c r="P314" t="s">
        <v>19</v>
      </c>
      <c r="Q314" t="s">
        <v>19</v>
      </c>
      <c r="R314" t="str">
        <f t="shared" si="77"/>
        <v>TR</v>
      </c>
      <c r="S314" t="s">
        <v>178</v>
      </c>
    </row>
    <row r="315" spans="1:19" x14ac:dyDescent="0.25">
      <c r="A315" s="18"/>
      <c r="B315" s="18">
        <v>4175</v>
      </c>
      <c r="C315" s="19" t="s">
        <v>162</v>
      </c>
      <c r="D315" s="18" t="s">
        <v>54</v>
      </c>
      <c r="E315" s="20" t="s">
        <v>0</v>
      </c>
      <c r="F315" s="21">
        <v>36556</v>
      </c>
      <c r="G315" s="22">
        <v>45597</v>
      </c>
      <c r="H315" s="23" t="s">
        <v>1</v>
      </c>
      <c r="I315" s="18" t="s">
        <v>2</v>
      </c>
      <c r="J315" s="24"/>
      <c r="K315" s="17" t="s">
        <v>170</v>
      </c>
      <c r="L315" t="s">
        <v>184</v>
      </c>
      <c r="M315" t="s">
        <v>15</v>
      </c>
      <c r="N315" t="str">
        <f t="shared" si="76"/>
        <v>https://api.bcb.gov.br/dados/serie/bcdata.sgs.4175/dados?formato=json</v>
      </c>
      <c r="O315">
        <v>7</v>
      </c>
      <c r="P315" t="s">
        <v>19</v>
      </c>
      <c r="Q315" t="s">
        <v>19</v>
      </c>
      <c r="R315" t="str">
        <f t="shared" si="77"/>
        <v>IGP-M</v>
      </c>
      <c r="S315" t="s">
        <v>178</v>
      </c>
    </row>
    <row r="316" spans="1:19" x14ac:dyDescent="0.25">
      <c r="A316" s="25"/>
      <c r="B316" s="25">
        <v>4176</v>
      </c>
      <c r="C316" s="26" t="s">
        <v>163</v>
      </c>
      <c r="D316" s="25" t="s">
        <v>54</v>
      </c>
      <c r="E316" s="27" t="s">
        <v>0</v>
      </c>
      <c r="F316" s="28">
        <v>36556</v>
      </c>
      <c r="G316" s="29">
        <v>45597</v>
      </c>
      <c r="H316" s="30" t="s">
        <v>1</v>
      </c>
      <c r="I316" s="25" t="s">
        <v>2</v>
      </c>
      <c r="J316" s="31"/>
      <c r="K316" s="17" t="s">
        <v>170</v>
      </c>
      <c r="L316" t="s">
        <v>184</v>
      </c>
      <c r="M316" t="s">
        <v>15</v>
      </c>
      <c r="N316" t="str">
        <f t="shared" si="76"/>
        <v>https://api.bcb.gov.br/dados/serie/bcdata.sgs.4176/dados?formato=json</v>
      </c>
      <c r="O316">
        <v>7</v>
      </c>
      <c r="P316" t="s">
        <v>19</v>
      </c>
      <c r="Q316" t="s">
        <v>19</v>
      </c>
      <c r="R316" t="str">
        <f t="shared" si="77"/>
        <v>IGP-DI</v>
      </c>
      <c r="S316" t="s">
        <v>178</v>
      </c>
    </row>
    <row r="317" spans="1:19" x14ac:dyDescent="0.25">
      <c r="A317" s="18"/>
      <c r="B317" s="18">
        <v>4177</v>
      </c>
      <c r="C317" s="19" t="s">
        <v>164</v>
      </c>
      <c r="D317" s="18" t="s">
        <v>54</v>
      </c>
      <c r="E317" s="20" t="s">
        <v>0</v>
      </c>
      <c r="F317" s="21">
        <v>36556</v>
      </c>
      <c r="G317" s="22">
        <v>45597</v>
      </c>
      <c r="H317" s="23" t="s">
        <v>1</v>
      </c>
      <c r="I317" s="18" t="s">
        <v>2</v>
      </c>
      <c r="J317" s="24"/>
      <c r="K317" s="17" t="s">
        <v>170</v>
      </c>
      <c r="L317" t="s">
        <v>184</v>
      </c>
      <c r="M317" t="s">
        <v>15</v>
      </c>
      <c r="N317" t="str">
        <f t="shared" si="76"/>
        <v>https://api.bcb.gov.br/dados/serie/bcdata.sgs.4177/dados?formato=json</v>
      </c>
      <c r="O317">
        <v>7</v>
      </c>
      <c r="P317" t="s">
        <v>19</v>
      </c>
      <c r="Q317" t="s">
        <v>19</v>
      </c>
      <c r="R317" t="str">
        <f t="shared" si="77"/>
        <v>Over/Selic</v>
      </c>
      <c r="S317" t="s">
        <v>178</v>
      </c>
    </row>
    <row r="318" spans="1:19" x14ac:dyDescent="0.25">
      <c r="A318" s="25"/>
      <c r="B318" s="25">
        <v>4178</v>
      </c>
      <c r="C318" s="26" t="s">
        <v>165</v>
      </c>
      <c r="D318" s="25" t="s">
        <v>54</v>
      </c>
      <c r="E318" s="27" t="s">
        <v>0</v>
      </c>
      <c r="F318" s="28">
        <v>36556</v>
      </c>
      <c r="G318" s="29">
        <v>45597</v>
      </c>
      <c r="H318" s="30" t="s">
        <v>1</v>
      </c>
      <c r="I318" s="25" t="s">
        <v>2</v>
      </c>
      <c r="J318" s="31"/>
      <c r="K318" s="17" t="s">
        <v>170</v>
      </c>
      <c r="L318" t="s">
        <v>184</v>
      </c>
      <c r="M318" t="s">
        <v>15</v>
      </c>
      <c r="N318" t="str">
        <f t="shared" si="76"/>
        <v>https://api.bcb.gov.br/dados/serie/bcdata.sgs.4178/dados?formato=json</v>
      </c>
      <c r="O318">
        <v>7</v>
      </c>
      <c r="P318" t="s">
        <v>19</v>
      </c>
      <c r="Q318" t="s">
        <v>19</v>
      </c>
      <c r="R318" t="str">
        <f t="shared" si="77"/>
        <v>Prefixado</v>
      </c>
      <c r="S318" t="s">
        <v>178</v>
      </c>
    </row>
    <row r="319" spans="1:19" x14ac:dyDescent="0.25">
      <c r="A319" s="18"/>
      <c r="B319" s="18">
        <v>4179</v>
      </c>
      <c r="C319" s="19" t="s">
        <v>166</v>
      </c>
      <c r="D319" s="18" t="s">
        <v>54</v>
      </c>
      <c r="E319" s="20" t="s">
        <v>0</v>
      </c>
      <c r="F319" s="21">
        <v>36556</v>
      </c>
      <c r="G319" s="22">
        <v>45597</v>
      </c>
      <c r="H319" s="23" t="s">
        <v>1</v>
      </c>
      <c r="I319" s="18" t="s">
        <v>2</v>
      </c>
      <c r="J319" s="24"/>
      <c r="K319" s="17" t="s">
        <v>170</v>
      </c>
      <c r="L319" t="s">
        <v>184</v>
      </c>
      <c r="M319" t="s">
        <v>15</v>
      </c>
      <c r="N319" t="str">
        <f t="shared" si="76"/>
        <v>https://api.bcb.gov.br/dados/serie/bcdata.sgs.4179/dados?formato=json</v>
      </c>
      <c r="O319">
        <v>7</v>
      </c>
      <c r="P319" t="s">
        <v>19</v>
      </c>
      <c r="Q319" t="s">
        <v>19</v>
      </c>
      <c r="R319" t="str">
        <f t="shared" si="77"/>
        <v>TJLP</v>
      </c>
      <c r="S319" t="s">
        <v>178</v>
      </c>
    </row>
    <row r="320" spans="1:19" x14ac:dyDescent="0.25">
      <c r="A320" s="25"/>
      <c r="B320" s="25">
        <v>4180</v>
      </c>
      <c r="C320" s="26" t="s">
        <v>167</v>
      </c>
      <c r="D320" s="25" t="s">
        <v>54</v>
      </c>
      <c r="E320" s="27" t="s">
        <v>0</v>
      </c>
      <c r="F320" s="28">
        <v>36556</v>
      </c>
      <c r="G320" s="29">
        <v>45597</v>
      </c>
      <c r="H320" s="30" t="s">
        <v>1</v>
      </c>
      <c r="I320" s="25" t="s">
        <v>2</v>
      </c>
      <c r="J320" s="31"/>
      <c r="K320" s="17" t="s">
        <v>170</v>
      </c>
      <c r="L320" t="s">
        <v>184</v>
      </c>
      <c r="M320" t="s">
        <v>15</v>
      </c>
      <c r="N320" t="str">
        <f t="shared" si="76"/>
        <v>https://api.bcb.gov.br/dados/serie/bcdata.sgs.4180/dados?formato=json</v>
      </c>
      <c r="O320">
        <v>7</v>
      </c>
      <c r="P320" t="s">
        <v>19</v>
      </c>
      <c r="Q320" t="s">
        <v>19</v>
      </c>
      <c r="R320" t="str">
        <f t="shared" si="77"/>
        <v>OUTROS</v>
      </c>
      <c r="S320" t="s">
        <v>178</v>
      </c>
    </row>
    <row r="321" spans="1:19" x14ac:dyDescent="0.25">
      <c r="A321" s="18"/>
      <c r="B321" s="18">
        <v>12001</v>
      </c>
      <c r="C321" s="19" t="s">
        <v>168</v>
      </c>
      <c r="D321" s="18" t="s">
        <v>54</v>
      </c>
      <c r="E321" s="20" t="s">
        <v>0</v>
      </c>
      <c r="F321" s="21">
        <v>36556</v>
      </c>
      <c r="G321" s="22">
        <v>45597</v>
      </c>
      <c r="H321" s="23" t="s">
        <v>1</v>
      </c>
      <c r="I321" s="18" t="s">
        <v>2</v>
      </c>
      <c r="J321" s="24"/>
      <c r="K321" s="17" t="s">
        <v>170</v>
      </c>
      <c r="L321" t="s">
        <v>184</v>
      </c>
      <c r="M321" t="s">
        <v>15</v>
      </c>
      <c r="N321" t="str">
        <f t="shared" si="76"/>
        <v>https://api.bcb.gov.br/dados/serie/bcdata.sgs.12001/dados?formato=json</v>
      </c>
      <c r="O321">
        <v>7</v>
      </c>
      <c r="P321" t="s">
        <v>19</v>
      </c>
      <c r="Q321" t="s">
        <v>19</v>
      </c>
      <c r="R321" t="str">
        <f t="shared" si="77"/>
        <v>IPCA</v>
      </c>
      <c r="S321" t="s">
        <v>178</v>
      </c>
    </row>
    <row r="322" spans="1:19" x14ac:dyDescent="0.25">
      <c r="A322" s="25"/>
      <c r="B322" s="25">
        <v>12002</v>
      </c>
      <c r="C322" s="26" t="s">
        <v>169</v>
      </c>
      <c r="D322" s="25" t="s">
        <v>54</v>
      </c>
      <c r="E322" s="27" t="s">
        <v>0</v>
      </c>
      <c r="F322" s="28">
        <v>36556</v>
      </c>
      <c r="G322" s="29">
        <v>45597</v>
      </c>
      <c r="H322" s="30" t="s">
        <v>1</v>
      </c>
      <c r="I322" s="25" t="s">
        <v>2</v>
      </c>
      <c r="J322" s="31"/>
      <c r="K322" s="17" t="s">
        <v>170</v>
      </c>
      <c r="L322" t="s">
        <v>184</v>
      </c>
      <c r="M322" t="s">
        <v>15</v>
      </c>
      <c r="N322" t="str">
        <f t="shared" si="76"/>
        <v>https://api.bcb.gov.br/dados/serie/bcdata.sgs.12002/dados?formato=json</v>
      </c>
      <c r="O322">
        <v>7</v>
      </c>
      <c r="P322" t="s">
        <v>19</v>
      </c>
      <c r="Q322" t="s">
        <v>19</v>
      </c>
      <c r="R322" t="str">
        <f t="shared" si="77"/>
        <v>INPC</v>
      </c>
      <c r="S322" t="s">
        <v>178</v>
      </c>
    </row>
    <row r="323" spans="1:19" x14ac:dyDescent="0.25">
      <c r="A323" s="18"/>
      <c r="B323" s="18">
        <v>2234</v>
      </c>
      <c r="C323" s="19" t="s">
        <v>160</v>
      </c>
      <c r="D323" s="18" t="s">
        <v>54</v>
      </c>
      <c r="E323" s="20" t="s">
        <v>0</v>
      </c>
      <c r="F323" s="21">
        <v>33269</v>
      </c>
      <c r="G323" s="22">
        <v>45597</v>
      </c>
      <c r="H323" s="23" t="s">
        <v>1</v>
      </c>
      <c r="I323" s="18" t="s">
        <v>2</v>
      </c>
      <c r="J323" s="24"/>
      <c r="K323" s="17" t="s">
        <v>179</v>
      </c>
      <c r="L323" t="s">
        <v>184</v>
      </c>
      <c r="M323" t="s">
        <v>15</v>
      </c>
      <c r="N323" t="str">
        <f t="shared" ref="N323:N332" si="78">_xlfn.CONCAT("https://api.bcb.gov.br/dados/serie/bcdata.sgs.",B323,"/dados?formato=json")</f>
        <v>https://api.bcb.gov.br/dados/serie/bcdata.sgs.2234/dados?formato=json</v>
      </c>
      <c r="O323">
        <v>7</v>
      </c>
      <c r="P323" t="s">
        <v>19</v>
      </c>
      <c r="Q323" t="s">
        <v>19</v>
      </c>
      <c r="R323" t="str">
        <f t="shared" ref="R323:R332" si="79">C323</f>
        <v>Câmbio</v>
      </c>
      <c r="S323" t="s">
        <v>178</v>
      </c>
    </row>
    <row r="324" spans="1:19" x14ac:dyDescent="0.25">
      <c r="A324" s="25"/>
      <c r="B324" s="25">
        <v>2235</v>
      </c>
      <c r="C324" s="26" t="s">
        <v>161</v>
      </c>
      <c r="D324" s="25" t="s">
        <v>54</v>
      </c>
      <c r="E324" s="27" t="s">
        <v>0</v>
      </c>
      <c r="F324" s="28">
        <v>35095</v>
      </c>
      <c r="G324" s="29">
        <v>45597</v>
      </c>
      <c r="H324" s="30" t="s">
        <v>1</v>
      </c>
      <c r="I324" s="25" t="s">
        <v>2</v>
      </c>
      <c r="J324" s="31"/>
      <c r="K324" s="17" t="s">
        <v>179</v>
      </c>
      <c r="L324" t="s">
        <v>184</v>
      </c>
      <c r="M324" t="s">
        <v>15</v>
      </c>
      <c r="N324" t="str">
        <f t="shared" si="78"/>
        <v>https://api.bcb.gov.br/dados/serie/bcdata.sgs.2235/dados?formato=json</v>
      </c>
      <c r="O324">
        <v>7</v>
      </c>
      <c r="P324" t="s">
        <v>19</v>
      </c>
      <c r="Q324" t="s">
        <v>19</v>
      </c>
      <c r="R324" t="str">
        <f t="shared" si="79"/>
        <v>TR</v>
      </c>
      <c r="S324" t="s">
        <v>178</v>
      </c>
    </row>
    <row r="325" spans="1:19" x14ac:dyDescent="0.25">
      <c r="A325" s="18"/>
      <c r="B325" s="18">
        <v>2236</v>
      </c>
      <c r="C325" s="19" t="s">
        <v>162</v>
      </c>
      <c r="D325" s="18" t="s">
        <v>54</v>
      </c>
      <c r="E325" s="20" t="s">
        <v>0</v>
      </c>
      <c r="F325" s="21">
        <v>35095</v>
      </c>
      <c r="G325" s="22">
        <v>45597</v>
      </c>
      <c r="H325" s="23" t="s">
        <v>1</v>
      </c>
      <c r="I325" s="18" t="s">
        <v>2</v>
      </c>
      <c r="J325" s="24"/>
      <c r="K325" s="17" t="s">
        <v>179</v>
      </c>
      <c r="L325" t="s">
        <v>184</v>
      </c>
      <c r="M325" t="s">
        <v>15</v>
      </c>
      <c r="N325" t="str">
        <f t="shared" si="78"/>
        <v>https://api.bcb.gov.br/dados/serie/bcdata.sgs.2236/dados?formato=json</v>
      </c>
      <c r="O325">
        <v>7</v>
      </c>
      <c r="P325" t="s">
        <v>19</v>
      </c>
      <c r="Q325" t="s">
        <v>19</v>
      </c>
      <c r="R325" t="str">
        <f t="shared" si="79"/>
        <v>IGP-M</v>
      </c>
      <c r="S325" t="s">
        <v>178</v>
      </c>
    </row>
    <row r="326" spans="1:19" x14ac:dyDescent="0.25">
      <c r="A326" s="25"/>
      <c r="B326" s="25">
        <v>2237</v>
      </c>
      <c r="C326" s="26" t="s">
        <v>163</v>
      </c>
      <c r="D326" s="25" t="s">
        <v>54</v>
      </c>
      <c r="E326" s="27" t="s">
        <v>0</v>
      </c>
      <c r="F326" s="28">
        <v>35095</v>
      </c>
      <c r="G326" s="29">
        <v>45597</v>
      </c>
      <c r="H326" s="30" t="s">
        <v>1</v>
      </c>
      <c r="I326" s="25" t="s">
        <v>2</v>
      </c>
      <c r="J326" s="31"/>
      <c r="K326" s="17" t="s">
        <v>179</v>
      </c>
      <c r="L326" t="s">
        <v>184</v>
      </c>
      <c r="M326" t="s">
        <v>15</v>
      </c>
      <c r="N326" t="str">
        <f t="shared" si="78"/>
        <v>https://api.bcb.gov.br/dados/serie/bcdata.sgs.2237/dados?formato=json</v>
      </c>
      <c r="O326">
        <v>7</v>
      </c>
      <c r="P326" t="s">
        <v>19</v>
      </c>
      <c r="Q326" t="s">
        <v>19</v>
      </c>
      <c r="R326" t="str">
        <f t="shared" si="79"/>
        <v>IGP-DI</v>
      </c>
      <c r="S326" t="s">
        <v>178</v>
      </c>
    </row>
    <row r="327" spans="1:19" x14ac:dyDescent="0.25">
      <c r="A327" s="18"/>
      <c r="B327" s="18">
        <v>2238</v>
      </c>
      <c r="C327" s="19" t="s">
        <v>164</v>
      </c>
      <c r="D327" s="18" t="s">
        <v>54</v>
      </c>
      <c r="E327" s="20" t="s">
        <v>0</v>
      </c>
      <c r="F327" s="21">
        <v>35095</v>
      </c>
      <c r="G327" s="22">
        <v>45597</v>
      </c>
      <c r="H327" s="23" t="s">
        <v>1</v>
      </c>
      <c r="I327" s="18" t="s">
        <v>2</v>
      </c>
      <c r="J327" s="24"/>
      <c r="K327" s="17" t="s">
        <v>179</v>
      </c>
      <c r="L327" t="s">
        <v>184</v>
      </c>
      <c r="M327" t="s">
        <v>15</v>
      </c>
      <c r="N327" t="str">
        <f t="shared" si="78"/>
        <v>https://api.bcb.gov.br/dados/serie/bcdata.sgs.2238/dados?formato=json</v>
      </c>
      <c r="O327">
        <v>7</v>
      </c>
      <c r="P327" t="s">
        <v>19</v>
      </c>
      <c r="Q327" t="s">
        <v>19</v>
      </c>
      <c r="R327" t="str">
        <f t="shared" si="79"/>
        <v>Over/Selic</v>
      </c>
      <c r="S327" t="s">
        <v>178</v>
      </c>
    </row>
    <row r="328" spans="1:19" x14ac:dyDescent="0.25">
      <c r="A328" s="25"/>
      <c r="B328" s="25">
        <v>2239</v>
      </c>
      <c r="C328" s="26" t="s">
        <v>165</v>
      </c>
      <c r="D328" s="25" t="s">
        <v>54</v>
      </c>
      <c r="E328" s="27" t="s">
        <v>0</v>
      </c>
      <c r="F328" s="28">
        <v>35095</v>
      </c>
      <c r="G328" s="29">
        <v>45597</v>
      </c>
      <c r="H328" s="30" t="s">
        <v>1</v>
      </c>
      <c r="I328" s="25" t="s">
        <v>2</v>
      </c>
      <c r="J328" s="31"/>
      <c r="K328" s="17" t="s">
        <v>179</v>
      </c>
      <c r="L328" t="s">
        <v>184</v>
      </c>
      <c r="M328" t="s">
        <v>15</v>
      </c>
      <c r="N328" t="str">
        <f t="shared" si="78"/>
        <v>https://api.bcb.gov.br/dados/serie/bcdata.sgs.2239/dados?formato=json</v>
      </c>
      <c r="O328">
        <v>7</v>
      </c>
      <c r="P328" t="s">
        <v>19</v>
      </c>
      <c r="Q328" t="s">
        <v>19</v>
      </c>
      <c r="R328" t="str">
        <f t="shared" si="79"/>
        <v>Prefixado</v>
      </c>
      <c r="S328" t="s">
        <v>178</v>
      </c>
    </row>
    <row r="329" spans="1:19" x14ac:dyDescent="0.25">
      <c r="A329" s="18"/>
      <c r="B329" s="18">
        <v>2240</v>
      </c>
      <c r="C329" s="19" t="s">
        <v>166</v>
      </c>
      <c r="D329" s="18" t="s">
        <v>54</v>
      </c>
      <c r="E329" s="20" t="s">
        <v>0</v>
      </c>
      <c r="F329" s="21">
        <v>35095</v>
      </c>
      <c r="G329" s="22">
        <v>45597</v>
      </c>
      <c r="H329" s="23" t="s">
        <v>1</v>
      </c>
      <c r="I329" s="18" t="s">
        <v>2</v>
      </c>
      <c r="J329" s="24"/>
      <c r="K329" s="17" t="s">
        <v>179</v>
      </c>
      <c r="L329" t="s">
        <v>184</v>
      </c>
      <c r="M329" t="s">
        <v>15</v>
      </c>
      <c r="N329" t="str">
        <f t="shared" si="78"/>
        <v>https://api.bcb.gov.br/dados/serie/bcdata.sgs.2240/dados?formato=json</v>
      </c>
      <c r="O329">
        <v>7</v>
      </c>
      <c r="P329" t="s">
        <v>19</v>
      </c>
      <c r="Q329" t="s">
        <v>19</v>
      </c>
      <c r="R329" t="str">
        <f t="shared" si="79"/>
        <v>TJLP</v>
      </c>
      <c r="S329" t="s">
        <v>178</v>
      </c>
    </row>
    <row r="330" spans="1:19" x14ac:dyDescent="0.25">
      <c r="A330" s="25"/>
      <c r="B330" s="25">
        <v>2241</v>
      </c>
      <c r="C330" s="26" t="s">
        <v>167</v>
      </c>
      <c r="D330" s="25" t="s">
        <v>54</v>
      </c>
      <c r="E330" s="27" t="s">
        <v>0</v>
      </c>
      <c r="F330" s="28">
        <v>35095</v>
      </c>
      <c r="G330" s="29">
        <v>45597</v>
      </c>
      <c r="H330" s="30" t="s">
        <v>1</v>
      </c>
      <c r="I330" s="25" t="s">
        <v>2</v>
      </c>
      <c r="J330" s="31"/>
      <c r="K330" s="17" t="s">
        <v>179</v>
      </c>
      <c r="L330" t="s">
        <v>184</v>
      </c>
      <c r="M330" t="s">
        <v>15</v>
      </c>
      <c r="N330" t="str">
        <f t="shared" si="78"/>
        <v>https://api.bcb.gov.br/dados/serie/bcdata.sgs.2241/dados?formato=json</v>
      </c>
      <c r="O330">
        <v>7</v>
      </c>
      <c r="P330" t="s">
        <v>19</v>
      </c>
      <c r="Q330" t="s">
        <v>19</v>
      </c>
      <c r="R330" t="str">
        <f t="shared" si="79"/>
        <v>OUTROS</v>
      </c>
      <c r="S330" t="s">
        <v>178</v>
      </c>
    </row>
    <row r="331" spans="1:19" x14ac:dyDescent="0.25">
      <c r="A331" s="18"/>
      <c r="B331" s="18">
        <v>12061</v>
      </c>
      <c r="C331" s="19" t="s">
        <v>168</v>
      </c>
      <c r="D331" s="18" t="s">
        <v>54</v>
      </c>
      <c r="E331" s="20" t="s">
        <v>0</v>
      </c>
      <c r="F331" s="21">
        <v>37287</v>
      </c>
      <c r="G331" s="22">
        <v>45597</v>
      </c>
      <c r="H331" s="23" t="s">
        <v>1</v>
      </c>
      <c r="I331" s="18" t="s">
        <v>2</v>
      </c>
      <c r="J331" s="24"/>
      <c r="K331" s="17" t="s">
        <v>179</v>
      </c>
      <c r="L331" t="s">
        <v>184</v>
      </c>
      <c r="M331" t="s">
        <v>15</v>
      </c>
      <c r="N331" t="str">
        <f t="shared" si="78"/>
        <v>https://api.bcb.gov.br/dados/serie/bcdata.sgs.12061/dados?formato=json</v>
      </c>
      <c r="O331">
        <v>7</v>
      </c>
      <c r="P331" t="s">
        <v>19</v>
      </c>
      <c r="Q331" t="s">
        <v>19</v>
      </c>
      <c r="R331" t="str">
        <f t="shared" si="79"/>
        <v>IPCA</v>
      </c>
      <c r="S331" t="s">
        <v>178</v>
      </c>
    </row>
    <row r="332" spans="1:19" x14ac:dyDescent="0.25">
      <c r="A332" s="25"/>
      <c r="B332" s="25">
        <v>12062</v>
      </c>
      <c r="C332" s="26" t="s">
        <v>169</v>
      </c>
      <c r="D332" s="25" t="s">
        <v>54</v>
      </c>
      <c r="E332" s="27" t="s">
        <v>0</v>
      </c>
      <c r="F332" s="28">
        <v>36646</v>
      </c>
      <c r="G332" s="29">
        <v>45597</v>
      </c>
      <c r="H332" s="30" t="s">
        <v>1</v>
      </c>
      <c r="I332" s="25" t="s">
        <v>2</v>
      </c>
      <c r="J332" s="31"/>
      <c r="K332" s="17" t="s">
        <v>179</v>
      </c>
      <c r="L332" t="s">
        <v>184</v>
      </c>
      <c r="M332" t="s">
        <v>15</v>
      </c>
      <c r="N332" t="str">
        <f t="shared" si="78"/>
        <v>https://api.bcb.gov.br/dados/serie/bcdata.sgs.12062/dados?formato=json</v>
      </c>
      <c r="O332">
        <v>7</v>
      </c>
      <c r="P332" t="s">
        <v>19</v>
      </c>
      <c r="Q332" t="s">
        <v>19</v>
      </c>
      <c r="R332" t="str">
        <f t="shared" si="79"/>
        <v>INPC</v>
      </c>
      <c r="S332" t="s">
        <v>178</v>
      </c>
    </row>
    <row r="333" spans="1:19" x14ac:dyDescent="0.25">
      <c r="A333" s="18"/>
      <c r="B333" s="18">
        <v>10622</v>
      </c>
      <c r="C333" s="19" t="s">
        <v>160</v>
      </c>
      <c r="D333" s="18" t="s">
        <v>54</v>
      </c>
      <c r="E333" s="20" t="s">
        <v>0</v>
      </c>
      <c r="F333" s="21">
        <v>36556</v>
      </c>
      <c r="G333" s="22">
        <v>45597</v>
      </c>
      <c r="H333" s="23" t="s">
        <v>1</v>
      </c>
      <c r="I333" s="18" t="s">
        <v>2</v>
      </c>
      <c r="J333" s="24"/>
      <c r="K333" s="17" t="s">
        <v>183</v>
      </c>
      <c r="L333" t="s">
        <v>184</v>
      </c>
      <c r="M333" t="s">
        <v>15</v>
      </c>
      <c r="N333" t="str">
        <f t="shared" ref="N333:N343" si="80">_xlfn.CONCAT("https://api.bcb.gov.br/dados/serie/bcdata.sgs.",B333,"/dados?formato=json")</f>
        <v>https://api.bcb.gov.br/dados/serie/bcdata.sgs.10622/dados?formato=json</v>
      </c>
      <c r="O333">
        <v>7</v>
      </c>
      <c r="P333" t="s">
        <v>19</v>
      </c>
      <c r="Q333" t="s">
        <v>19</v>
      </c>
      <c r="R333" t="str">
        <f t="shared" ref="R333:R343" si="81">C333</f>
        <v>Câmbio</v>
      </c>
      <c r="S333" t="s">
        <v>178</v>
      </c>
    </row>
    <row r="334" spans="1:19" x14ac:dyDescent="0.25">
      <c r="A334" s="25"/>
      <c r="B334" s="25">
        <v>10623</v>
      </c>
      <c r="C334" s="26" t="s">
        <v>161</v>
      </c>
      <c r="D334" s="25" t="s">
        <v>54</v>
      </c>
      <c r="E334" s="27" t="s">
        <v>0</v>
      </c>
      <c r="F334" s="28">
        <v>36556</v>
      </c>
      <c r="G334" s="29">
        <v>45597</v>
      </c>
      <c r="H334" s="30" t="s">
        <v>1</v>
      </c>
      <c r="I334" s="25" t="s">
        <v>2</v>
      </c>
      <c r="J334" s="31"/>
      <c r="K334" s="17" t="s">
        <v>183</v>
      </c>
      <c r="L334" t="s">
        <v>184</v>
      </c>
      <c r="M334" t="s">
        <v>15</v>
      </c>
      <c r="N334" t="str">
        <f t="shared" si="80"/>
        <v>https://api.bcb.gov.br/dados/serie/bcdata.sgs.10623/dados?formato=json</v>
      </c>
      <c r="O334">
        <v>7</v>
      </c>
      <c r="P334" t="s">
        <v>19</v>
      </c>
      <c r="Q334" t="s">
        <v>19</v>
      </c>
      <c r="R334" t="str">
        <f t="shared" si="81"/>
        <v>TR</v>
      </c>
      <c r="S334" t="s">
        <v>178</v>
      </c>
    </row>
    <row r="335" spans="1:19" x14ac:dyDescent="0.25">
      <c r="A335" s="18"/>
      <c r="B335" s="18">
        <v>10624</v>
      </c>
      <c r="C335" s="19" t="s">
        <v>162</v>
      </c>
      <c r="D335" s="18" t="s">
        <v>54</v>
      </c>
      <c r="E335" s="20" t="s">
        <v>0</v>
      </c>
      <c r="F335" s="21">
        <v>36556</v>
      </c>
      <c r="G335" s="22">
        <v>45597</v>
      </c>
      <c r="H335" s="23" t="s">
        <v>1</v>
      </c>
      <c r="I335" s="18" t="s">
        <v>2</v>
      </c>
      <c r="J335" s="24"/>
      <c r="K335" s="17" t="s">
        <v>183</v>
      </c>
      <c r="L335" t="s">
        <v>184</v>
      </c>
      <c r="M335" t="s">
        <v>15</v>
      </c>
      <c r="N335" t="str">
        <f t="shared" si="80"/>
        <v>https://api.bcb.gov.br/dados/serie/bcdata.sgs.10624/dados?formato=json</v>
      </c>
      <c r="O335">
        <v>7</v>
      </c>
      <c r="P335" t="s">
        <v>19</v>
      </c>
      <c r="Q335" t="s">
        <v>19</v>
      </c>
      <c r="R335" t="str">
        <f t="shared" si="81"/>
        <v>IGP-M</v>
      </c>
      <c r="S335" t="s">
        <v>178</v>
      </c>
    </row>
    <row r="336" spans="1:19" x14ac:dyDescent="0.25">
      <c r="A336" s="25"/>
      <c r="B336" s="25">
        <v>10625</v>
      </c>
      <c r="C336" s="26" t="s">
        <v>163</v>
      </c>
      <c r="D336" s="25" t="s">
        <v>54</v>
      </c>
      <c r="E336" s="27" t="s">
        <v>0</v>
      </c>
      <c r="F336" s="28">
        <v>36556</v>
      </c>
      <c r="G336" s="29">
        <v>45597</v>
      </c>
      <c r="H336" s="30" t="s">
        <v>1</v>
      </c>
      <c r="I336" s="25" t="s">
        <v>2</v>
      </c>
      <c r="J336" s="31"/>
      <c r="K336" s="17" t="s">
        <v>183</v>
      </c>
      <c r="L336" t="s">
        <v>184</v>
      </c>
      <c r="M336" t="s">
        <v>15</v>
      </c>
      <c r="N336" t="str">
        <f t="shared" si="80"/>
        <v>https://api.bcb.gov.br/dados/serie/bcdata.sgs.10625/dados?formato=json</v>
      </c>
      <c r="O336">
        <v>7</v>
      </c>
      <c r="P336" t="s">
        <v>19</v>
      </c>
      <c r="Q336" t="s">
        <v>19</v>
      </c>
      <c r="R336" t="str">
        <f t="shared" si="81"/>
        <v>IGP-DI</v>
      </c>
      <c r="S336" t="s">
        <v>178</v>
      </c>
    </row>
    <row r="337" spans="1:19" x14ac:dyDescent="0.25">
      <c r="A337" s="18"/>
      <c r="B337" s="18">
        <v>10626</v>
      </c>
      <c r="C337" s="19" t="s">
        <v>168</v>
      </c>
      <c r="D337" s="18" t="s">
        <v>54</v>
      </c>
      <c r="E337" s="20" t="s">
        <v>0</v>
      </c>
      <c r="F337" s="21">
        <v>36556</v>
      </c>
      <c r="G337" s="22">
        <v>45597</v>
      </c>
      <c r="H337" s="23" t="s">
        <v>1</v>
      </c>
      <c r="I337" s="18" t="s">
        <v>2</v>
      </c>
      <c r="J337" s="24"/>
      <c r="K337" s="17" t="s">
        <v>183</v>
      </c>
      <c r="L337" t="s">
        <v>184</v>
      </c>
      <c r="M337" t="s">
        <v>15</v>
      </c>
      <c r="N337" t="str">
        <f t="shared" si="80"/>
        <v>https://api.bcb.gov.br/dados/serie/bcdata.sgs.10626/dados?formato=json</v>
      </c>
      <c r="O337">
        <v>7</v>
      </c>
      <c r="P337" t="s">
        <v>19</v>
      </c>
      <c r="Q337" t="s">
        <v>19</v>
      </c>
      <c r="R337" t="str">
        <f t="shared" si="81"/>
        <v>IPCA</v>
      </c>
      <c r="S337" t="s">
        <v>178</v>
      </c>
    </row>
    <row r="338" spans="1:19" x14ac:dyDescent="0.25">
      <c r="A338" s="25"/>
      <c r="B338" s="25">
        <v>10627</v>
      </c>
      <c r="C338" s="26" t="s">
        <v>169</v>
      </c>
      <c r="D338" s="25" t="s">
        <v>54</v>
      </c>
      <c r="E338" s="27" t="s">
        <v>0</v>
      </c>
      <c r="F338" s="28">
        <v>36556</v>
      </c>
      <c r="G338" s="29">
        <v>45597</v>
      </c>
      <c r="H338" s="30" t="s">
        <v>1</v>
      </c>
      <c r="I338" s="25" t="s">
        <v>2</v>
      </c>
      <c r="J338" s="31"/>
      <c r="K338" s="17" t="s">
        <v>183</v>
      </c>
      <c r="L338" t="s">
        <v>184</v>
      </c>
      <c r="M338" t="s">
        <v>15</v>
      </c>
      <c r="N338" t="str">
        <f t="shared" si="80"/>
        <v>https://api.bcb.gov.br/dados/serie/bcdata.sgs.10627/dados?formato=json</v>
      </c>
      <c r="O338">
        <v>7</v>
      </c>
      <c r="P338" t="s">
        <v>19</v>
      </c>
      <c r="Q338" t="s">
        <v>19</v>
      </c>
      <c r="R338" t="str">
        <f t="shared" si="81"/>
        <v>INPC</v>
      </c>
      <c r="S338" t="s">
        <v>178</v>
      </c>
    </row>
    <row r="339" spans="1:19" x14ac:dyDescent="0.25">
      <c r="A339" s="18"/>
      <c r="B339" s="18">
        <v>10628</v>
      </c>
      <c r="C339" s="19" t="s">
        <v>180</v>
      </c>
      <c r="D339" s="18" t="s">
        <v>54</v>
      </c>
      <c r="E339" s="20" t="s">
        <v>0</v>
      </c>
      <c r="F339" s="21">
        <v>36556</v>
      </c>
      <c r="G339" s="22">
        <v>45597</v>
      </c>
      <c r="H339" s="23" t="s">
        <v>1</v>
      </c>
      <c r="I339" s="18" t="s">
        <v>2</v>
      </c>
      <c r="J339" s="24"/>
      <c r="K339" s="17" t="s">
        <v>183</v>
      </c>
      <c r="L339" t="s">
        <v>184</v>
      </c>
      <c r="M339" t="s">
        <v>15</v>
      </c>
      <c r="N339" t="str">
        <f t="shared" si="80"/>
        <v>https://api.bcb.gov.br/dados/serie/bcdata.sgs.10628/dados?formato=json</v>
      </c>
      <c r="O339">
        <v>7</v>
      </c>
      <c r="P339" t="s">
        <v>19</v>
      </c>
      <c r="Q339" t="s">
        <v>19</v>
      </c>
      <c r="R339" t="str">
        <f t="shared" si="81"/>
        <v>Selic</v>
      </c>
      <c r="S339" t="s">
        <v>178</v>
      </c>
    </row>
    <row r="340" spans="1:19" x14ac:dyDescent="0.25">
      <c r="A340" s="25"/>
      <c r="B340" s="25">
        <v>10629</v>
      </c>
      <c r="C340" s="26" t="s">
        <v>165</v>
      </c>
      <c r="D340" s="25" t="s">
        <v>54</v>
      </c>
      <c r="E340" s="27" t="s">
        <v>0</v>
      </c>
      <c r="F340" s="28">
        <v>36556</v>
      </c>
      <c r="G340" s="29">
        <v>45597</v>
      </c>
      <c r="H340" s="30" t="s">
        <v>1</v>
      </c>
      <c r="I340" s="25" t="s">
        <v>2</v>
      </c>
      <c r="J340" s="31"/>
      <c r="K340" s="17" t="s">
        <v>183</v>
      </c>
      <c r="L340" t="s">
        <v>184</v>
      </c>
      <c r="M340" t="s">
        <v>15</v>
      </c>
      <c r="N340" t="str">
        <f t="shared" si="80"/>
        <v>https://api.bcb.gov.br/dados/serie/bcdata.sgs.10629/dados?formato=json</v>
      </c>
      <c r="O340">
        <v>7</v>
      </c>
      <c r="P340" t="s">
        <v>19</v>
      </c>
      <c r="Q340" t="s">
        <v>19</v>
      </c>
      <c r="R340" t="str">
        <f t="shared" si="81"/>
        <v>Prefixado</v>
      </c>
      <c r="S340" t="s">
        <v>178</v>
      </c>
    </row>
    <row r="341" spans="1:19" x14ac:dyDescent="0.25">
      <c r="A341" s="18"/>
      <c r="B341" s="18">
        <v>10630</v>
      </c>
      <c r="C341" s="19" t="s">
        <v>166</v>
      </c>
      <c r="D341" s="18" t="s">
        <v>54</v>
      </c>
      <c r="E341" s="20" t="s">
        <v>0</v>
      </c>
      <c r="F341" s="21">
        <v>36556</v>
      </c>
      <c r="G341" s="22">
        <v>45597</v>
      </c>
      <c r="H341" s="23" t="s">
        <v>1</v>
      </c>
      <c r="I341" s="18" t="s">
        <v>2</v>
      </c>
      <c r="J341" s="24"/>
      <c r="K341" s="17" t="s">
        <v>183</v>
      </c>
      <c r="L341" t="s">
        <v>184</v>
      </c>
      <c r="M341" t="s">
        <v>15</v>
      </c>
      <c r="N341" t="str">
        <f t="shared" si="80"/>
        <v>https://api.bcb.gov.br/dados/serie/bcdata.sgs.10630/dados?formato=json</v>
      </c>
      <c r="O341">
        <v>7</v>
      </c>
      <c r="P341" t="s">
        <v>19</v>
      </c>
      <c r="Q341" t="s">
        <v>19</v>
      </c>
      <c r="R341" t="str">
        <f t="shared" si="81"/>
        <v>TJLP</v>
      </c>
      <c r="S341" t="s">
        <v>178</v>
      </c>
    </row>
    <row r="342" spans="1:19" x14ac:dyDescent="0.25">
      <c r="A342" s="25"/>
      <c r="B342" s="25">
        <v>10631</v>
      </c>
      <c r="C342" s="26" t="s">
        <v>181</v>
      </c>
      <c r="D342" s="25" t="s">
        <v>54</v>
      </c>
      <c r="E342" s="27" t="s">
        <v>0</v>
      </c>
      <c r="F342" s="28">
        <v>36556</v>
      </c>
      <c r="G342" s="29">
        <v>45597</v>
      </c>
      <c r="H342" s="30" t="s">
        <v>1</v>
      </c>
      <c r="I342" s="25" t="s">
        <v>2</v>
      </c>
      <c r="J342" s="31"/>
      <c r="K342" s="17" t="s">
        <v>183</v>
      </c>
      <c r="L342" t="s">
        <v>184</v>
      </c>
      <c r="M342" t="s">
        <v>15</v>
      </c>
      <c r="N342" t="str">
        <f t="shared" si="80"/>
        <v>https://api.bcb.gov.br/dados/serie/bcdata.sgs.10631/dados?formato=json</v>
      </c>
      <c r="O342">
        <v>7</v>
      </c>
      <c r="P342" t="s">
        <v>19</v>
      </c>
      <c r="Q342" t="s">
        <v>19</v>
      </c>
      <c r="R342" t="str">
        <f t="shared" si="81"/>
        <v>Outros</v>
      </c>
      <c r="S342" t="s">
        <v>178</v>
      </c>
    </row>
    <row r="343" spans="1:19" x14ac:dyDescent="0.25">
      <c r="A343" s="1"/>
      <c r="B343" s="1">
        <v>10632</v>
      </c>
      <c r="C343" s="2" t="s">
        <v>182</v>
      </c>
      <c r="D343" s="1" t="s">
        <v>54</v>
      </c>
      <c r="E343" s="3" t="s">
        <v>0</v>
      </c>
      <c r="F343" s="4">
        <v>36556</v>
      </c>
      <c r="G343" s="5">
        <v>45597</v>
      </c>
      <c r="H343" s="6" t="s">
        <v>1</v>
      </c>
      <c r="I343" s="1" t="s">
        <v>2</v>
      </c>
      <c r="J343" s="7"/>
      <c r="K343" s="17" t="s">
        <v>183</v>
      </c>
      <c r="L343" t="s">
        <v>184</v>
      </c>
      <c r="M343" t="s">
        <v>15</v>
      </c>
      <c r="N343" t="str">
        <f t="shared" si="80"/>
        <v>https://api.bcb.gov.br/dados/serie/bcdata.sgs.10632/dados?formato=json</v>
      </c>
      <c r="O343">
        <v>7</v>
      </c>
      <c r="P343" t="s">
        <v>19</v>
      </c>
      <c r="Q343" t="s">
        <v>19</v>
      </c>
      <c r="R343" t="str">
        <f t="shared" si="81"/>
        <v>Operações de mercado aberto</v>
      </c>
      <c r="S343" t="s">
        <v>178</v>
      </c>
    </row>
    <row r="344" spans="1:19" x14ac:dyDescent="0.25">
      <c r="A344" s="1"/>
      <c r="B344" s="1">
        <v>10633</v>
      </c>
      <c r="C344" s="2" t="s">
        <v>187</v>
      </c>
      <c r="D344" s="1" t="s">
        <v>37</v>
      </c>
      <c r="E344" s="3" t="s">
        <v>0</v>
      </c>
      <c r="F344" s="4">
        <v>36556</v>
      </c>
      <c r="G344" s="5">
        <v>45597</v>
      </c>
      <c r="H344" s="6" t="s">
        <v>124</v>
      </c>
      <c r="I344" s="1" t="s">
        <v>2</v>
      </c>
      <c r="J344" s="7"/>
      <c r="K344" s="17" t="s">
        <v>192</v>
      </c>
      <c r="L344" t="s">
        <v>184</v>
      </c>
      <c r="M344" t="s">
        <v>15</v>
      </c>
      <c r="N344" t="str">
        <f t="shared" ref="N344:N349" si="82">_xlfn.CONCAT("https://api.bcb.gov.br/dados/serie/bcdata.sgs.",B344,"/dados?formato=json")</f>
        <v>https://api.bcb.gov.br/dados/serie/bcdata.sgs.10633/dados?formato=json</v>
      </c>
      <c r="O344">
        <v>7</v>
      </c>
      <c r="P344" t="s">
        <v>19</v>
      </c>
      <c r="Q344" t="s">
        <v>19</v>
      </c>
      <c r="R344" t="str">
        <f t="shared" ref="R344:R349" si="83">C344</f>
        <v>Título indexado a Selic - LBC/LBCE</v>
      </c>
      <c r="S344" t="s">
        <v>37</v>
      </c>
    </row>
    <row r="345" spans="1:19" x14ac:dyDescent="0.25">
      <c r="A345" s="8"/>
      <c r="B345" s="8">
        <v>10634</v>
      </c>
      <c r="C345" s="9" t="s">
        <v>188</v>
      </c>
      <c r="D345" s="1" t="s">
        <v>37</v>
      </c>
      <c r="E345" s="10" t="s">
        <v>0</v>
      </c>
      <c r="F345" s="11">
        <v>36556</v>
      </c>
      <c r="G345" s="12">
        <v>45597</v>
      </c>
      <c r="H345" s="13" t="s">
        <v>124</v>
      </c>
      <c r="I345" s="8" t="s">
        <v>2</v>
      </c>
      <c r="J345" s="14"/>
      <c r="K345" s="17" t="s">
        <v>192</v>
      </c>
      <c r="L345" t="s">
        <v>184</v>
      </c>
      <c r="M345" t="s">
        <v>15</v>
      </c>
      <c r="N345" t="str">
        <f t="shared" si="82"/>
        <v>https://api.bcb.gov.br/dados/serie/bcdata.sgs.10634/dados?formato=json</v>
      </c>
      <c r="O345">
        <v>7</v>
      </c>
      <c r="P345" t="s">
        <v>19</v>
      </c>
      <c r="Q345" t="s">
        <v>19</v>
      </c>
      <c r="R345" t="str">
        <f t="shared" si="83"/>
        <v>Título indexado a Selic - LFT</v>
      </c>
      <c r="S345" t="s">
        <v>37</v>
      </c>
    </row>
    <row r="346" spans="1:19" x14ac:dyDescent="0.25">
      <c r="A346" s="1"/>
      <c r="B346" s="1">
        <v>10635</v>
      </c>
      <c r="C346" s="2" t="s">
        <v>189</v>
      </c>
      <c r="D346" s="1" t="s">
        <v>37</v>
      </c>
      <c r="E346" s="3" t="s">
        <v>0</v>
      </c>
      <c r="F346" s="4">
        <v>36556</v>
      </c>
      <c r="G346" s="5">
        <v>45597</v>
      </c>
      <c r="H346" s="6" t="s">
        <v>185</v>
      </c>
      <c r="I346" s="1" t="s">
        <v>2</v>
      </c>
      <c r="J346" s="7"/>
      <c r="K346" s="17" t="s">
        <v>192</v>
      </c>
      <c r="L346" t="s">
        <v>184</v>
      </c>
      <c r="M346" t="s">
        <v>15</v>
      </c>
      <c r="N346" t="str">
        <f t="shared" si="82"/>
        <v>https://api.bcb.gov.br/dados/serie/bcdata.sgs.10635/dados?formato=json</v>
      </c>
      <c r="O346">
        <v>7</v>
      </c>
      <c r="P346" t="s">
        <v>19</v>
      </c>
      <c r="Q346" t="s">
        <v>19</v>
      </c>
      <c r="R346" t="str">
        <f t="shared" si="83"/>
        <v>Título indexado a Selic - Crédito securitizado</v>
      </c>
      <c r="S346" t="s">
        <v>37</v>
      </c>
    </row>
    <row r="347" spans="1:19" x14ac:dyDescent="0.25">
      <c r="A347" s="8"/>
      <c r="B347" s="8">
        <v>10636</v>
      </c>
      <c r="C347" s="9" t="s">
        <v>190</v>
      </c>
      <c r="D347" s="1" t="s">
        <v>37</v>
      </c>
      <c r="E347" s="10" t="s">
        <v>0</v>
      </c>
      <c r="F347" s="11">
        <v>36556</v>
      </c>
      <c r="G347" s="12">
        <v>45597</v>
      </c>
      <c r="H347" s="13" t="s">
        <v>185</v>
      </c>
      <c r="I347" s="8" t="s">
        <v>2</v>
      </c>
      <c r="J347" s="14"/>
      <c r="K347" s="17" t="s">
        <v>192</v>
      </c>
      <c r="L347" t="s">
        <v>184</v>
      </c>
      <c r="M347" t="s">
        <v>15</v>
      </c>
      <c r="N347" t="str">
        <f t="shared" si="82"/>
        <v>https://api.bcb.gov.br/dados/serie/bcdata.sgs.10636/dados?formato=json</v>
      </c>
      <c r="O347">
        <v>7</v>
      </c>
      <c r="P347" t="s">
        <v>19</v>
      </c>
      <c r="Q347" t="s">
        <v>19</v>
      </c>
      <c r="R347" t="str">
        <f t="shared" si="83"/>
        <v>Título indexado a Selic - Dívida agrícola</v>
      </c>
      <c r="S347" t="s">
        <v>37</v>
      </c>
    </row>
    <row r="348" spans="1:19" x14ac:dyDescent="0.25">
      <c r="A348" s="1"/>
      <c r="B348" s="1">
        <v>10637</v>
      </c>
      <c r="C348" s="2" t="s">
        <v>191</v>
      </c>
      <c r="D348" s="1" t="s">
        <v>37</v>
      </c>
      <c r="E348" s="3" t="s">
        <v>0</v>
      </c>
      <c r="F348" s="4">
        <v>36556</v>
      </c>
      <c r="G348" s="5">
        <v>45597</v>
      </c>
      <c r="H348" s="6" t="s">
        <v>185</v>
      </c>
      <c r="I348" s="1" t="s">
        <v>2</v>
      </c>
      <c r="J348" s="7"/>
      <c r="K348" s="17" t="s">
        <v>192</v>
      </c>
      <c r="L348" t="s">
        <v>184</v>
      </c>
      <c r="M348" t="s">
        <v>15</v>
      </c>
      <c r="N348" t="str">
        <f t="shared" si="82"/>
        <v>https://api.bcb.gov.br/dados/serie/bcdata.sgs.10637/dados?formato=json</v>
      </c>
      <c r="O348">
        <v>7</v>
      </c>
      <c r="P348" t="s">
        <v>19</v>
      </c>
      <c r="Q348" t="s">
        <v>19</v>
      </c>
      <c r="R348" t="str">
        <f t="shared" si="83"/>
        <v>Título indexado a Selic - CFT-C</v>
      </c>
      <c r="S348" t="s">
        <v>37</v>
      </c>
    </row>
    <row r="349" spans="1:19" x14ac:dyDescent="0.25">
      <c r="A349" s="8"/>
      <c r="B349" s="8">
        <v>10638</v>
      </c>
      <c r="C349" s="9" t="s">
        <v>186</v>
      </c>
      <c r="D349" s="1" t="s">
        <v>37</v>
      </c>
      <c r="E349" s="10" t="s">
        <v>0</v>
      </c>
      <c r="F349" s="11">
        <v>36556</v>
      </c>
      <c r="G349" s="12">
        <v>45597</v>
      </c>
      <c r="H349" s="13" t="s">
        <v>1</v>
      </c>
      <c r="I349" s="8" t="s">
        <v>2</v>
      </c>
      <c r="J349" s="14"/>
      <c r="K349" s="17" t="s">
        <v>192</v>
      </c>
      <c r="L349" t="s">
        <v>184</v>
      </c>
      <c r="M349" t="s">
        <v>15</v>
      </c>
      <c r="N349" t="str">
        <f t="shared" si="82"/>
        <v>https://api.bcb.gov.br/dados/serie/bcdata.sgs.10638/dados?formato=json</v>
      </c>
      <c r="O349">
        <v>7</v>
      </c>
      <c r="P349" t="s">
        <v>19</v>
      </c>
      <c r="Q349" t="s">
        <v>19</v>
      </c>
      <c r="R349" t="str">
        <f t="shared" si="83"/>
        <v>Total</v>
      </c>
      <c r="S349" t="s">
        <v>37</v>
      </c>
    </row>
    <row r="350" spans="1:19" x14ac:dyDescent="0.25">
      <c r="A350" s="1"/>
      <c r="B350" s="1">
        <v>10639</v>
      </c>
      <c r="C350" s="2" t="s">
        <v>194</v>
      </c>
      <c r="D350" s="1" t="s">
        <v>37</v>
      </c>
      <c r="E350" s="3" t="s">
        <v>0</v>
      </c>
      <c r="F350" s="4">
        <v>36556</v>
      </c>
      <c r="G350" s="5">
        <v>45597</v>
      </c>
      <c r="H350" s="6" t="s">
        <v>185</v>
      </c>
      <c r="I350" s="1" t="s">
        <v>2</v>
      </c>
      <c r="J350" s="7"/>
      <c r="K350" s="17" t="s">
        <v>203</v>
      </c>
      <c r="L350" t="s">
        <v>184</v>
      </c>
      <c r="M350" t="s">
        <v>15</v>
      </c>
      <c r="N350" t="str">
        <f t="shared" ref="N350:N359" si="84">_xlfn.CONCAT("https://api.bcb.gov.br/dados/serie/bcdata.sgs.",B350,"/dados?formato=json")</f>
        <v>https://api.bcb.gov.br/dados/serie/bcdata.sgs.10639/dados?formato=json</v>
      </c>
      <c r="O350">
        <v>7</v>
      </c>
      <c r="P350" t="s">
        <v>19</v>
      </c>
      <c r="Q350" t="s">
        <v>19</v>
      </c>
      <c r="R350" t="str">
        <f t="shared" ref="R350:R359" si="85">C350</f>
        <v>Título indexado ao IGP-DI - CFT-A</v>
      </c>
      <c r="S350" t="s">
        <v>37</v>
      </c>
    </row>
    <row r="351" spans="1:19" x14ac:dyDescent="0.25">
      <c r="A351" s="8"/>
      <c r="B351" s="8">
        <v>10640</v>
      </c>
      <c r="C351" s="9" t="s">
        <v>195</v>
      </c>
      <c r="D351" s="1" t="s">
        <v>37</v>
      </c>
      <c r="E351" s="10" t="s">
        <v>0</v>
      </c>
      <c r="F351" s="11">
        <v>36556</v>
      </c>
      <c r="G351" s="12">
        <v>45597</v>
      </c>
      <c r="H351" s="13" t="s">
        <v>185</v>
      </c>
      <c r="I351" s="8" t="s">
        <v>2</v>
      </c>
      <c r="J351" s="14"/>
      <c r="K351" s="17" t="s">
        <v>203</v>
      </c>
      <c r="L351" t="s">
        <v>184</v>
      </c>
      <c r="M351" t="s">
        <v>15</v>
      </c>
      <c r="N351" t="str">
        <f t="shared" si="84"/>
        <v>https://api.bcb.gov.br/dados/serie/bcdata.sgs.10640/dados?formato=json</v>
      </c>
      <c r="O351">
        <v>7</v>
      </c>
      <c r="P351" t="s">
        <v>19</v>
      </c>
      <c r="Q351" t="s">
        <v>19</v>
      </c>
      <c r="R351" t="str">
        <f t="shared" si="85"/>
        <v>Título indexado ao IGP-DI - Crédito securitizado</v>
      </c>
      <c r="S351" t="s">
        <v>37</v>
      </c>
    </row>
    <row r="352" spans="1:19" x14ac:dyDescent="0.25">
      <c r="A352" s="1"/>
      <c r="B352" s="1">
        <v>10641</v>
      </c>
      <c r="C352" s="2" t="s">
        <v>196</v>
      </c>
      <c r="D352" s="1" t="s">
        <v>37</v>
      </c>
      <c r="E352" s="3" t="s">
        <v>0</v>
      </c>
      <c r="F352" s="4">
        <v>36556</v>
      </c>
      <c r="G352" s="5">
        <v>45597</v>
      </c>
      <c r="H352" s="6" t="s">
        <v>1</v>
      </c>
      <c r="I352" s="1" t="s">
        <v>2</v>
      </c>
      <c r="J352" s="7"/>
      <c r="K352" s="17" t="s">
        <v>203</v>
      </c>
      <c r="L352" t="s">
        <v>184</v>
      </c>
      <c r="M352" t="s">
        <v>15</v>
      </c>
      <c r="N352" t="str">
        <f t="shared" si="84"/>
        <v>https://api.bcb.gov.br/dados/serie/bcdata.sgs.10641/dados?formato=json</v>
      </c>
      <c r="O352">
        <v>7</v>
      </c>
      <c r="P352" t="s">
        <v>19</v>
      </c>
      <c r="Q352" t="s">
        <v>19</v>
      </c>
      <c r="R352" t="str">
        <f t="shared" si="85"/>
        <v>Título indexado ao IGP-DI - Total</v>
      </c>
      <c r="S352" t="s">
        <v>37</v>
      </c>
    </row>
    <row r="353" spans="1:19" x14ac:dyDescent="0.25">
      <c r="A353" s="8"/>
      <c r="B353" s="8">
        <v>10642</v>
      </c>
      <c r="C353" s="9" t="s">
        <v>197</v>
      </c>
      <c r="D353" s="1" t="s">
        <v>37</v>
      </c>
      <c r="E353" s="10" t="s">
        <v>0</v>
      </c>
      <c r="F353" s="11">
        <v>36556</v>
      </c>
      <c r="G353" s="12">
        <v>45597</v>
      </c>
      <c r="H353" s="13" t="s">
        <v>124</v>
      </c>
      <c r="I353" s="8" t="s">
        <v>2</v>
      </c>
      <c r="J353" s="14"/>
      <c r="K353" s="17" t="s">
        <v>203</v>
      </c>
      <c r="L353" t="s">
        <v>184</v>
      </c>
      <c r="M353" t="s">
        <v>15</v>
      </c>
      <c r="N353" t="str">
        <f t="shared" si="84"/>
        <v>https://api.bcb.gov.br/dados/serie/bcdata.sgs.10642/dados?formato=json</v>
      </c>
      <c r="O353">
        <v>7</v>
      </c>
      <c r="P353" t="s">
        <v>19</v>
      </c>
      <c r="Q353" t="s">
        <v>19</v>
      </c>
      <c r="R353" t="str">
        <f t="shared" si="85"/>
        <v>Título indexado ao IPC-A - NTN-B</v>
      </c>
      <c r="S353" t="s">
        <v>37</v>
      </c>
    </row>
    <row r="354" spans="1:19" x14ac:dyDescent="0.25">
      <c r="A354" s="1"/>
      <c r="B354" s="1">
        <v>10643</v>
      </c>
      <c r="C354" s="2" t="s">
        <v>198</v>
      </c>
      <c r="D354" s="1" t="s">
        <v>37</v>
      </c>
      <c r="E354" s="3" t="s">
        <v>0</v>
      </c>
      <c r="F354" s="4">
        <v>36556</v>
      </c>
      <c r="G354" s="5">
        <v>45597</v>
      </c>
      <c r="H354" s="6" t="s">
        <v>185</v>
      </c>
      <c r="I354" s="1" t="s">
        <v>2</v>
      </c>
      <c r="J354" s="7"/>
      <c r="K354" s="17" t="s">
        <v>203</v>
      </c>
      <c r="L354" t="s">
        <v>184</v>
      </c>
      <c r="M354" t="s">
        <v>15</v>
      </c>
      <c r="N354" t="str">
        <f t="shared" si="84"/>
        <v>https://api.bcb.gov.br/dados/serie/bcdata.sgs.10643/dados?formato=json</v>
      </c>
      <c r="O354">
        <v>7</v>
      </c>
      <c r="P354" t="s">
        <v>19</v>
      </c>
      <c r="Q354" t="s">
        <v>19</v>
      </c>
      <c r="R354" t="str">
        <f t="shared" si="85"/>
        <v>Título indexado ao INPC - Crédito securitizado</v>
      </c>
      <c r="S354" t="s">
        <v>37</v>
      </c>
    </row>
    <row r="355" spans="1:19" x14ac:dyDescent="0.25">
      <c r="A355" s="8"/>
      <c r="B355" s="8">
        <v>10644</v>
      </c>
      <c r="C355" s="9" t="s">
        <v>199</v>
      </c>
      <c r="D355" s="1" t="s">
        <v>37</v>
      </c>
      <c r="E355" s="10" t="s">
        <v>0</v>
      </c>
      <c r="F355" s="11">
        <v>36556</v>
      </c>
      <c r="G355" s="12">
        <v>45597</v>
      </c>
      <c r="H355" s="13" t="s">
        <v>185</v>
      </c>
      <c r="I355" s="8" t="s">
        <v>2</v>
      </c>
      <c r="J355" s="14"/>
      <c r="K355" s="17" t="s">
        <v>203</v>
      </c>
      <c r="L355" t="s">
        <v>184</v>
      </c>
      <c r="M355" t="s">
        <v>15</v>
      </c>
      <c r="N355" t="str">
        <f t="shared" si="84"/>
        <v>https://api.bcb.gov.br/dados/serie/bcdata.sgs.10644/dados?formato=json</v>
      </c>
      <c r="O355">
        <v>7</v>
      </c>
      <c r="P355" t="s">
        <v>19</v>
      </c>
      <c r="Q355" t="s">
        <v>19</v>
      </c>
      <c r="R355" t="str">
        <f t="shared" si="85"/>
        <v>Título indexado ao IGP-M - CFT-E</v>
      </c>
      <c r="S355" t="s">
        <v>37</v>
      </c>
    </row>
    <row r="356" spans="1:19" x14ac:dyDescent="0.25">
      <c r="A356" s="1"/>
      <c r="B356" s="1">
        <v>10645</v>
      </c>
      <c r="C356" s="2" t="s">
        <v>200</v>
      </c>
      <c r="D356" s="1" t="s">
        <v>37</v>
      </c>
      <c r="E356" s="3" t="s">
        <v>0</v>
      </c>
      <c r="F356" s="4">
        <v>36556</v>
      </c>
      <c r="G356" s="5">
        <v>45597</v>
      </c>
      <c r="H356" s="6" t="s">
        <v>185</v>
      </c>
      <c r="I356" s="1" t="s">
        <v>2</v>
      </c>
      <c r="J356" s="7"/>
      <c r="K356" s="17" t="s">
        <v>203</v>
      </c>
      <c r="L356" t="s">
        <v>184</v>
      </c>
      <c r="M356" t="s">
        <v>15</v>
      </c>
      <c r="N356" t="str">
        <f t="shared" si="84"/>
        <v>https://api.bcb.gov.br/dados/serie/bcdata.sgs.10645/dados?formato=json</v>
      </c>
      <c r="O356">
        <v>7</v>
      </c>
      <c r="P356" t="s">
        <v>19</v>
      </c>
      <c r="Q356" t="s">
        <v>19</v>
      </c>
      <c r="R356" t="str">
        <f t="shared" si="85"/>
        <v>Título indexado ao IGP-M - CTN</v>
      </c>
      <c r="S356" t="s">
        <v>37</v>
      </c>
    </row>
    <row r="357" spans="1:19" x14ac:dyDescent="0.25">
      <c r="A357" s="8"/>
      <c r="B357" s="8">
        <v>10646</v>
      </c>
      <c r="C357" s="9" t="s">
        <v>201</v>
      </c>
      <c r="D357" s="1" t="s">
        <v>37</v>
      </c>
      <c r="E357" s="10" t="s">
        <v>0</v>
      </c>
      <c r="F357" s="11">
        <v>36556</v>
      </c>
      <c r="G357" s="12">
        <v>45597</v>
      </c>
      <c r="H357" s="13" t="s">
        <v>185</v>
      </c>
      <c r="I357" s="8" t="s">
        <v>2</v>
      </c>
      <c r="J357" s="14"/>
      <c r="K357" s="17" t="s">
        <v>203</v>
      </c>
      <c r="L357" t="s">
        <v>184</v>
      </c>
      <c r="M357" t="s">
        <v>15</v>
      </c>
      <c r="N357" t="str">
        <f t="shared" si="84"/>
        <v>https://api.bcb.gov.br/dados/serie/bcdata.sgs.10646/dados?formato=json</v>
      </c>
      <c r="O357">
        <v>7</v>
      </c>
      <c r="P357" t="s">
        <v>19</v>
      </c>
      <c r="Q357" t="s">
        <v>19</v>
      </c>
      <c r="R357" t="str">
        <f t="shared" si="85"/>
        <v>Título indexado ao IGP-M - Crédito securitizado</v>
      </c>
      <c r="S357" t="s">
        <v>37</v>
      </c>
    </row>
    <row r="358" spans="1:19" x14ac:dyDescent="0.25">
      <c r="A358" s="1"/>
      <c r="B358" s="1">
        <v>10647</v>
      </c>
      <c r="C358" s="2" t="s">
        <v>202</v>
      </c>
      <c r="D358" s="1" t="s">
        <v>37</v>
      </c>
      <c r="E358" s="3" t="s">
        <v>0</v>
      </c>
      <c r="F358" s="4">
        <v>36556</v>
      </c>
      <c r="G358" s="5">
        <v>45597</v>
      </c>
      <c r="H358" s="6" t="s">
        <v>124</v>
      </c>
      <c r="I358" s="1" t="s">
        <v>2</v>
      </c>
      <c r="J358" s="7"/>
      <c r="K358" s="17" t="s">
        <v>203</v>
      </c>
      <c r="L358" t="s">
        <v>184</v>
      </c>
      <c r="M358" t="s">
        <v>15</v>
      </c>
      <c r="N358" t="str">
        <f t="shared" si="84"/>
        <v>https://api.bcb.gov.br/dados/serie/bcdata.sgs.10647/dados?formato=json</v>
      </c>
      <c r="O358">
        <v>7</v>
      </c>
      <c r="P358" t="s">
        <v>19</v>
      </c>
      <c r="Q358" t="s">
        <v>19</v>
      </c>
      <c r="R358" t="str">
        <f t="shared" si="85"/>
        <v>Título indexado ao IGP-M - NTN-C</v>
      </c>
      <c r="S358" t="s">
        <v>37</v>
      </c>
    </row>
    <row r="359" spans="1:19" x14ac:dyDescent="0.25">
      <c r="A359" s="8"/>
      <c r="B359" s="8">
        <v>10648</v>
      </c>
      <c r="C359" s="9" t="s">
        <v>193</v>
      </c>
      <c r="D359" s="1" t="s">
        <v>37</v>
      </c>
      <c r="E359" s="10" t="s">
        <v>0</v>
      </c>
      <c r="F359" s="11">
        <v>36556</v>
      </c>
      <c r="G359" s="12">
        <v>45597</v>
      </c>
      <c r="H359" s="13" t="s">
        <v>1</v>
      </c>
      <c r="I359" s="8" t="s">
        <v>2</v>
      </c>
      <c r="J359" s="14"/>
      <c r="K359" s="17" t="s">
        <v>203</v>
      </c>
      <c r="L359" t="s">
        <v>184</v>
      </c>
      <c r="M359" t="s">
        <v>15</v>
      </c>
      <c r="N359" t="str">
        <f t="shared" si="84"/>
        <v>https://api.bcb.gov.br/dados/serie/bcdata.sgs.10648/dados?formato=json</v>
      </c>
      <c r="O359">
        <v>7</v>
      </c>
      <c r="P359" t="s">
        <v>19</v>
      </c>
      <c r="Q359" t="s">
        <v>19</v>
      </c>
      <c r="R359" t="str">
        <f t="shared" si="85"/>
        <v>IGP-M - Total</v>
      </c>
      <c r="S359" t="s">
        <v>37</v>
      </c>
    </row>
    <row r="360" spans="1:19" x14ac:dyDescent="0.25">
      <c r="A360" s="1"/>
      <c r="B360" s="1">
        <v>10649</v>
      </c>
      <c r="C360" s="2" t="s">
        <v>205</v>
      </c>
      <c r="D360" s="1" t="s">
        <v>37</v>
      </c>
      <c r="E360" s="3" t="s">
        <v>0</v>
      </c>
      <c r="F360" s="4">
        <v>36556</v>
      </c>
      <c r="G360" s="5">
        <v>45597</v>
      </c>
      <c r="H360" s="6" t="s">
        <v>124</v>
      </c>
      <c r="I360" s="1" t="s">
        <v>2</v>
      </c>
      <c r="J360" s="7"/>
      <c r="K360" s="17" t="s">
        <v>207</v>
      </c>
      <c r="L360" t="s">
        <v>184</v>
      </c>
      <c r="M360" t="s">
        <v>15</v>
      </c>
      <c r="N360" t="str">
        <f t="shared" ref="N360:N363" si="86">_xlfn.CONCAT("https://api.bcb.gov.br/dados/serie/bcdata.sgs.",B360,"/dados?formato=json")</f>
        <v>https://api.bcb.gov.br/dados/serie/bcdata.sgs.10649/dados?formato=json</v>
      </c>
      <c r="O360">
        <v>7</v>
      </c>
      <c r="P360" t="s">
        <v>19</v>
      </c>
      <c r="Q360" t="s">
        <v>19</v>
      </c>
      <c r="R360" t="str">
        <f t="shared" ref="R360:R363" si="87">C360</f>
        <v>Título pré-fixado - LTN</v>
      </c>
      <c r="S360" t="s">
        <v>37</v>
      </c>
    </row>
    <row r="361" spans="1:19" x14ac:dyDescent="0.25">
      <c r="A361" s="8"/>
      <c r="B361" s="8">
        <v>10650</v>
      </c>
      <c r="C361" s="9" t="s">
        <v>206</v>
      </c>
      <c r="D361" s="1" t="s">
        <v>37</v>
      </c>
      <c r="E361" s="10" t="s">
        <v>0</v>
      </c>
      <c r="F361" s="11">
        <v>36556</v>
      </c>
      <c r="G361" s="12">
        <v>45597</v>
      </c>
      <c r="H361" s="13" t="s">
        <v>185</v>
      </c>
      <c r="I361" s="8" t="s">
        <v>2</v>
      </c>
      <c r="J361" s="14"/>
      <c r="K361" s="17" t="s">
        <v>207</v>
      </c>
      <c r="L361" t="s">
        <v>184</v>
      </c>
      <c r="M361" t="s">
        <v>15</v>
      </c>
      <c r="N361" t="str">
        <f t="shared" si="86"/>
        <v>https://api.bcb.gov.br/dados/serie/bcdata.sgs.10650/dados?formato=json</v>
      </c>
      <c r="O361">
        <v>7</v>
      </c>
      <c r="P361" t="s">
        <v>19</v>
      </c>
      <c r="Q361" t="s">
        <v>19</v>
      </c>
      <c r="R361" t="str">
        <f t="shared" si="87"/>
        <v>Título pré-fixado - Dívida agrícola</v>
      </c>
      <c r="S361" t="s">
        <v>37</v>
      </c>
    </row>
    <row r="362" spans="1:19" x14ac:dyDescent="0.25">
      <c r="A362" s="1"/>
      <c r="B362" s="1">
        <v>10651</v>
      </c>
      <c r="C362" s="2" t="s">
        <v>186</v>
      </c>
      <c r="D362" s="1" t="s">
        <v>37</v>
      </c>
      <c r="E362" s="3" t="s">
        <v>0</v>
      </c>
      <c r="F362" s="4">
        <v>36556</v>
      </c>
      <c r="G362" s="5">
        <v>45597</v>
      </c>
      <c r="H362" s="6" t="s">
        <v>1</v>
      </c>
      <c r="I362" s="1" t="s">
        <v>2</v>
      </c>
      <c r="J362" s="7"/>
      <c r="K362" s="17" t="s">
        <v>207</v>
      </c>
      <c r="L362" t="s">
        <v>184</v>
      </c>
      <c r="M362" t="s">
        <v>15</v>
      </c>
      <c r="N362" t="str">
        <f t="shared" si="86"/>
        <v>https://api.bcb.gov.br/dados/serie/bcdata.sgs.10651/dados?formato=json</v>
      </c>
      <c r="O362">
        <v>7</v>
      </c>
      <c r="P362" t="s">
        <v>19</v>
      </c>
      <c r="Q362" t="s">
        <v>19</v>
      </c>
      <c r="R362" t="str">
        <f t="shared" si="87"/>
        <v>Total</v>
      </c>
      <c r="S362" t="s">
        <v>37</v>
      </c>
    </row>
    <row r="363" spans="1:19" x14ac:dyDescent="0.25">
      <c r="A363" s="8"/>
      <c r="B363" s="8">
        <v>13542</v>
      </c>
      <c r="C363" s="9" t="s">
        <v>204</v>
      </c>
      <c r="D363" s="1" t="s">
        <v>37</v>
      </c>
      <c r="E363" s="10" t="s">
        <v>0</v>
      </c>
      <c r="F363" s="11">
        <v>37956</v>
      </c>
      <c r="G363" s="12">
        <v>45597</v>
      </c>
      <c r="H363" s="13" t="s">
        <v>124</v>
      </c>
      <c r="I363" s="8" t="s">
        <v>2</v>
      </c>
      <c r="J363" s="14"/>
      <c r="K363" s="17" t="s">
        <v>207</v>
      </c>
      <c r="L363" t="s">
        <v>184</v>
      </c>
      <c r="M363" t="s">
        <v>15</v>
      </c>
      <c r="N363" t="str">
        <f t="shared" si="86"/>
        <v>https://api.bcb.gov.br/dados/serie/bcdata.sgs.13542/dados?formato=json</v>
      </c>
      <c r="O363">
        <v>7</v>
      </c>
      <c r="P363" t="s">
        <v>19</v>
      </c>
      <c r="Q363" t="s">
        <v>19</v>
      </c>
      <c r="R363" t="str">
        <f t="shared" si="87"/>
        <v>NTN-F</v>
      </c>
      <c r="S363" t="s">
        <v>37</v>
      </c>
    </row>
    <row r="364" spans="1:19" x14ac:dyDescent="0.25">
      <c r="A364" s="1"/>
      <c r="B364" s="1">
        <v>10652</v>
      </c>
      <c r="C364" s="2" t="s">
        <v>208</v>
      </c>
      <c r="D364" s="1" t="s">
        <v>37</v>
      </c>
      <c r="E364" s="3" t="s">
        <v>0</v>
      </c>
      <c r="F364" s="4">
        <v>36556</v>
      </c>
      <c r="G364" s="5">
        <v>45597</v>
      </c>
      <c r="H364" s="6" t="s">
        <v>124</v>
      </c>
      <c r="I364" s="1" t="s">
        <v>2</v>
      </c>
      <c r="J364" s="7"/>
      <c r="K364" s="17" t="s">
        <v>215</v>
      </c>
      <c r="L364" t="s">
        <v>184</v>
      </c>
      <c r="M364" t="s">
        <v>15</v>
      </c>
      <c r="N364" t="str">
        <f t="shared" ref="N364:N371" si="88">_xlfn.CONCAT("https://api.bcb.gov.br/dados/serie/bcdata.sgs.",B364,"/dados?formato=json")</f>
        <v>https://api.bcb.gov.br/dados/serie/bcdata.sgs.10652/dados?formato=json</v>
      </c>
      <c r="O364">
        <v>7</v>
      </c>
      <c r="P364" t="s">
        <v>19</v>
      </c>
      <c r="Q364" t="s">
        <v>19</v>
      </c>
      <c r="R364" t="str">
        <f t="shared" ref="R364:R371" si="89">C364</f>
        <v>Título indexado a TR - NTN-H</v>
      </c>
      <c r="S364" t="s">
        <v>37</v>
      </c>
    </row>
    <row r="365" spans="1:19" x14ac:dyDescent="0.25">
      <c r="A365" s="8"/>
      <c r="B365" s="8">
        <v>10653</v>
      </c>
      <c r="C365" s="9" t="s">
        <v>209</v>
      </c>
      <c r="D365" s="1" t="s">
        <v>37</v>
      </c>
      <c r="E365" s="10" t="s">
        <v>0</v>
      </c>
      <c r="F365" s="11">
        <v>36556</v>
      </c>
      <c r="G365" s="12">
        <v>45597</v>
      </c>
      <c r="H365" s="13" t="s">
        <v>185</v>
      </c>
      <c r="I365" s="8" t="s">
        <v>2</v>
      </c>
      <c r="J365" s="14"/>
      <c r="K365" s="17" t="s">
        <v>215</v>
      </c>
      <c r="L365" t="s">
        <v>184</v>
      </c>
      <c r="M365" t="s">
        <v>15</v>
      </c>
      <c r="N365" t="str">
        <f t="shared" si="88"/>
        <v>https://api.bcb.gov.br/dados/serie/bcdata.sgs.10653/dados?formato=json</v>
      </c>
      <c r="O365">
        <v>7</v>
      </c>
      <c r="P365" t="s">
        <v>19</v>
      </c>
      <c r="Q365" t="s">
        <v>19</v>
      </c>
      <c r="R365" t="str">
        <f t="shared" si="89"/>
        <v>Título indexado a TR - Crédito securitizado</v>
      </c>
      <c r="S365" t="s">
        <v>37</v>
      </c>
    </row>
    <row r="366" spans="1:19" x14ac:dyDescent="0.25">
      <c r="A366" s="1"/>
      <c r="B366" s="1">
        <v>10654</v>
      </c>
      <c r="C366" s="2" t="s">
        <v>210</v>
      </c>
      <c r="D366" s="1" t="s">
        <v>37</v>
      </c>
      <c r="E366" s="3" t="s">
        <v>0</v>
      </c>
      <c r="F366" s="4">
        <v>36556</v>
      </c>
      <c r="G366" s="5">
        <v>45597</v>
      </c>
      <c r="H366" s="6" t="s">
        <v>185</v>
      </c>
      <c r="I366" s="1" t="s">
        <v>2</v>
      </c>
      <c r="J366" s="7"/>
      <c r="K366" s="17" t="s">
        <v>215</v>
      </c>
      <c r="L366" t="s">
        <v>184</v>
      </c>
      <c r="M366" t="s">
        <v>15</v>
      </c>
      <c r="N366" t="str">
        <f t="shared" si="88"/>
        <v>https://api.bcb.gov.br/dados/serie/bcdata.sgs.10654/dados?formato=json</v>
      </c>
      <c r="O366">
        <v>7</v>
      </c>
      <c r="P366" t="s">
        <v>19</v>
      </c>
      <c r="Q366" t="s">
        <v>19</v>
      </c>
      <c r="R366" t="str">
        <f t="shared" si="89"/>
        <v>Título indexado a TR - Dívida agrícola</v>
      </c>
      <c r="S366" t="s">
        <v>37</v>
      </c>
    </row>
    <row r="367" spans="1:19" x14ac:dyDescent="0.25">
      <c r="A367" s="8"/>
      <c r="B367" s="8">
        <v>10655</v>
      </c>
      <c r="C367" s="9" t="s">
        <v>211</v>
      </c>
      <c r="D367" s="1" t="s">
        <v>37</v>
      </c>
      <c r="E367" s="10" t="s">
        <v>0</v>
      </c>
      <c r="F367" s="11">
        <v>36556</v>
      </c>
      <c r="G367" s="12">
        <v>45597</v>
      </c>
      <c r="H367" s="13" t="s">
        <v>185</v>
      </c>
      <c r="I367" s="8" t="s">
        <v>2</v>
      </c>
      <c r="J367" s="14"/>
      <c r="K367" s="17" t="s">
        <v>215</v>
      </c>
      <c r="L367" t="s">
        <v>184</v>
      </c>
      <c r="M367" t="s">
        <v>15</v>
      </c>
      <c r="N367" t="str">
        <f t="shared" si="88"/>
        <v>https://api.bcb.gov.br/dados/serie/bcdata.sgs.10655/dados?formato=json</v>
      </c>
      <c r="O367">
        <v>7</v>
      </c>
      <c r="P367" t="s">
        <v>19</v>
      </c>
      <c r="Q367" t="s">
        <v>19</v>
      </c>
      <c r="R367" t="str">
        <f t="shared" si="89"/>
        <v>Título indexado a TR - TDA</v>
      </c>
      <c r="S367" t="s">
        <v>37</v>
      </c>
    </row>
    <row r="368" spans="1:19" x14ac:dyDescent="0.25">
      <c r="A368" s="1"/>
      <c r="B368" s="1">
        <v>10656</v>
      </c>
      <c r="C368" s="2" t="s">
        <v>212</v>
      </c>
      <c r="D368" s="1" t="s">
        <v>37</v>
      </c>
      <c r="E368" s="3" t="s">
        <v>0</v>
      </c>
      <c r="F368" s="4">
        <v>36556</v>
      </c>
      <c r="G368" s="5">
        <v>45597</v>
      </c>
      <c r="H368" s="6" t="s">
        <v>185</v>
      </c>
      <c r="I368" s="1" t="s">
        <v>2</v>
      </c>
      <c r="J368" s="7"/>
      <c r="K368" s="17" t="s">
        <v>215</v>
      </c>
      <c r="L368" t="s">
        <v>184</v>
      </c>
      <c r="M368" t="s">
        <v>15</v>
      </c>
      <c r="N368" t="str">
        <f t="shared" si="88"/>
        <v>https://api.bcb.gov.br/dados/serie/bcdata.sgs.10656/dados?formato=json</v>
      </c>
      <c r="O368">
        <v>7</v>
      </c>
      <c r="P368" t="s">
        <v>19</v>
      </c>
      <c r="Q368" t="s">
        <v>19</v>
      </c>
      <c r="R368" t="str">
        <f t="shared" si="89"/>
        <v>Título indexado a TR - CDP</v>
      </c>
      <c r="S368" t="s">
        <v>37</v>
      </c>
    </row>
    <row r="369" spans="1:19" x14ac:dyDescent="0.25">
      <c r="A369" s="8"/>
      <c r="B369" s="8">
        <v>10657</v>
      </c>
      <c r="C369" s="9" t="s">
        <v>213</v>
      </c>
      <c r="D369" s="1" t="s">
        <v>37</v>
      </c>
      <c r="E369" s="10" t="s">
        <v>0</v>
      </c>
      <c r="F369" s="11">
        <v>36556</v>
      </c>
      <c r="G369" s="12">
        <v>45597</v>
      </c>
      <c r="H369" s="13" t="s">
        <v>185</v>
      </c>
      <c r="I369" s="8" t="s">
        <v>2</v>
      </c>
      <c r="J369" s="14"/>
      <c r="K369" s="17" t="s">
        <v>215</v>
      </c>
      <c r="L369" t="s">
        <v>184</v>
      </c>
      <c r="M369" t="s">
        <v>15</v>
      </c>
      <c r="N369" t="str">
        <f t="shared" si="88"/>
        <v>https://api.bcb.gov.br/dados/serie/bcdata.sgs.10657/dados?formato=json</v>
      </c>
      <c r="O369">
        <v>7</v>
      </c>
      <c r="P369" t="s">
        <v>19</v>
      </c>
      <c r="Q369" t="s">
        <v>19</v>
      </c>
      <c r="R369" t="str">
        <f t="shared" si="89"/>
        <v>Título indexado a TR - CFT-B</v>
      </c>
      <c r="S369" t="s">
        <v>37</v>
      </c>
    </row>
    <row r="370" spans="1:19" x14ac:dyDescent="0.25">
      <c r="A370" s="1"/>
      <c r="B370" s="1">
        <v>10658</v>
      </c>
      <c r="C370" s="2" t="s">
        <v>214</v>
      </c>
      <c r="D370" s="1" t="s">
        <v>37</v>
      </c>
      <c r="E370" s="3" t="s">
        <v>0</v>
      </c>
      <c r="F370" s="4">
        <v>36556</v>
      </c>
      <c r="G370" s="5">
        <v>45597</v>
      </c>
      <c r="H370" s="6" t="s">
        <v>124</v>
      </c>
      <c r="I370" s="1" t="s">
        <v>2</v>
      </c>
      <c r="J370" s="7"/>
      <c r="K370" s="17" t="s">
        <v>215</v>
      </c>
      <c r="L370" t="s">
        <v>184</v>
      </c>
      <c r="M370" t="s">
        <v>15</v>
      </c>
      <c r="N370" t="str">
        <f t="shared" si="88"/>
        <v>https://api.bcb.gov.br/dados/serie/bcdata.sgs.10658/dados?formato=json</v>
      </c>
      <c r="O370">
        <v>7</v>
      </c>
      <c r="P370" t="s">
        <v>19</v>
      </c>
      <c r="Q370" t="s">
        <v>19</v>
      </c>
      <c r="R370" t="str">
        <f t="shared" si="89"/>
        <v>Título indexado a TR - NTN-P</v>
      </c>
      <c r="S370" t="s">
        <v>37</v>
      </c>
    </row>
    <row r="371" spans="1:19" x14ac:dyDescent="0.25">
      <c r="A371" s="8"/>
      <c r="B371" s="8">
        <v>10659</v>
      </c>
      <c r="C371" s="9" t="s">
        <v>186</v>
      </c>
      <c r="D371" s="1" t="s">
        <v>37</v>
      </c>
      <c r="E371" s="10" t="s">
        <v>0</v>
      </c>
      <c r="F371" s="11">
        <v>36556</v>
      </c>
      <c r="G371" s="12">
        <v>45597</v>
      </c>
      <c r="H371" s="13" t="s">
        <v>1</v>
      </c>
      <c r="I371" s="8" t="s">
        <v>2</v>
      </c>
      <c r="J371" s="14"/>
      <c r="K371" s="17" t="s">
        <v>215</v>
      </c>
      <c r="L371" t="s">
        <v>184</v>
      </c>
      <c r="M371" t="s">
        <v>15</v>
      </c>
      <c r="N371" t="str">
        <f t="shared" si="88"/>
        <v>https://api.bcb.gov.br/dados/serie/bcdata.sgs.10659/dados?formato=json</v>
      </c>
      <c r="O371">
        <v>7</v>
      </c>
      <c r="P371" t="s">
        <v>19</v>
      </c>
      <c r="Q371" t="s">
        <v>19</v>
      </c>
      <c r="R371" t="str">
        <f t="shared" si="89"/>
        <v>Total</v>
      </c>
      <c r="S371" t="s">
        <v>37</v>
      </c>
    </row>
    <row r="372" spans="1:19" x14ac:dyDescent="0.25">
      <c r="A372" s="1"/>
      <c r="B372" s="1">
        <v>10660</v>
      </c>
      <c r="C372" s="2" t="s">
        <v>217</v>
      </c>
      <c r="D372" s="1" t="s">
        <v>37</v>
      </c>
      <c r="E372" s="3" t="s">
        <v>0</v>
      </c>
      <c r="F372" s="4">
        <v>36556</v>
      </c>
      <c r="G372" s="5">
        <v>45597</v>
      </c>
      <c r="H372" s="6" t="s">
        <v>185</v>
      </c>
      <c r="I372" s="1" t="s">
        <v>2</v>
      </c>
      <c r="J372" s="7"/>
      <c r="K372" s="17" t="s">
        <v>216</v>
      </c>
      <c r="L372" t="s">
        <v>184</v>
      </c>
      <c r="M372" t="s">
        <v>15</v>
      </c>
      <c r="N372" t="str">
        <f t="shared" ref="N372:N374" si="90">_xlfn.CONCAT("https://api.bcb.gov.br/dados/serie/bcdata.sgs.",B372,"/dados?formato=json")</f>
        <v>https://api.bcb.gov.br/dados/serie/bcdata.sgs.10660/dados?formato=json</v>
      </c>
      <c r="O372">
        <v>7</v>
      </c>
      <c r="P372" t="s">
        <v>19</v>
      </c>
      <c r="Q372" t="s">
        <v>19</v>
      </c>
      <c r="R372" t="str">
        <f t="shared" ref="R372:R374" si="91">C372</f>
        <v>Título indexado a TJLP - Crédito securitizado</v>
      </c>
      <c r="S372" t="s">
        <v>37</v>
      </c>
    </row>
    <row r="373" spans="1:19" x14ac:dyDescent="0.25">
      <c r="A373" s="8"/>
      <c r="B373" s="8">
        <v>10661</v>
      </c>
      <c r="C373" s="9" t="s">
        <v>218</v>
      </c>
      <c r="D373" s="1" t="s">
        <v>37</v>
      </c>
      <c r="E373" s="10" t="s">
        <v>0</v>
      </c>
      <c r="F373" s="11">
        <v>36556</v>
      </c>
      <c r="G373" s="12">
        <v>45597</v>
      </c>
      <c r="H373" s="13" t="s">
        <v>124</v>
      </c>
      <c r="I373" s="8" t="s">
        <v>2</v>
      </c>
      <c r="J373" s="14"/>
      <c r="K373" s="17" t="s">
        <v>216</v>
      </c>
      <c r="L373" t="s">
        <v>184</v>
      </c>
      <c r="M373" t="s">
        <v>15</v>
      </c>
      <c r="N373" t="str">
        <f t="shared" si="90"/>
        <v>https://api.bcb.gov.br/dados/serie/bcdata.sgs.10661/dados?formato=json</v>
      </c>
      <c r="O373">
        <v>7</v>
      </c>
      <c r="P373" t="s">
        <v>19</v>
      </c>
      <c r="Q373" t="s">
        <v>19</v>
      </c>
      <c r="R373" t="str">
        <f t="shared" si="91"/>
        <v>Título indexado a TJLP - NTN-U</v>
      </c>
      <c r="S373" t="s">
        <v>37</v>
      </c>
    </row>
    <row r="374" spans="1:19" x14ac:dyDescent="0.25">
      <c r="A374" s="1"/>
      <c r="B374" s="1">
        <v>10662</v>
      </c>
      <c r="C374" s="2" t="s">
        <v>186</v>
      </c>
      <c r="D374" s="1" t="s">
        <v>37</v>
      </c>
      <c r="E374" s="3" t="s">
        <v>0</v>
      </c>
      <c r="F374" s="4">
        <v>36556</v>
      </c>
      <c r="G374" s="5">
        <v>45597</v>
      </c>
      <c r="H374" s="2" t="s">
        <v>1</v>
      </c>
      <c r="I374" s="1" t="s">
        <v>2</v>
      </c>
      <c r="J374" s="7"/>
      <c r="K374" s="17" t="s">
        <v>216</v>
      </c>
      <c r="L374" t="s">
        <v>184</v>
      </c>
      <c r="M374" t="s">
        <v>15</v>
      </c>
      <c r="N374" t="str">
        <f t="shared" si="90"/>
        <v>https://api.bcb.gov.br/dados/serie/bcdata.sgs.10662/dados?formato=json</v>
      </c>
      <c r="O374">
        <v>7</v>
      </c>
      <c r="P374" t="s">
        <v>19</v>
      </c>
      <c r="Q374" t="s">
        <v>19</v>
      </c>
      <c r="R374" t="str">
        <f t="shared" si="91"/>
        <v>Total</v>
      </c>
      <c r="S374" t="s">
        <v>37</v>
      </c>
    </row>
    <row r="375" spans="1:19" x14ac:dyDescent="0.25">
      <c r="A375" s="1"/>
      <c r="B375" s="1">
        <v>10663</v>
      </c>
      <c r="C375" s="2" t="s">
        <v>220</v>
      </c>
      <c r="D375" s="1" t="s">
        <v>37</v>
      </c>
      <c r="E375" s="3" t="s">
        <v>0</v>
      </c>
      <c r="F375" s="4">
        <v>36556</v>
      </c>
      <c r="G375" s="5">
        <v>45597</v>
      </c>
      <c r="H375" s="6" t="s">
        <v>124</v>
      </c>
      <c r="I375" s="1" t="s">
        <v>2</v>
      </c>
      <c r="J375" s="7"/>
      <c r="K375" s="17" t="s">
        <v>219</v>
      </c>
      <c r="L375" t="s">
        <v>184</v>
      </c>
      <c r="M375" t="s">
        <v>15</v>
      </c>
      <c r="N375" t="str">
        <f t="shared" ref="N375:N385" si="92">_xlfn.CONCAT("https://api.bcb.gov.br/dados/serie/bcdata.sgs.",B375,"/dados?formato=json")</f>
        <v>https://api.bcb.gov.br/dados/serie/bcdata.sgs.10663/dados?formato=json</v>
      </c>
      <c r="O375">
        <v>7</v>
      </c>
      <c r="P375" t="s">
        <v>19</v>
      </c>
      <c r="Q375" t="s">
        <v>19</v>
      </c>
      <c r="R375" t="str">
        <f t="shared" ref="R375:R385" si="93">C375</f>
        <v>Título indexado ao câmbio - NBCE</v>
      </c>
      <c r="S375" t="s">
        <v>37</v>
      </c>
    </row>
    <row r="376" spans="1:19" x14ac:dyDescent="0.25">
      <c r="A376" s="8"/>
      <c r="B376" s="8">
        <v>10664</v>
      </c>
      <c r="C376" s="9" t="s">
        <v>221</v>
      </c>
      <c r="D376" s="1" t="s">
        <v>37</v>
      </c>
      <c r="E376" s="10" t="s">
        <v>0</v>
      </c>
      <c r="F376" s="11">
        <v>36556</v>
      </c>
      <c r="G376" s="12">
        <v>45597</v>
      </c>
      <c r="H376" s="13" t="s">
        <v>124</v>
      </c>
      <c r="I376" s="8" t="s">
        <v>2</v>
      </c>
      <c r="J376" s="14"/>
      <c r="K376" s="17" t="s">
        <v>219</v>
      </c>
      <c r="L376" t="s">
        <v>184</v>
      </c>
      <c r="M376" t="s">
        <v>15</v>
      </c>
      <c r="N376" t="str">
        <f t="shared" si="92"/>
        <v>https://api.bcb.gov.br/dados/serie/bcdata.sgs.10664/dados?formato=json</v>
      </c>
      <c r="O376">
        <v>7</v>
      </c>
      <c r="P376" t="s">
        <v>19</v>
      </c>
      <c r="Q376" t="s">
        <v>19</v>
      </c>
      <c r="R376" t="str">
        <f t="shared" si="93"/>
        <v>Título indexado ao câmbio - NBCF</v>
      </c>
      <c r="S376" t="s">
        <v>37</v>
      </c>
    </row>
    <row r="377" spans="1:19" x14ac:dyDescent="0.25">
      <c r="A377" s="1"/>
      <c r="B377" s="1">
        <v>10665</v>
      </c>
      <c r="C377" s="2" t="s">
        <v>222</v>
      </c>
      <c r="D377" s="1" t="s">
        <v>37</v>
      </c>
      <c r="E377" s="3" t="s">
        <v>0</v>
      </c>
      <c r="F377" s="4">
        <v>36556</v>
      </c>
      <c r="G377" s="5">
        <v>45597</v>
      </c>
      <c r="H377" s="6" t="s">
        <v>124</v>
      </c>
      <c r="I377" s="1" t="s">
        <v>2</v>
      </c>
      <c r="J377" s="7"/>
      <c r="K377" s="17" t="s">
        <v>219</v>
      </c>
      <c r="L377" t="s">
        <v>184</v>
      </c>
      <c r="M377" t="s">
        <v>15</v>
      </c>
      <c r="N377" t="str">
        <f t="shared" si="92"/>
        <v>https://api.bcb.gov.br/dados/serie/bcdata.sgs.10665/dados?formato=json</v>
      </c>
      <c r="O377">
        <v>7</v>
      </c>
      <c r="P377" t="s">
        <v>19</v>
      </c>
      <c r="Q377" t="s">
        <v>19</v>
      </c>
      <c r="R377" t="str">
        <f t="shared" si="93"/>
        <v>Título indexado ao câmbio - BTN-BIB</v>
      </c>
      <c r="S377" t="s">
        <v>37</v>
      </c>
    </row>
    <row r="378" spans="1:19" x14ac:dyDescent="0.25">
      <c r="A378" s="8"/>
      <c r="B378" s="8">
        <v>10666</v>
      </c>
      <c r="C378" s="9" t="s">
        <v>223</v>
      </c>
      <c r="D378" s="1" t="s">
        <v>37</v>
      </c>
      <c r="E378" s="10" t="s">
        <v>0</v>
      </c>
      <c r="F378" s="11">
        <v>36556</v>
      </c>
      <c r="G378" s="12">
        <v>45597</v>
      </c>
      <c r="H378" s="13" t="s">
        <v>185</v>
      </c>
      <c r="I378" s="8" t="s">
        <v>2</v>
      </c>
      <c r="J378" s="14"/>
      <c r="K378" s="17" t="s">
        <v>219</v>
      </c>
      <c r="L378" t="s">
        <v>184</v>
      </c>
      <c r="M378" t="s">
        <v>15</v>
      </c>
      <c r="N378" t="str">
        <f t="shared" si="92"/>
        <v>https://api.bcb.gov.br/dados/serie/bcdata.sgs.10666/dados?formato=json</v>
      </c>
      <c r="O378">
        <v>7</v>
      </c>
      <c r="P378" t="s">
        <v>19</v>
      </c>
      <c r="Q378" t="s">
        <v>19</v>
      </c>
      <c r="R378" t="str">
        <f t="shared" si="93"/>
        <v>Título indexado ao câmbio - CFT-D</v>
      </c>
      <c r="S378" t="s">
        <v>37</v>
      </c>
    </row>
    <row r="379" spans="1:19" x14ac:dyDescent="0.25">
      <c r="A379" s="1"/>
      <c r="B379" s="1">
        <v>10667</v>
      </c>
      <c r="C379" s="2" t="s">
        <v>224</v>
      </c>
      <c r="D379" s="1" t="s">
        <v>37</v>
      </c>
      <c r="E379" s="3" t="s">
        <v>0</v>
      </c>
      <c r="F379" s="4">
        <v>36556</v>
      </c>
      <c r="G379" s="5">
        <v>45597</v>
      </c>
      <c r="H379" s="6" t="s">
        <v>124</v>
      </c>
      <c r="I379" s="1" t="s">
        <v>2</v>
      </c>
      <c r="J379" s="7"/>
      <c r="K379" s="17" t="s">
        <v>219</v>
      </c>
      <c r="L379" t="s">
        <v>184</v>
      </c>
      <c r="M379" t="s">
        <v>15</v>
      </c>
      <c r="N379" t="str">
        <f t="shared" si="92"/>
        <v>https://api.bcb.gov.br/dados/serie/bcdata.sgs.10667/dados?formato=json</v>
      </c>
      <c r="O379">
        <v>7</v>
      </c>
      <c r="P379" t="s">
        <v>19</v>
      </c>
      <c r="Q379" t="s">
        <v>19</v>
      </c>
      <c r="R379" t="str">
        <f t="shared" si="93"/>
        <v>Título indexado ao câmbio - NTN-A</v>
      </c>
      <c r="S379" t="s">
        <v>37</v>
      </c>
    </row>
    <row r="380" spans="1:19" x14ac:dyDescent="0.25">
      <c r="A380" s="8"/>
      <c r="B380" s="8">
        <v>10668</v>
      </c>
      <c r="C380" s="9" t="s">
        <v>225</v>
      </c>
      <c r="D380" s="1" t="s">
        <v>37</v>
      </c>
      <c r="E380" s="10" t="s">
        <v>0</v>
      </c>
      <c r="F380" s="11">
        <v>36556</v>
      </c>
      <c r="G380" s="12">
        <v>45597</v>
      </c>
      <c r="H380" s="13" t="s">
        <v>124</v>
      </c>
      <c r="I380" s="8" t="s">
        <v>2</v>
      </c>
      <c r="J380" s="14"/>
      <c r="K380" s="17" t="s">
        <v>219</v>
      </c>
      <c r="L380" t="s">
        <v>184</v>
      </c>
      <c r="M380" t="s">
        <v>15</v>
      </c>
      <c r="N380" t="str">
        <f t="shared" si="92"/>
        <v>https://api.bcb.gov.br/dados/serie/bcdata.sgs.10668/dados?formato=json</v>
      </c>
      <c r="O380">
        <v>7</v>
      </c>
      <c r="P380" t="s">
        <v>19</v>
      </c>
      <c r="Q380" t="s">
        <v>19</v>
      </c>
      <c r="R380" t="str">
        <f t="shared" si="93"/>
        <v>Título indexado ao câmbio - NTN-D</v>
      </c>
      <c r="S380" t="s">
        <v>37</v>
      </c>
    </row>
    <row r="381" spans="1:19" x14ac:dyDescent="0.25">
      <c r="A381" s="1"/>
      <c r="B381" s="1">
        <v>10669</v>
      </c>
      <c r="C381" s="2" t="s">
        <v>226</v>
      </c>
      <c r="D381" s="1" t="s">
        <v>37</v>
      </c>
      <c r="E381" s="3" t="s">
        <v>0</v>
      </c>
      <c r="F381" s="4">
        <v>36556</v>
      </c>
      <c r="G381" s="5">
        <v>45597</v>
      </c>
      <c r="H381" s="6" t="s">
        <v>124</v>
      </c>
      <c r="I381" s="1" t="s">
        <v>2</v>
      </c>
      <c r="J381" s="7"/>
      <c r="K381" s="17" t="s">
        <v>219</v>
      </c>
      <c r="L381" t="s">
        <v>184</v>
      </c>
      <c r="M381" t="s">
        <v>15</v>
      </c>
      <c r="N381" t="str">
        <f t="shared" si="92"/>
        <v>https://api.bcb.gov.br/dados/serie/bcdata.sgs.10669/dados?formato=json</v>
      </c>
      <c r="O381">
        <v>7</v>
      </c>
      <c r="P381" t="s">
        <v>19</v>
      </c>
      <c r="Q381" t="s">
        <v>19</v>
      </c>
      <c r="R381" t="str">
        <f t="shared" si="93"/>
        <v>Título indexado ao câmbio - NTN-I</v>
      </c>
      <c r="S381" t="s">
        <v>37</v>
      </c>
    </row>
    <row r="382" spans="1:19" x14ac:dyDescent="0.25">
      <c r="A382" s="8"/>
      <c r="B382" s="8">
        <v>10670</v>
      </c>
      <c r="C382" s="9" t="s">
        <v>227</v>
      </c>
      <c r="D382" s="1" t="s">
        <v>37</v>
      </c>
      <c r="E382" s="10" t="s">
        <v>0</v>
      </c>
      <c r="F382" s="11">
        <v>36556</v>
      </c>
      <c r="G382" s="12">
        <v>45597</v>
      </c>
      <c r="H382" s="13" t="s">
        <v>124</v>
      </c>
      <c r="I382" s="8" t="s">
        <v>2</v>
      </c>
      <c r="J382" s="14"/>
      <c r="K382" s="17" t="s">
        <v>219</v>
      </c>
      <c r="L382" t="s">
        <v>184</v>
      </c>
      <c r="M382" t="s">
        <v>15</v>
      </c>
      <c r="N382" t="str">
        <f t="shared" si="92"/>
        <v>https://api.bcb.gov.br/dados/serie/bcdata.sgs.10670/dados?formato=json</v>
      </c>
      <c r="O382">
        <v>7</v>
      </c>
      <c r="P382" t="s">
        <v>19</v>
      </c>
      <c r="Q382" t="s">
        <v>19</v>
      </c>
      <c r="R382" t="str">
        <f t="shared" si="93"/>
        <v>Título indexado ao câmbio - NTN-M</v>
      </c>
      <c r="S382" t="s">
        <v>37</v>
      </c>
    </row>
    <row r="383" spans="1:19" x14ac:dyDescent="0.25">
      <c r="A383" s="1"/>
      <c r="B383" s="1">
        <v>10671</v>
      </c>
      <c r="C383" s="2" t="s">
        <v>228</v>
      </c>
      <c r="D383" s="1" t="s">
        <v>37</v>
      </c>
      <c r="E383" s="3" t="s">
        <v>0</v>
      </c>
      <c r="F383" s="4">
        <v>36556</v>
      </c>
      <c r="G383" s="5">
        <v>45597</v>
      </c>
      <c r="H383" s="6" t="s">
        <v>185</v>
      </c>
      <c r="I383" s="1" t="s">
        <v>2</v>
      </c>
      <c r="J383" s="7"/>
      <c r="K383" s="17" t="s">
        <v>219</v>
      </c>
      <c r="L383" t="s">
        <v>184</v>
      </c>
      <c r="M383" t="s">
        <v>15</v>
      </c>
      <c r="N383" t="str">
        <f t="shared" si="92"/>
        <v>https://api.bcb.gov.br/dados/serie/bcdata.sgs.10671/dados?formato=json</v>
      </c>
      <c r="O383">
        <v>7</v>
      </c>
      <c r="P383" t="s">
        <v>19</v>
      </c>
      <c r="Q383" t="s">
        <v>19</v>
      </c>
      <c r="R383" t="str">
        <f t="shared" si="93"/>
        <v>Título indexado ao câmbio - Crédito securitizado</v>
      </c>
      <c r="S383" t="s">
        <v>37</v>
      </c>
    </row>
    <row r="384" spans="1:19" x14ac:dyDescent="0.25">
      <c r="A384" s="8"/>
      <c r="B384" s="8">
        <v>10672</v>
      </c>
      <c r="C384" s="9" t="s">
        <v>229</v>
      </c>
      <c r="D384" s="1" t="s">
        <v>37</v>
      </c>
      <c r="E384" s="10" t="s">
        <v>0</v>
      </c>
      <c r="F384" s="11">
        <v>36556</v>
      </c>
      <c r="G384" s="12">
        <v>45597</v>
      </c>
      <c r="H384" s="13" t="s">
        <v>124</v>
      </c>
      <c r="I384" s="8" t="s">
        <v>2</v>
      </c>
      <c r="J384" s="14"/>
      <c r="K384" s="17" t="s">
        <v>219</v>
      </c>
      <c r="L384" t="s">
        <v>184</v>
      </c>
      <c r="M384" t="s">
        <v>15</v>
      </c>
      <c r="N384" t="str">
        <f t="shared" si="92"/>
        <v>https://api.bcb.gov.br/dados/serie/bcdata.sgs.10672/dados?formato=json</v>
      </c>
      <c r="O384">
        <v>7</v>
      </c>
      <c r="P384" t="s">
        <v>19</v>
      </c>
      <c r="Q384" t="s">
        <v>19</v>
      </c>
      <c r="R384" t="str">
        <f t="shared" si="93"/>
        <v>Título indexado ao câmbio - NTN-R</v>
      </c>
      <c r="S384" t="s">
        <v>37</v>
      </c>
    </row>
    <row r="385" spans="1:19" x14ac:dyDescent="0.25">
      <c r="A385" s="1"/>
      <c r="B385" s="1">
        <v>10673</v>
      </c>
      <c r="C385" s="2" t="s">
        <v>186</v>
      </c>
      <c r="D385" s="1" t="s">
        <v>37</v>
      </c>
      <c r="E385" s="3" t="s">
        <v>0</v>
      </c>
      <c r="F385" s="4">
        <v>36556</v>
      </c>
      <c r="G385" s="5">
        <v>45597</v>
      </c>
      <c r="H385" s="6" t="s">
        <v>1</v>
      </c>
      <c r="I385" s="1" t="s">
        <v>2</v>
      </c>
      <c r="J385" s="7"/>
      <c r="K385" s="17" t="s">
        <v>219</v>
      </c>
      <c r="L385" t="s">
        <v>184</v>
      </c>
      <c r="M385" t="s">
        <v>15</v>
      </c>
      <c r="N385" t="str">
        <f t="shared" si="92"/>
        <v>https://api.bcb.gov.br/dados/serie/bcdata.sgs.10673/dados?formato=json</v>
      </c>
      <c r="O385">
        <v>7</v>
      </c>
      <c r="P385" t="s">
        <v>19</v>
      </c>
      <c r="Q385" t="s">
        <v>19</v>
      </c>
      <c r="R385" t="str">
        <f t="shared" si="93"/>
        <v>Total</v>
      </c>
      <c r="S385" t="s">
        <v>37</v>
      </c>
    </row>
    <row r="386" spans="1:19" x14ac:dyDescent="0.25">
      <c r="A386" s="1"/>
      <c r="B386" s="1">
        <v>10674</v>
      </c>
      <c r="C386" s="2" t="s">
        <v>231</v>
      </c>
      <c r="D386" s="1" t="s">
        <v>37</v>
      </c>
      <c r="E386" s="3" t="s">
        <v>0</v>
      </c>
      <c r="F386" s="4">
        <v>36556</v>
      </c>
      <c r="G386" s="5">
        <v>45597</v>
      </c>
      <c r="H386" s="6" t="s">
        <v>1</v>
      </c>
      <c r="I386" s="1" t="s">
        <v>2</v>
      </c>
      <c r="J386" s="7"/>
      <c r="K386" s="17" t="s">
        <v>230</v>
      </c>
      <c r="L386" t="s">
        <v>184</v>
      </c>
      <c r="M386" t="s">
        <v>15</v>
      </c>
      <c r="N386" t="str">
        <f t="shared" ref="N386" si="94">_xlfn.CONCAT("https://api.bcb.gov.br/dados/serie/bcdata.sgs.",B386,"/dados?formato=json")</f>
        <v>https://api.bcb.gov.br/dados/serie/bcdata.sgs.10674/dados?formato=json</v>
      </c>
      <c r="O386">
        <v>7</v>
      </c>
      <c r="P386" t="s">
        <v>19</v>
      </c>
      <c r="Q386" t="s">
        <v>19</v>
      </c>
      <c r="R386" t="str">
        <f t="shared" ref="R386" si="95">C386</f>
        <v>Título indexado a outros indexadores</v>
      </c>
      <c r="S386" t="s">
        <v>37</v>
      </c>
    </row>
    <row r="387" spans="1:19" x14ac:dyDescent="0.25">
      <c r="A387" s="1"/>
      <c r="B387" s="1">
        <v>10675</v>
      </c>
      <c r="C387" s="2" t="s">
        <v>187</v>
      </c>
      <c r="D387" s="1" t="s">
        <v>37</v>
      </c>
      <c r="E387" s="3" t="s">
        <v>0</v>
      </c>
      <c r="F387" s="4">
        <v>33269</v>
      </c>
      <c r="G387" s="5">
        <v>45597</v>
      </c>
      <c r="H387" s="6" t="s">
        <v>124</v>
      </c>
      <c r="I387" s="1" t="s">
        <v>2</v>
      </c>
      <c r="J387" s="7"/>
      <c r="K387" s="17" t="s">
        <v>233</v>
      </c>
      <c r="L387" t="s">
        <v>184</v>
      </c>
      <c r="M387" t="s">
        <v>15</v>
      </c>
      <c r="N387" t="str">
        <f t="shared" ref="N387:N395" si="96">_xlfn.CONCAT("https://api.bcb.gov.br/dados/serie/bcdata.sgs.",B387,"/dados?formato=json")</f>
        <v>https://api.bcb.gov.br/dados/serie/bcdata.sgs.10675/dados?formato=json</v>
      </c>
      <c r="O387">
        <v>7</v>
      </c>
      <c r="P387" t="s">
        <v>19</v>
      </c>
      <c r="Q387" t="s">
        <v>19</v>
      </c>
      <c r="R387" t="str">
        <f t="shared" ref="R387:R395" si="97">C387</f>
        <v>Título indexado a Selic - LBC/LBCE</v>
      </c>
      <c r="S387" t="s">
        <v>37</v>
      </c>
    </row>
    <row r="388" spans="1:19" x14ac:dyDescent="0.25">
      <c r="A388" s="8"/>
      <c r="B388" s="8">
        <v>10676</v>
      </c>
      <c r="C388" s="9" t="s">
        <v>188</v>
      </c>
      <c r="D388" s="1" t="s">
        <v>37</v>
      </c>
      <c r="E388" s="10" t="s">
        <v>0</v>
      </c>
      <c r="F388" s="11">
        <v>33269</v>
      </c>
      <c r="G388" s="12">
        <v>45597</v>
      </c>
      <c r="H388" s="13" t="s">
        <v>124</v>
      </c>
      <c r="I388" s="8" t="s">
        <v>2</v>
      </c>
      <c r="J388" s="14"/>
      <c r="K388" s="17" t="s">
        <v>233</v>
      </c>
      <c r="L388" t="s">
        <v>184</v>
      </c>
      <c r="M388" t="s">
        <v>15</v>
      </c>
      <c r="N388" t="str">
        <f t="shared" si="96"/>
        <v>https://api.bcb.gov.br/dados/serie/bcdata.sgs.10676/dados?formato=json</v>
      </c>
      <c r="O388">
        <v>7</v>
      </c>
      <c r="P388" t="s">
        <v>19</v>
      </c>
      <c r="Q388" t="s">
        <v>19</v>
      </c>
      <c r="R388" t="str">
        <f t="shared" si="97"/>
        <v>Título indexado a Selic - LFT</v>
      </c>
      <c r="S388" t="s">
        <v>37</v>
      </c>
    </row>
    <row r="389" spans="1:19" x14ac:dyDescent="0.25">
      <c r="A389" s="1"/>
      <c r="B389" s="1">
        <v>10677</v>
      </c>
      <c r="C389" s="2" t="s">
        <v>232</v>
      </c>
      <c r="D389" s="1" t="s">
        <v>37</v>
      </c>
      <c r="E389" s="3" t="s">
        <v>0</v>
      </c>
      <c r="F389" s="4">
        <v>36099</v>
      </c>
      <c r="G389" s="5">
        <v>45597</v>
      </c>
      <c r="H389" s="6" t="s">
        <v>124</v>
      </c>
      <c r="I389" s="1" t="s">
        <v>2</v>
      </c>
      <c r="J389" s="7"/>
      <c r="K389" s="17" t="s">
        <v>233</v>
      </c>
      <c r="L389" t="s">
        <v>184</v>
      </c>
      <c r="M389" t="s">
        <v>15</v>
      </c>
      <c r="N389" t="str">
        <f t="shared" si="96"/>
        <v>https://api.bcb.gov.br/dados/serie/bcdata.sgs.10677/dados?formato=json</v>
      </c>
      <c r="O389">
        <v>7</v>
      </c>
      <c r="P389" t="s">
        <v>19</v>
      </c>
      <c r="Q389" t="s">
        <v>19</v>
      </c>
      <c r="R389" t="str">
        <f t="shared" si="97"/>
        <v>BBCA</v>
      </c>
      <c r="S389" t="s">
        <v>37</v>
      </c>
    </row>
    <row r="390" spans="1:19" x14ac:dyDescent="0.25">
      <c r="A390" s="8"/>
      <c r="B390" s="8">
        <v>10678</v>
      </c>
      <c r="C390" s="9" t="s">
        <v>235</v>
      </c>
      <c r="D390" s="1" t="s">
        <v>37</v>
      </c>
      <c r="E390" s="10" t="s">
        <v>0</v>
      </c>
      <c r="F390" s="11">
        <v>36160</v>
      </c>
      <c r="G390" s="12">
        <v>45597</v>
      </c>
      <c r="H390" s="13" t="s">
        <v>124</v>
      </c>
      <c r="I390" s="8" t="s">
        <v>2</v>
      </c>
      <c r="J390" s="14"/>
      <c r="K390" s="17" t="s">
        <v>233</v>
      </c>
      <c r="L390" t="s">
        <v>184</v>
      </c>
      <c r="M390" t="s">
        <v>15</v>
      </c>
      <c r="N390" t="str">
        <f t="shared" si="96"/>
        <v>https://api.bcb.gov.br/dados/serie/bcdata.sgs.10678/dados?formato=json</v>
      </c>
      <c r="O390">
        <v>7</v>
      </c>
      <c r="P390" t="s">
        <v>19</v>
      </c>
      <c r="Q390" t="s">
        <v>19</v>
      </c>
      <c r="R390" t="str">
        <f t="shared" si="97"/>
        <v>Título indexado a Selic - NBCA</v>
      </c>
      <c r="S390" t="s">
        <v>37</v>
      </c>
    </row>
    <row r="391" spans="1:19" x14ac:dyDescent="0.25">
      <c r="A391" s="1"/>
      <c r="B391" s="1">
        <v>10679</v>
      </c>
      <c r="C391" s="2" t="s">
        <v>189</v>
      </c>
      <c r="D391" s="1" t="s">
        <v>37</v>
      </c>
      <c r="E391" s="3" t="s">
        <v>0</v>
      </c>
      <c r="F391" s="4">
        <v>36646</v>
      </c>
      <c r="G391" s="5">
        <v>45597</v>
      </c>
      <c r="H391" s="6" t="s">
        <v>185</v>
      </c>
      <c r="I391" s="1" t="s">
        <v>2</v>
      </c>
      <c r="J391" s="7"/>
      <c r="K391" s="17" t="s">
        <v>233</v>
      </c>
      <c r="L391" t="s">
        <v>184</v>
      </c>
      <c r="M391" t="s">
        <v>15</v>
      </c>
      <c r="N391" t="str">
        <f t="shared" si="96"/>
        <v>https://api.bcb.gov.br/dados/serie/bcdata.sgs.10679/dados?formato=json</v>
      </c>
      <c r="O391">
        <v>7</v>
      </c>
      <c r="P391" t="s">
        <v>19</v>
      </c>
      <c r="Q391" t="s">
        <v>19</v>
      </c>
      <c r="R391" t="str">
        <f t="shared" si="97"/>
        <v>Título indexado a Selic - Crédito securitizado</v>
      </c>
      <c r="S391" t="s">
        <v>37</v>
      </c>
    </row>
    <row r="392" spans="1:19" x14ac:dyDescent="0.25">
      <c r="A392" s="8"/>
      <c r="B392" s="8">
        <v>10680</v>
      </c>
      <c r="C392" s="9" t="s">
        <v>190</v>
      </c>
      <c r="D392" s="1" t="s">
        <v>37</v>
      </c>
      <c r="E392" s="10" t="s">
        <v>0</v>
      </c>
      <c r="F392" s="11">
        <v>36646</v>
      </c>
      <c r="G392" s="12">
        <v>45597</v>
      </c>
      <c r="H392" s="13" t="s">
        <v>185</v>
      </c>
      <c r="I392" s="8" t="s">
        <v>2</v>
      </c>
      <c r="J392" s="14"/>
      <c r="K392" s="17" t="s">
        <v>233</v>
      </c>
      <c r="L392" t="s">
        <v>184</v>
      </c>
      <c r="M392" t="s">
        <v>15</v>
      </c>
      <c r="N392" t="str">
        <f t="shared" si="96"/>
        <v>https://api.bcb.gov.br/dados/serie/bcdata.sgs.10680/dados?formato=json</v>
      </c>
      <c r="O392">
        <v>7</v>
      </c>
      <c r="P392" t="s">
        <v>19</v>
      </c>
      <c r="Q392" t="s">
        <v>19</v>
      </c>
      <c r="R392" t="str">
        <f t="shared" si="97"/>
        <v>Título indexado a Selic - Dívida agrícola</v>
      </c>
      <c r="S392" t="s">
        <v>37</v>
      </c>
    </row>
    <row r="393" spans="1:19" x14ac:dyDescent="0.25">
      <c r="A393" s="1"/>
      <c r="B393" s="1">
        <v>10681</v>
      </c>
      <c r="C393" s="2" t="s">
        <v>236</v>
      </c>
      <c r="D393" s="1" t="s">
        <v>37</v>
      </c>
      <c r="E393" s="3" t="s">
        <v>0</v>
      </c>
      <c r="F393" s="4">
        <v>36160</v>
      </c>
      <c r="G393" s="5">
        <v>45597</v>
      </c>
      <c r="H393" s="6" t="s">
        <v>124</v>
      </c>
      <c r="I393" s="1" t="s">
        <v>2</v>
      </c>
      <c r="J393" s="7"/>
      <c r="K393" s="17" t="s">
        <v>233</v>
      </c>
      <c r="L393" t="s">
        <v>184</v>
      </c>
      <c r="M393" t="s">
        <v>15</v>
      </c>
      <c r="N393" t="str">
        <f t="shared" si="96"/>
        <v>https://api.bcb.gov.br/dados/serie/bcdata.sgs.10681/dados?formato=json</v>
      </c>
      <c r="O393">
        <v>7</v>
      </c>
      <c r="P393" t="s">
        <v>19</v>
      </c>
      <c r="Q393" t="s">
        <v>19</v>
      </c>
      <c r="R393" t="str">
        <f t="shared" si="97"/>
        <v>Título indexado a Selic - NTN-S</v>
      </c>
      <c r="S393" t="s">
        <v>37</v>
      </c>
    </row>
    <row r="394" spans="1:19" x14ac:dyDescent="0.25">
      <c r="A394" s="8"/>
      <c r="B394" s="8">
        <v>10682</v>
      </c>
      <c r="C394" s="9" t="s">
        <v>191</v>
      </c>
      <c r="D394" s="1" t="s">
        <v>37</v>
      </c>
      <c r="E394" s="10" t="s">
        <v>0</v>
      </c>
      <c r="F394" s="11">
        <v>36891</v>
      </c>
      <c r="G394" s="12">
        <v>45597</v>
      </c>
      <c r="H394" s="13" t="s">
        <v>185</v>
      </c>
      <c r="I394" s="8" t="s">
        <v>2</v>
      </c>
      <c r="J394" s="14"/>
      <c r="K394" s="17" t="s">
        <v>233</v>
      </c>
      <c r="L394" t="s">
        <v>184</v>
      </c>
      <c r="M394" t="s">
        <v>15</v>
      </c>
      <c r="N394" t="str">
        <f t="shared" si="96"/>
        <v>https://api.bcb.gov.br/dados/serie/bcdata.sgs.10682/dados?formato=json</v>
      </c>
      <c r="O394">
        <v>7</v>
      </c>
      <c r="P394" t="s">
        <v>19</v>
      </c>
      <c r="Q394" t="s">
        <v>19</v>
      </c>
      <c r="R394" t="str">
        <f t="shared" si="97"/>
        <v>Título indexado a Selic - CFT-C</v>
      </c>
      <c r="S394" t="s">
        <v>37</v>
      </c>
    </row>
    <row r="395" spans="1:19" x14ac:dyDescent="0.25">
      <c r="A395" s="1"/>
      <c r="B395" s="1">
        <v>10683</v>
      </c>
      <c r="C395" s="2" t="s">
        <v>186</v>
      </c>
      <c r="D395" s="1" t="s">
        <v>37</v>
      </c>
      <c r="E395" s="3" t="s">
        <v>0</v>
      </c>
      <c r="F395" s="4">
        <v>33269</v>
      </c>
      <c r="G395" s="5">
        <v>45597</v>
      </c>
      <c r="H395" s="6" t="s">
        <v>1</v>
      </c>
      <c r="I395" s="1" t="s">
        <v>2</v>
      </c>
      <c r="J395" s="7"/>
      <c r="K395" s="17" t="s">
        <v>233</v>
      </c>
      <c r="L395" t="s">
        <v>184</v>
      </c>
      <c r="M395" t="s">
        <v>15</v>
      </c>
      <c r="N395" t="str">
        <f t="shared" si="96"/>
        <v>https://api.bcb.gov.br/dados/serie/bcdata.sgs.10683/dados?formato=json</v>
      </c>
      <c r="O395">
        <v>7</v>
      </c>
      <c r="P395" t="s">
        <v>19</v>
      </c>
      <c r="Q395" t="s">
        <v>19</v>
      </c>
      <c r="R395" t="str">
        <f t="shared" si="97"/>
        <v>Total</v>
      </c>
      <c r="S395" t="s">
        <v>37</v>
      </c>
    </row>
    <row r="396" spans="1:19" x14ac:dyDescent="0.25">
      <c r="A396" s="1"/>
      <c r="B396" s="1">
        <v>10684</v>
      </c>
      <c r="C396" s="2" t="s">
        <v>194</v>
      </c>
      <c r="D396" s="1" t="s">
        <v>37</v>
      </c>
      <c r="E396" s="3" t="s">
        <v>0</v>
      </c>
      <c r="F396" s="4">
        <v>36099</v>
      </c>
      <c r="G396" s="5">
        <v>45597</v>
      </c>
      <c r="H396" s="6" t="s">
        <v>185</v>
      </c>
      <c r="I396" s="1" t="s">
        <v>2</v>
      </c>
      <c r="J396" s="7"/>
      <c r="K396" s="17" t="s">
        <v>237</v>
      </c>
      <c r="L396" t="s">
        <v>184</v>
      </c>
      <c r="M396" t="s">
        <v>15</v>
      </c>
      <c r="N396" t="str">
        <f t="shared" ref="N396:N406" si="98">_xlfn.CONCAT("https://api.bcb.gov.br/dados/serie/bcdata.sgs.",B396,"/dados?formato=json")</f>
        <v>https://api.bcb.gov.br/dados/serie/bcdata.sgs.10684/dados?formato=json</v>
      </c>
      <c r="O396">
        <v>7</v>
      </c>
      <c r="P396" t="s">
        <v>19</v>
      </c>
      <c r="Q396" t="s">
        <v>19</v>
      </c>
      <c r="R396" t="str">
        <f t="shared" ref="R396:R406" si="99">C396</f>
        <v>Título indexado ao IGP-DI - CFT-A</v>
      </c>
      <c r="S396" t="s">
        <v>37</v>
      </c>
    </row>
    <row r="397" spans="1:19" x14ac:dyDescent="0.25">
      <c r="A397" s="8"/>
      <c r="B397" s="8">
        <v>10685</v>
      </c>
      <c r="C397" s="9" t="s">
        <v>195</v>
      </c>
      <c r="D397" s="1" t="s">
        <v>37</v>
      </c>
      <c r="E397" s="10" t="s">
        <v>0</v>
      </c>
      <c r="F397" s="11">
        <v>36646</v>
      </c>
      <c r="G397" s="12">
        <v>45597</v>
      </c>
      <c r="H397" s="13" t="s">
        <v>185</v>
      </c>
      <c r="I397" s="8" t="s">
        <v>2</v>
      </c>
      <c r="J397" s="14"/>
      <c r="K397" s="17" t="s">
        <v>237</v>
      </c>
      <c r="L397" t="s">
        <v>184</v>
      </c>
      <c r="M397" t="s">
        <v>15</v>
      </c>
      <c r="N397" t="str">
        <f t="shared" si="98"/>
        <v>https://api.bcb.gov.br/dados/serie/bcdata.sgs.10685/dados?formato=json</v>
      </c>
      <c r="O397">
        <v>7</v>
      </c>
      <c r="P397" t="s">
        <v>19</v>
      </c>
      <c r="Q397" t="s">
        <v>19</v>
      </c>
      <c r="R397" t="str">
        <f t="shared" si="99"/>
        <v>Título indexado ao IGP-DI - Crédito securitizado</v>
      </c>
      <c r="S397" t="s">
        <v>37</v>
      </c>
    </row>
    <row r="398" spans="1:19" x14ac:dyDescent="0.25">
      <c r="A398" s="1"/>
      <c r="B398" s="1">
        <v>10686</v>
      </c>
      <c r="C398" s="2" t="s">
        <v>196</v>
      </c>
      <c r="D398" s="1" t="s">
        <v>37</v>
      </c>
      <c r="E398" s="3" t="s">
        <v>0</v>
      </c>
      <c r="F398" s="4">
        <v>36099</v>
      </c>
      <c r="G398" s="5">
        <v>45597</v>
      </c>
      <c r="H398" s="6" t="s">
        <v>1</v>
      </c>
      <c r="I398" s="1" t="s">
        <v>2</v>
      </c>
      <c r="J398" s="7"/>
      <c r="K398" s="17" t="s">
        <v>237</v>
      </c>
      <c r="L398" t="s">
        <v>184</v>
      </c>
      <c r="M398" t="s">
        <v>15</v>
      </c>
      <c r="N398" t="str">
        <f t="shared" si="98"/>
        <v>https://api.bcb.gov.br/dados/serie/bcdata.sgs.10686/dados?formato=json</v>
      </c>
      <c r="O398">
        <v>7</v>
      </c>
      <c r="P398" t="s">
        <v>19</v>
      </c>
      <c r="Q398" t="s">
        <v>19</v>
      </c>
      <c r="R398" t="str">
        <f t="shared" si="99"/>
        <v>Título indexado ao IGP-DI - Total</v>
      </c>
      <c r="S398" t="s">
        <v>37</v>
      </c>
    </row>
    <row r="399" spans="1:19" x14ac:dyDescent="0.25">
      <c r="A399" s="8"/>
      <c r="B399" s="8">
        <v>10687</v>
      </c>
      <c r="C399" s="9" t="s">
        <v>197</v>
      </c>
      <c r="D399" s="1" t="s">
        <v>37</v>
      </c>
      <c r="E399" s="10" t="s">
        <v>0</v>
      </c>
      <c r="F399" s="11">
        <v>37287</v>
      </c>
      <c r="G399" s="12">
        <v>45597</v>
      </c>
      <c r="H399" s="13" t="s">
        <v>124</v>
      </c>
      <c r="I399" s="8" t="s">
        <v>2</v>
      </c>
      <c r="J399" s="14"/>
      <c r="K399" s="17" t="s">
        <v>237</v>
      </c>
      <c r="L399" t="s">
        <v>184</v>
      </c>
      <c r="M399" t="s">
        <v>15</v>
      </c>
      <c r="N399" t="str">
        <f t="shared" si="98"/>
        <v>https://api.bcb.gov.br/dados/serie/bcdata.sgs.10687/dados?formato=json</v>
      </c>
      <c r="O399">
        <v>7</v>
      </c>
      <c r="P399" t="s">
        <v>19</v>
      </c>
      <c r="Q399" t="s">
        <v>19</v>
      </c>
      <c r="R399" t="str">
        <f t="shared" si="99"/>
        <v>Título indexado ao IPC-A - NTN-B</v>
      </c>
      <c r="S399" t="s">
        <v>37</v>
      </c>
    </row>
    <row r="400" spans="1:19" x14ac:dyDescent="0.25">
      <c r="A400" s="1"/>
      <c r="B400" s="1">
        <v>10688</v>
      </c>
      <c r="C400" s="2" t="s">
        <v>198</v>
      </c>
      <c r="D400" s="1" t="s">
        <v>37</v>
      </c>
      <c r="E400" s="3" t="s">
        <v>0</v>
      </c>
      <c r="F400" s="4">
        <v>36646</v>
      </c>
      <c r="G400" s="5">
        <v>45597</v>
      </c>
      <c r="H400" s="6" t="s">
        <v>185</v>
      </c>
      <c r="I400" s="1" t="s">
        <v>2</v>
      </c>
      <c r="J400" s="7"/>
      <c r="K400" s="17" t="s">
        <v>237</v>
      </c>
      <c r="L400" t="s">
        <v>184</v>
      </c>
      <c r="M400" t="s">
        <v>15</v>
      </c>
      <c r="N400" t="str">
        <f t="shared" si="98"/>
        <v>https://api.bcb.gov.br/dados/serie/bcdata.sgs.10688/dados?formato=json</v>
      </c>
      <c r="O400">
        <v>7</v>
      </c>
      <c r="P400" t="s">
        <v>19</v>
      </c>
      <c r="Q400" t="s">
        <v>19</v>
      </c>
      <c r="R400" t="str">
        <f t="shared" si="99"/>
        <v>Título indexado ao INPC - Crédito securitizado</v>
      </c>
      <c r="S400" t="s">
        <v>37</v>
      </c>
    </row>
    <row r="401" spans="1:19" x14ac:dyDescent="0.25">
      <c r="A401" s="8"/>
      <c r="B401" s="8">
        <v>10689</v>
      </c>
      <c r="C401" s="9" t="s">
        <v>234</v>
      </c>
      <c r="D401" s="1" t="s">
        <v>37</v>
      </c>
      <c r="E401" s="10" t="s">
        <v>0</v>
      </c>
      <c r="F401" s="11">
        <v>33755</v>
      </c>
      <c r="G401" s="12">
        <v>45597</v>
      </c>
      <c r="H401" s="13" t="s">
        <v>124</v>
      </c>
      <c r="I401" s="8" t="s">
        <v>2</v>
      </c>
      <c r="J401" s="14"/>
      <c r="K401" s="17" t="s">
        <v>237</v>
      </c>
      <c r="L401" t="s">
        <v>184</v>
      </c>
      <c r="M401" t="s">
        <v>15</v>
      </c>
      <c r="N401" t="str">
        <f t="shared" si="98"/>
        <v>https://api.bcb.gov.br/dados/serie/bcdata.sgs.10689/dados?formato=json</v>
      </c>
      <c r="O401">
        <v>7</v>
      </c>
      <c r="P401" t="s">
        <v>19</v>
      </c>
      <c r="Q401" t="s">
        <v>19</v>
      </c>
      <c r="R401" t="str">
        <f t="shared" si="99"/>
        <v>IGP-M - NTN-B</v>
      </c>
      <c r="S401" t="s">
        <v>37</v>
      </c>
    </row>
    <row r="402" spans="1:19" x14ac:dyDescent="0.25">
      <c r="A402" s="1"/>
      <c r="B402" s="1">
        <v>10690</v>
      </c>
      <c r="C402" s="2" t="s">
        <v>199</v>
      </c>
      <c r="D402" s="1" t="s">
        <v>37</v>
      </c>
      <c r="E402" s="3" t="s">
        <v>0</v>
      </c>
      <c r="F402" s="4">
        <v>36616</v>
      </c>
      <c r="G402" s="5">
        <v>45597</v>
      </c>
      <c r="H402" s="6" t="s">
        <v>185</v>
      </c>
      <c r="I402" s="1" t="s">
        <v>2</v>
      </c>
      <c r="J402" s="7"/>
      <c r="K402" s="17" t="s">
        <v>237</v>
      </c>
      <c r="L402" t="s">
        <v>184</v>
      </c>
      <c r="M402" t="s">
        <v>15</v>
      </c>
      <c r="N402" t="str">
        <f t="shared" si="98"/>
        <v>https://api.bcb.gov.br/dados/serie/bcdata.sgs.10690/dados?formato=json</v>
      </c>
      <c r="O402">
        <v>7</v>
      </c>
      <c r="P402" t="s">
        <v>19</v>
      </c>
      <c r="Q402" t="s">
        <v>19</v>
      </c>
      <c r="R402" t="str">
        <f t="shared" si="99"/>
        <v>Título indexado ao IGP-M - CFT-E</v>
      </c>
      <c r="S402" t="s">
        <v>37</v>
      </c>
    </row>
    <row r="403" spans="1:19" x14ac:dyDescent="0.25">
      <c r="A403" s="8"/>
      <c r="B403" s="8">
        <v>10691</v>
      </c>
      <c r="C403" s="9" t="s">
        <v>200</v>
      </c>
      <c r="D403" s="1" t="s">
        <v>37</v>
      </c>
      <c r="E403" s="10" t="s">
        <v>0</v>
      </c>
      <c r="F403" s="11">
        <v>35946</v>
      </c>
      <c r="G403" s="12">
        <v>45597</v>
      </c>
      <c r="H403" s="13" t="s">
        <v>185</v>
      </c>
      <c r="I403" s="8" t="s">
        <v>2</v>
      </c>
      <c r="J403" s="14"/>
      <c r="K403" s="17" t="s">
        <v>237</v>
      </c>
      <c r="L403" t="s">
        <v>184</v>
      </c>
      <c r="M403" t="s">
        <v>15</v>
      </c>
      <c r="N403" t="str">
        <f t="shared" si="98"/>
        <v>https://api.bcb.gov.br/dados/serie/bcdata.sgs.10691/dados?formato=json</v>
      </c>
      <c r="O403">
        <v>7</v>
      </c>
      <c r="P403" t="s">
        <v>19</v>
      </c>
      <c r="Q403" t="s">
        <v>19</v>
      </c>
      <c r="R403" t="str">
        <f t="shared" si="99"/>
        <v>Título indexado ao IGP-M - CTN</v>
      </c>
      <c r="S403" t="s">
        <v>37</v>
      </c>
    </row>
    <row r="404" spans="1:19" x14ac:dyDescent="0.25">
      <c r="A404" s="1"/>
      <c r="B404" s="1">
        <v>10692</v>
      </c>
      <c r="C404" s="2" t="s">
        <v>201</v>
      </c>
      <c r="D404" s="1" t="s">
        <v>37</v>
      </c>
      <c r="E404" s="3" t="s">
        <v>0</v>
      </c>
      <c r="F404" s="4">
        <v>36646</v>
      </c>
      <c r="G404" s="5">
        <v>45597</v>
      </c>
      <c r="H404" s="6" t="s">
        <v>185</v>
      </c>
      <c r="I404" s="1" t="s">
        <v>2</v>
      </c>
      <c r="J404" s="7"/>
      <c r="K404" s="17" t="s">
        <v>237</v>
      </c>
      <c r="L404" t="s">
        <v>184</v>
      </c>
      <c r="M404" t="s">
        <v>15</v>
      </c>
      <c r="N404" t="str">
        <f t="shared" si="98"/>
        <v>https://api.bcb.gov.br/dados/serie/bcdata.sgs.10692/dados?formato=json</v>
      </c>
      <c r="O404">
        <v>7</v>
      </c>
      <c r="P404" t="s">
        <v>19</v>
      </c>
      <c r="Q404" t="s">
        <v>19</v>
      </c>
      <c r="R404" t="str">
        <f t="shared" si="99"/>
        <v>Título indexado ao IGP-M - Crédito securitizado</v>
      </c>
      <c r="S404" t="s">
        <v>37</v>
      </c>
    </row>
    <row r="405" spans="1:19" x14ac:dyDescent="0.25">
      <c r="A405" s="8"/>
      <c r="B405" s="8">
        <v>10693</v>
      </c>
      <c r="C405" s="9" t="s">
        <v>202</v>
      </c>
      <c r="D405" s="1" t="s">
        <v>37</v>
      </c>
      <c r="E405" s="10" t="s">
        <v>0</v>
      </c>
      <c r="F405" s="11">
        <v>33572</v>
      </c>
      <c r="G405" s="12">
        <v>45597</v>
      </c>
      <c r="H405" s="13" t="s">
        <v>124</v>
      </c>
      <c r="I405" s="8" t="s">
        <v>2</v>
      </c>
      <c r="J405" s="14"/>
      <c r="K405" s="17" t="s">
        <v>237</v>
      </c>
      <c r="L405" t="s">
        <v>184</v>
      </c>
      <c r="M405" t="s">
        <v>15</v>
      </c>
      <c r="N405" t="str">
        <f t="shared" si="98"/>
        <v>https://api.bcb.gov.br/dados/serie/bcdata.sgs.10693/dados?formato=json</v>
      </c>
      <c r="O405">
        <v>7</v>
      </c>
      <c r="P405" t="s">
        <v>19</v>
      </c>
      <c r="Q405" t="s">
        <v>19</v>
      </c>
      <c r="R405" t="str">
        <f t="shared" si="99"/>
        <v>Título indexado ao IGP-M - NTN-C</v>
      </c>
      <c r="S405" t="s">
        <v>37</v>
      </c>
    </row>
    <row r="406" spans="1:19" x14ac:dyDescent="0.25">
      <c r="A406" s="1"/>
      <c r="B406" s="1">
        <v>10694</v>
      </c>
      <c r="C406" s="2" t="s">
        <v>193</v>
      </c>
      <c r="D406" s="1" t="s">
        <v>37</v>
      </c>
      <c r="E406" s="3" t="s">
        <v>0</v>
      </c>
      <c r="F406" s="4">
        <v>33572</v>
      </c>
      <c r="G406" s="5">
        <v>45597</v>
      </c>
      <c r="H406" s="6" t="s">
        <v>1</v>
      </c>
      <c r="I406" s="1" t="s">
        <v>2</v>
      </c>
      <c r="J406" s="7"/>
      <c r="K406" s="17" t="s">
        <v>237</v>
      </c>
      <c r="L406" t="s">
        <v>184</v>
      </c>
      <c r="M406" t="s">
        <v>15</v>
      </c>
      <c r="N406" t="str">
        <f t="shared" si="98"/>
        <v>https://api.bcb.gov.br/dados/serie/bcdata.sgs.10694/dados?formato=json</v>
      </c>
      <c r="O406">
        <v>7</v>
      </c>
      <c r="P406" t="s">
        <v>19</v>
      </c>
      <c r="Q406" t="s">
        <v>19</v>
      </c>
      <c r="R406" t="str">
        <f t="shared" si="99"/>
        <v>IGP-M - Total</v>
      </c>
      <c r="S406" t="s">
        <v>37</v>
      </c>
    </row>
    <row r="407" spans="1:19" x14ac:dyDescent="0.25">
      <c r="A407" s="18"/>
      <c r="B407" s="18">
        <v>10695</v>
      </c>
      <c r="C407" s="19" t="s">
        <v>238</v>
      </c>
      <c r="D407" s="1" t="s">
        <v>37</v>
      </c>
      <c r="E407" s="20" t="s">
        <v>0</v>
      </c>
      <c r="F407" s="21">
        <v>33269</v>
      </c>
      <c r="G407" s="22">
        <v>45597</v>
      </c>
      <c r="H407" s="23" t="s">
        <v>124</v>
      </c>
      <c r="I407" s="18" t="s">
        <v>2</v>
      </c>
      <c r="J407" s="24"/>
      <c r="K407" s="17" t="s">
        <v>240</v>
      </c>
      <c r="L407" t="s">
        <v>184</v>
      </c>
      <c r="M407" t="s">
        <v>15</v>
      </c>
      <c r="N407" t="str">
        <f t="shared" ref="N407:N413" si="100">_xlfn.CONCAT("https://api.bcb.gov.br/dados/serie/bcdata.sgs.",B407,"/dados?formato=json")</f>
        <v>https://api.bcb.gov.br/dados/serie/bcdata.sgs.10695/dados?formato=json</v>
      </c>
      <c r="O407">
        <v>7</v>
      </c>
      <c r="P407" t="s">
        <v>19</v>
      </c>
      <c r="Q407" t="s">
        <v>19</v>
      </c>
      <c r="R407" t="str">
        <f t="shared" ref="R407:R413" si="101">C407</f>
        <v>BBC e BBCA</v>
      </c>
      <c r="S407" t="s">
        <v>37</v>
      </c>
    </row>
    <row r="408" spans="1:19" x14ac:dyDescent="0.25">
      <c r="A408" s="8"/>
      <c r="B408" s="8">
        <v>10696</v>
      </c>
      <c r="C408" s="9" t="s">
        <v>205</v>
      </c>
      <c r="D408" s="1" t="s">
        <v>37</v>
      </c>
      <c r="E408" s="10" t="s">
        <v>0</v>
      </c>
      <c r="F408" s="11">
        <v>33269</v>
      </c>
      <c r="G408" s="12">
        <v>45597</v>
      </c>
      <c r="H408" s="13" t="s">
        <v>124</v>
      </c>
      <c r="I408" s="8" t="s">
        <v>2</v>
      </c>
      <c r="J408" s="14"/>
      <c r="K408" s="17" t="s">
        <v>240</v>
      </c>
      <c r="L408" t="s">
        <v>184</v>
      </c>
      <c r="M408" t="s">
        <v>15</v>
      </c>
      <c r="N408" t="str">
        <f t="shared" si="100"/>
        <v>https://api.bcb.gov.br/dados/serie/bcdata.sgs.10696/dados?formato=json</v>
      </c>
      <c r="O408">
        <v>7</v>
      </c>
      <c r="P408" t="s">
        <v>19</v>
      </c>
      <c r="Q408" t="s">
        <v>19</v>
      </c>
      <c r="R408" t="str">
        <f t="shared" si="101"/>
        <v>Título pré-fixado - LTN</v>
      </c>
      <c r="S408" t="s">
        <v>37</v>
      </c>
    </row>
    <row r="409" spans="1:19" x14ac:dyDescent="0.25">
      <c r="A409" s="1"/>
      <c r="B409" s="1">
        <v>10697</v>
      </c>
      <c r="C409" s="2" t="s">
        <v>239</v>
      </c>
      <c r="D409" s="1" t="s">
        <v>37</v>
      </c>
      <c r="E409" s="3" t="s">
        <v>0</v>
      </c>
      <c r="F409" s="4">
        <v>34365</v>
      </c>
      <c r="G409" s="5">
        <v>45597</v>
      </c>
      <c r="H409" s="6" t="s">
        <v>124</v>
      </c>
      <c r="I409" s="1" t="s">
        <v>2</v>
      </c>
      <c r="J409" s="7"/>
      <c r="K409" s="17" t="s">
        <v>240</v>
      </c>
      <c r="L409" t="s">
        <v>184</v>
      </c>
      <c r="M409" t="s">
        <v>15</v>
      </c>
      <c r="N409" t="str">
        <f t="shared" si="100"/>
        <v>https://api.bcb.gov.br/dados/serie/bcdata.sgs.10697/dados?formato=json</v>
      </c>
      <c r="O409">
        <v>7</v>
      </c>
      <c r="P409" t="s">
        <v>19</v>
      </c>
      <c r="Q409" t="s">
        <v>19</v>
      </c>
      <c r="R409" t="str">
        <f t="shared" si="101"/>
        <v>NTN-J</v>
      </c>
      <c r="S409" t="s">
        <v>37</v>
      </c>
    </row>
    <row r="410" spans="1:19" x14ac:dyDescent="0.25">
      <c r="A410" s="8"/>
      <c r="B410" s="8">
        <v>10698</v>
      </c>
      <c r="C410" s="9" t="s">
        <v>241</v>
      </c>
      <c r="D410" s="1" t="s">
        <v>37</v>
      </c>
      <c r="E410" s="10" t="s">
        <v>0</v>
      </c>
      <c r="F410" s="11">
        <v>36160</v>
      </c>
      <c r="G410" s="12">
        <v>45597</v>
      </c>
      <c r="H410" s="13" t="s">
        <v>124</v>
      </c>
      <c r="I410" s="8" t="s">
        <v>2</v>
      </c>
      <c r="J410" s="14"/>
      <c r="K410" s="17" t="s">
        <v>240</v>
      </c>
      <c r="L410" t="s">
        <v>184</v>
      </c>
      <c r="M410" t="s">
        <v>15</v>
      </c>
      <c r="N410" t="str">
        <f t="shared" si="100"/>
        <v>https://api.bcb.gov.br/dados/serie/bcdata.sgs.10698/dados?formato=json</v>
      </c>
      <c r="O410">
        <v>7</v>
      </c>
      <c r="P410" t="s">
        <v>19</v>
      </c>
      <c r="Q410" t="s">
        <v>19</v>
      </c>
      <c r="R410" t="str">
        <f t="shared" si="101"/>
        <v>Título pré-fixado - NTN-S</v>
      </c>
      <c r="S410" t="s">
        <v>37</v>
      </c>
    </row>
    <row r="411" spans="1:19" x14ac:dyDescent="0.25">
      <c r="A411" s="1"/>
      <c r="B411" s="1">
        <v>10699</v>
      </c>
      <c r="C411" s="2" t="s">
        <v>206</v>
      </c>
      <c r="D411" s="1" t="s">
        <v>37</v>
      </c>
      <c r="E411" s="3" t="s">
        <v>0</v>
      </c>
      <c r="F411" s="4">
        <v>37315</v>
      </c>
      <c r="G411" s="5">
        <v>45597</v>
      </c>
      <c r="H411" s="6" t="s">
        <v>185</v>
      </c>
      <c r="I411" s="1" t="s">
        <v>2</v>
      </c>
      <c r="J411" s="7"/>
      <c r="K411" s="17" t="s">
        <v>240</v>
      </c>
      <c r="L411" t="s">
        <v>184</v>
      </c>
      <c r="M411" t="s">
        <v>15</v>
      </c>
      <c r="N411" t="str">
        <f t="shared" si="100"/>
        <v>https://api.bcb.gov.br/dados/serie/bcdata.sgs.10699/dados?formato=json</v>
      </c>
      <c r="O411">
        <v>7</v>
      </c>
      <c r="P411" t="s">
        <v>19</v>
      </c>
      <c r="Q411" t="s">
        <v>19</v>
      </c>
      <c r="R411" t="str">
        <f t="shared" si="101"/>
        <v>Título pré-fixado - Dívida agrícola</v>
      </c>
      <c r="S411" t="s">
        <v>37</v>
      </c>
    </row>
    <row r="412" spans="1:19" x14ac:dyDescent="0.25">
      <c r="A412" s="8"/>
      <c r="B412" s="8">
        <v>10700</v>
      </c>
      <c r="C412" s="9" t="s">
        <v>186</v>
      </c>
      <c r="D412" s="1" t="s">
        <v>37</v>
      </c>
      <c r="E412" s="10" t="s">
        <v>0</v>
      </c>
      <c r="F412" s="11">
        <v>33269</v>
      </c>
      <c r="G412" s="12">
        <v>45597</v>
      </c>
      <c r="H412" s="13" t="s">
        <v>1</v>
      </c>
      <c r="I412" s="8" t="s">
        <v>2</v>
      </c>
      <c r="J412" s="14"/>
      <c r="K412" s="17" t="s">
        <v>240</v>
      </c>
      <c r="L412" t="s">
        <v>184</v>
      </c>
      <c r="M412" t="s">
        <v>15</v>
      </c>
      <c r="N412" t="str">
        <f t="shared" si="100"/>
        <v>https://api.bcb.gov.br/dados/serie/bcdata.sgs.10700/dados?formato=json</v>
      </c>
      <c r="O412">
        <v>7</v>
      </c>
      <c r="P412" t="s">
        <v>19</v>
      </c>
      <c r="Q412" t="s">
        <v>19</v>
      </c>
      <c r="R412" t="str">
        <f t="shared" si="101"/>
        <v>Total</v>
      </c>
      <c r="S412" t="s">
        <v>37</v>
      </c>
    </row>
    <row r="413" spans="1:19" x14ac:dyDescent="0.25">
      <c r="A413" s="1"/>
      <c r="B413" s="1">
        <v>10701</v>
      </c>
      <c r="C413" s="2" t="s">
        <v>204</v>
      </c>
      <c r="D413" s="1" t="s">
        <v>37</v>
      </c>
      <c r="E413" s="3" t="s">
        <v>0</v>
      </c>
      <c r="F413" s="4">
        <v>37956</v>
      </c>
      <c r="G413" s="5">
        <v>45597</v>
      </c>
      <c r="H413" s="6" t="s">
        <v>124</v>
      </c>
      <c r="I413" s="1" t="s">
        <v>2</v>
      </c>
      <c r="J413" s="7"/>
      <c r="K413" s="17" t="s">
        <v>240</v>
      </c>
      <c r="L413" t="s">
        <v>184</v>
      </c>
      <c r="M413" t="s">
        <v>15</v>
      </c>
      <c r="N413" t="str">
        <f t="shared" si="100"/>
        <v>https://api.bcb.gov.br/dados/serie/bcdata.sgs.10701/dados?formato=json</v>
      </c>
      <c r="O413">
        <v>7</v>
      </c>
      <c r="P413" t="s">
        <v>19</v>
      </c>
      <c r="Q413" t="s">
        <v>19</v>
      </c>
      <c r="R413" t="str">
        <f t="shared" si="101"/>
        <v>NTN-F</v>
      </c>
      <c r="S413" t="s">
        <v>37</v>
      </c>
    </row>
    <row r="414" spans="1:19" x14ac:dyDescent="0.25">
      <c r="A414" s="1"/>
      <c r="B414" s="1">
        <v>10702</v>
      </c>
      <c r="C414" s="2" t="s">
        <v>208</v>
      </c>
      <c r="D414" s="1" t="s">
        <v>37</v>
      </c>
      <c r="E414" s="3" t="s">
        <v>0</v>
      </c>
      <c r="F414" s="4">
        <v>33694</v>
      </c>
      <c r="G414" s="5">
        <v>45597</v>
      </c>
      <c r="H414" s="6" t="s">
        <v>124</v>
      </c>
      <c r="I414" s="1" t="s">
        <v>2</v>
      </c>
      <c r="J414" s="7"/>
      <c r="K414" s="17" t="s">
        <v>242</v>
      </c>
      <c r="L414" t="s">
        <v>184</v>
      </c>
      <c r="M414" t="s">
        <v>15</v>
      </c>
      <c r="N414" t="str">
        <f t="shared" ref="N414:N421" si="102">_xlfn.CONCAT("https://api.bcb.gov.br/dados/serie/bcdata.sgs.",B414,"/dados?formato=json")</f>
        <v>https://api.bcb.gov.br/dados/serie/bcdata.sgs.10702/dados?formato=json</v>
      </c>
      <c r="O414">
        <v>7</v>
      </c>
      <c r="P414" t="s">
        <v>19</v>
      </c>
      <c r="Q414" t="s">
        <v>19</v>
      </c>
      <c r="R414" t="str">
        <f t="shared" ref="R414:R421" si="103">C414</f>
        <v>Título indexado a TR - NTN-H</v>
      </c>
      <c r="S414" t="s">
        <v>37</v>
      </c>
    </row>
    <row r="415" spans="1:19" x14ac:dyDescent="0.25">
      <c r="A415" s="8"/>
      <c r="B415" s="8">
        <v>10703</v>
      </c>
      <c r="C415" s="9" t="s">
        <v>209</v>
      </c>
      <c r="D415" s="1" t="s">
        <v>37</v>
      </c>
      <c r="E415" s="10" t="s">
        <v>0</v>
      </c>
      <c r="F415" s="11">
        <v>36646</v>
      </c>
      <c r="G415" s="12">
        <v>45597</v>
      </c>
      <c r="H415" s="13" t="s">
        <v>185</v>
      </c>
      <c r="I415" s="8" t="s">
        <v>2</v>
      </c>
      <c r="J415" s="14"/>
      <c r="K415" s="17" t="s">
        <v>242</v>
      </c>
      <c r="L415" t="s">
        <v>184</v>
      </c>
      <c r="M415" t="s">
        <v>15</v>
      </c>
      <c r="N415" t="str">
        <f t="shared" si="102"/>
        <v>https://api.bcb.gov.br/dados/serie/bcdata.sgs.10703/dados?formato=json</v>
      </c>
      <c r="O415">
        <v>7</v>
      </c>
      <c r="P415" t="s">
        <v>19</v>
      </c>
      <c r="Q415" t="s">
        <v>19</v>
      </c>
      <c r="R415" t="str">
        <f t="shared" si="103"/>
        <v>Título indexado a TR - Crédito securitizado</v>
      </c>
      <c r="S415" t="s">
        <v>37</v>
      </c>
    </row>
    <row r="416" spans="1:19" x14ac:dyDescent="0.25">
      <c r="A416" s="1"/>
      <c r="B416" s="1">
        <v>10704</v>
      </c>
      <c r="C416" s="2" t="s">
        <v>210</v>
      </c>
      <c r="D416" s="1" t="s">
        <v>37</v>
      </c>
      <c r="E416" s="3" t="s">
        <v>0</v>
      </c>
      <c r="F416" s="4">
        <v>36646</v>
      </c>
      <c r="G416" s="5">
        <v>45597</v>
      </c>
      <c r="H416" s="6" t="s">
        <v>185</v>
      </c>
      <c r="I416" s="1" t="s">
        <v>2</v>
      </c>
      <c r="J416" s="7"/>
      <c r="K416" s="17" t="s">
        <v>242</v>
      </c>
      <c r="L416" t="s">
        <v>184</v>
      </c>
      <c r="M416" t="s">
        <v>15</v>
      </c>
      <c r="N416" t="str">
        <f t="shared" si="102"/>
        <v>https://api.bcb.gov.br/dados/serie/bcdata.sgs.10704/dados?formato=json</v>
      </c>
      <c r="O416">
        <v>7</v>
      </c>
      <c r="P416" t="s">
        <v>19</v>
      </c>
      <c r="Q416" t="s">
        <v>19</v>
      </c>
      <c r="R416" t="str">
        <f t="shared" si="103"/>
        <v>Título indexado a TR - Dívida agrícola</v>
      </c>
      <c r="S416" t="s">
        <v>37</v>
      </c>
    </row>
    <row r="417" spans="1:19" x14ac:dyDescent="0.25">
      <c r="A417" s="8"/>
      <c r="B417" s="8">
        <v>10705</v>
      </c>
      <c r="C417" s="9" t="s">
        <v>211</v>
      </c>
      <c r="D417" s="1" t="s">
        <v>37</v>
      </c>
      <c r="E417" s="10" t="s">
        <v>0</v>
      </c>
      <c r="F417" s="11">
        <v>36646</v>
      </c>
      <c r="G417" s="12">
        <v>45597</v>
      </c>
      <c r="H417" s="13" t="s">
        <v>185</v>
      </c>
      <c r="I417" s="8" t="s">
        <v>2</v>
      </c>
      <c r="J417" s="14"/>
      <c r="K417" s="17" t="s">
        <v>242</v>
      </c>
      <c r="L417" t="s">
        <v>184</v>
      </c>
      <c r="M417" t="s">
        <v>15</v>
      </c>
      <c r="N417" t="str">
        <f t="shared" si="102"/>
        <v>https://api.bcb.gov.br/dados/serie/bcdata.sgs.10705/dados?formato=json</v>
      </c>
      <c r="O417">
        <v>7</v>
      </c>
      <c r="P417" t="s">
        <v>19</v>
      </c>
      <c r="Q417" t="s">
        <v>19</v>
      </c>
      <c r="R417" t="str">
        <f t="shared" si="103"/>
        <v>Título indexado a TR - TDA</v>
      </c>
      <c r="S417" t="s">
        <v>37</v>
      </c>
    </row>
    <row r="418" spans="1:19" x14ac:dyDescent="0.25">
      <c r="A418" s="1"/>
      <c r="B418" s="1">
        <v>10706</v>
      </c>
      <c r="C418" s="2" t="s">
        <v>212</v>
      </c>
      <c r="D418" s="1" t="s">
        <v>37</v>
      </c>
      <c r="E418" s="3" t="s">
        <v>0</v>
      </c>
      <c r="F418" s="4">
        <v>36646</v>
      </c>
      <c r="G418" s="5">
        <v>45597</v>
      </c>
      <c r="H418" s="6" t="s">
        <v>185</v>
      </c>
      <c r="I418" s="1" t="s">
        <v>2</v>
      </c>
      <c r="J418" s="7"/>
      <c r="K418" s="17" t="s">
        <v>242</v>
      </c>
      <c r="L418" t="s">
        <v>184</v>
      </c>
      <c r="M418" t="s">
        <v>15</v>
      </c>
      <c r="N418" t="str">
        <f t="shared" si="102"/>
        <v>https://api.bcb.gov.br/dados/serie/bcdata.sgs.10706/dados?formato=json</v>
      </c>
      <c r="O418">
        <v>7</v>
      </c>
      <c r="P418" t="s">
        <v>19</v>
      </c>
      <c r="Q418" t="s">
        <v>19</v>
      </c>
      <c r="R418" t="str">
        <f t="shared" si="103"/>
        <v>Título indexado a TR - CDP</v>
      </c>
      <c r="S418" t="s">
        <v>37</v>
      </c>
    </row>
    <row r="419" spans="1:19" x14ac:dyDescent="0.25">
      <c r="A419" s="8"/>
      <c r="B419" s="8">
        <v>10707</v>
      </c>
      <c r="C419" s="9" t="s">
        <v>213</v>
      </c>
      <c r="D419" s="1" t="s">
        <v>37</v>
      </c>
      <c r="E419" s="10" t="s">
        <v>0</v>
      </c>
      <c r="F419" s="11">
        <v>36738</v>
      </c>
      <c r="G419" s="12">
        <v>45597</v>
      </c>
      <c r="H419" s="13" t="s">
        <v>185</v>
      </c>
      <c r="I419" s="8" t="s">
        <v>2</v>
      </c>
      <c r="J419" s="14"/>
      <c r="K419" s="17" t="s">
        <v>242</v>
      </c>
      <c r="L419" t="s">
        <v>184</v>
      </c>
      <c r="M419" t="s">
        <v>15</v>
      </c>
      <c r="N419" t="str">
        <f t="shared" si="102"/>
        <v>https://api.bcb.gov.br/dados/serie/bcdata.sgs.10707/dados?formato=json</v>
      </c>
      <c r="O419">
        <v>7</v>
      </c>
      <c r="P419" t="s">
        <v>19</v>
      </c>
      <c r="Q419" t="s">
        <v>19</v>
      </c>
      <c r="R419" t="str">
        <f t="shared" si="103"/>
        <v>Título indexado a TR - CFT-B</v>
      </c>
      <c r="S419" t="s">
        <v>37</v>
      </c>
    </row>
    <row r="420" spans="1:19" x14ac:dyDescent="0.25">
      <c r="A420" s="1"/>
      <c r="B420" s="1">
        <v>10708</v>
      </c>
      <c r="C420" s="2" t="s">
        <v>214</v>
      </c>
      <c r="D420" s="1" t="s">
        <v>37</v>
      </c>
      <c r="E420" s="3" t="s">
        <v>0</v>
      </c>
      <c r="F420" s="4">
        <v>34181</v>
      </c>
      <c r="G420" s="5">
        <v>45597</v>
      </c>
      <c r="H420" s="6" t="s">
        <v>124</v>
      </c>
      <c r="I420" s="1" t="s">
        <v>2</v>
      </c>
      <c r="J420" s="7"/>
      <c r="K420" s="17" t="s">
        <v>242</v>
      </c>
      <c r="L420" t="s">
        <v>184</v>
      </c>
      <c r="M420" t="s">
        <v>15</v>
      </c>
      <c r="N420" t="str">
        <f t="shared" si="102"/>
        <v>https://api.bcb.gov.br/dados/serie/bcdata.sgs.10708/dados?formato=json</v>
      </c>
      <c r="O420">
        <v>7</v>
      </c>
      <c r="P420" t="s">
        <v>19</v>
      </c>
      <c r="Q420" t="s">
        <v>19</v>
      </c>
      <c r="R420" t="str">
        <f t="shared" si="103"/>
        <v>Título indexado a TR - NTN-P</v>
      </c>
      <c r="S420" t="s">
        <v>37</v>
      </c>
    </row>
    <row r="421" spans="1:19" x14ac:dyDescent="0.25">
      <c r="A421" s="8"/>
      <c r="B421" s="8">
        <v>10709</v>
      </c>
      <c r="C421" s="9" t="s">
        <v>186</v>
      </c>
      <c r="D421" s="1" t="s">
        <v>37</v>
      </c>
      <c r="E421" s="10" t="s">
        <v>0</v>
      </c>
      <c r="F421" s="11">
        <v>33694</v>
      </c>
      <c r="G421" s="12">
        <v>45597</v>
      </c>
      <c r="H421" s="13" t="s">
        <v>1</v>
      </c>
      <c r="I421" s="8" t="s">
        <v>2</v>
      </c>
      <c r="J421" s="14"/>
      <c r="K421" s="17" t="s">
        <v>242</v>
      </c>
      <c r="L421" t="s">
        <v>184</v>
      </c>
      <c r="M421" t="s">
        <v>15</v>
      </c>
      <c r="N421" t="str">
        <f t="shared" si="102"/>
        <v>https://api.bcb.gov.br/dados/serie/bcdata.sgs.10709/dados?formato=json</v>
      </c>
      <c r="O421">
        <v>7</v>
      </c>
      <c r="P421" t="s">
        <v>19</v>
      </c>
      <c r="Q421" t="s">
        <v>19</v>
      </c>
      <c r="R421" t="str">
        <f t="shared" si="103"/>
        <v>Total</v>
      </c>
      <c r="S421" t="s">
        <v>37</v>
      </c>
    </row>
    <row r="422" spans="1:19" x14ac:dyDescent="0.25">
      <c r="A422" s="1"/>
      <c r="B422" s="1">
        <v>10710</v>
      </c>
      <c r="C422" s="2" t="s">
        <v>243</v>
      </c>
      <c r="D422" s="1" t="s">
        <v>37</v>
      </c>
      <c r="E422" s="3" t="s">
        <v>0</v>
      </c>
      <c r="F422" s="4">
        <v>34546</v>
      </c>
      <c r="G422" s="5">
        <v>45597</v>
      </c>
      <c r="H422" s="6" t="s">
        <v>124</v>
      </c>
      <c r="I422" s="1" t="s">
        <v>2</v>
      </c>
      <c r="J422" s="7"/>
      <c r="K422" s="17" t="s">
        <v>244</v>
      </c>
      <c r="L422" t="s">
        <v>184</v>
      </c>
      <c r="M422" t="s">
        <v>15</v>
      </c>
      <c r="N422" t="str">
        <f t="shared" ref="N422:N425" si="104">_xlfn.CONCAT("https://api.bcb.gov.br/dados/serie/bcdata.sgs.",B422,"/dados?formato=json")</f>
        <v>https://api.bcb.gov.br/dados/serie/bcdata.sgs.10710/dados?formato=json</v>
      </c>
      <c r="O422">
        <v>7</v>
      </c>
      <c r="P422" t="s">
        <v>19</v>
      </c>
      <c r="Q422" t="s">
        <v>19</v>
      </c>
      <c r="R422" t="str">
        <f t="shared" ref="R422:R425" si="105">C422</f>
        <v>NTN-T</v>
      </c>
      <c r="S422" t="s">
        <v>37</v>
      </c>
    </row>
    <row r="423" spans="1:19" x14ac:dyDescent="0.25">
      <c r="A423" s="8"/>
      <c r="B423" s="8">
        <v>10711</v>
      </c>
      <c r="C423" s="9" t="s">
        <v>217</v>
      </c>
      <c r="D423" s="1" t="s">
        <v>37</v>
      </c>
      <c r="E423" s="10" t="s">
        <v>0</v>
      </c>
      <c r="F423" s="11">
        <v>36646</v>
      </c>
      <c r="G423" s="12">
        <v>45597</v>
      </c>
      <c r="H423" s="13" t="s">
        <v>185</v>
      </c>
      <c r="I423" s="8" t="s">
        <v>2</v>
      </c>
      <c r="J423" s="14"/>
      <c r="K423" s="17" t="s">
        <v>244</v>
      </c>
      <c r="L423" t="s">
        <v>184</v>
      </c>
      <c r="M423" t="s">
        <v>15</v>
      </c>
      <c r="N423" t="str">
        <f t="shared" si="104"/>
        <v>https://api.bcb.gov.br/dados/serie/bcdata.sgs.10711/dados?formato=json</v>
      </c>
      <c r="O423">
        <v>7</v>
      </c>
      <c r="P423" t="s">
        <v>19</v>
      </c>
      <c r="Q423" t="s">
        <v>19</v>
      </c>
      <c r="R423" t="str">
        <f t="shared" si="105"/>
        <v>Título indexado a TJLP - Crédito securitizado</v>
      </c>
      <c r="S423" t="s">
        <v>37</v>
      </c>
    </row>
    <row r="424" spans="1:19" x14ac:dyDescent="0.25">
      <c r="A424" s="1"/>
      <c r="B424" s="1">
        <v>10712</v>
      </c>
      <c r="C424" s="2" t="s">
        <v>218</v>
      </c>
      <c r="D424" s="1" t="s">
        <v>37</v>
      </c>
      <c r="E424" s="3" t="s">
        <v>0</v>
      </c>
      <c r="F424" s="4">
        <v>36038</v>
      </c>
      <c r="G424" s="5">
        <v>45597</v>
      </c>
      <c r="H424" s="6" t="s">
        <v>124</v>
      </c>
      <c r="I424" s="1" t="s">
        <v>2</v>
      </c>
      <c r="J424" s="7"/>
      <c r="K424" s="17" t="s">
        <v>244</v>
      </c>
      <c r="L424" t="s">
        <v>184</v>
      </c>
      <c r="M424" t="s">
        <v>15</v>
      </c>
      <c r="N424" t="str">
        <f t="shared" si="104"/>
        <v>https://api.bcb.gov.br/dados/serie/bcdata.sgs.10712/dados?formato=json</v>
      </c>
      <c r="O424">
        <v>7</v>
      </c>
      <c r="P424" t="s">
        <v>19</v>
      </c>
      <c r="Q424" t="s">
        <v>19</v>
      </c>
      <c r="R424" t="str">
        <f t="shared" si="105"/>
        <v>Título indexado a TJLP - NTN-U</v>
      </c>
      <c r="S424" t="s">
        <v>37</v>
      </c>
    </row>
    <row r="425" spans="1:19" x14ac:dyDescent="0.25">
      <c r="A425" s="8"/>
      <c r="B425" s="8">
        <v>10713</v>
      </c>
      <c r="C425" s="9" t="s">
        <v>186</v>
      </c>
      <c r="D425" s="1" t="s">
        <v>37</v>
      </c>
      <c r="E425" s="10" t="s">
        <v>0</v>
      </c>
      <c r="F425" s="11">
        <v>34546</v>
      </c>
      <c r="G425" s="12">
        <v>45597</v>
      </c>
      <c r="H425" s="13" t="s">
        <v>1</v>
      </c>
      <c r="I425" s="8" t="s">
        <v>2</v>
      </c>
      <c r="J425" s="14"/>
      <c r="K425" s="17" t="s">
        <v>244</v>
      </c>
      <c r="L425" t="s">
        <v>184</v>
      </c>
      <c r="M425" t="s">
        <v>15</v>
      </c>
      <c r="N425" t="str">
        <f t="shared" si="104"/>
        <v>https://api.bcb.gov.br/dados/serie/bcdata.sgs.10713/dados?formato=json</v>
      </c>
      <c r="O425">
        <v>7</v>
      </c>
      <c r="P425" t="s">
        <v>19</v>
      </c>
      <c r="Q425" t="s">
        <v>19</v>
      </c>
      <c r="R425" t="str">
        <f t="shared" si="105"/>
        <v>Total</v>
      </c>
      <c r="S425" t="s">
        <v>37</v>
      </c>
    </row>
    <row r="426" spans="1:19" x14ac:dyDescent="0.25">
      <c r="A426" s="1"/>
      <c r="B426" s="1">
        <v>10714</v>
      </c>
      <c r="C426" s="2" t="s">
        <v>220</v>
      </c>
      <c r="D426" s="1" t="s">
        <v>37</v>
      </c>
      <c r="E426" s="3" t="s">
        <v>0</v>
      </c>
      <c r="F426" s="4">
        <v>33481</v>
      </c>
      <c r="G426" s="5">
        <v>45597</v>
      </c>
      <c r="H426" s="6" t="s">
        <v>124</v>
      </c>
      <c r="I426" s="1" t="s">
        <v>2</v>
      </c>
      <c r="J426" s="7"/>
      <c r="K426" s="17" t="s">
        <v>246</v>
      </c>
      <c r="L426" t="s">
        <v>184</v>
      </c>
      <c r="M426" t="s">
        <v>15</v>
      </c>
      <c r="N426" t="str">
        <f t="shared" ref="N426:N437" si="106">_xlfn.CONCAT("https://api.bcb.gov.br/dados/serie/bcdata.sgs.",B426,"/dados?formato=json")</f>
        <v>https://api.bcb.gov.br/dados/serie/bcdata.sgs.10714/dados?formato=json</v>
      </c>
      <c r="O426">
        <v>7</v>
      </c>
      <c r="P426" t="s">
        <v>19</v>
      </c>
      <c r="Q426" t="s">
        <v>19</v>
      </c>
      <c r="R426" t="str">
        <f t="shared" ref="R426:R437" si="107">C426</f>
        <v>Título indexado ao câmbio - NBCE</v>
      </c>
      <c r="S426" t="s">
        <v>37</v>
      </c>
    </row>
    <row r="427" spans="1:19" x14ac:dyDescent="0.25">
      <c r="A427" s="8"/>
      <c r="B427" s="8">
        <v>10715</v>
      </c>
      <c r="C427" s="9" t="s">
        <v>221</v>
      </c>
      <c r="D427" s="1" t="s">
        <v>37</v>
      </c>
      <c r="E427" s="10" t="s">
        <v>0</v>
      </c>
      <c r="F427" s="11">
        <v>36068</v>
      </c>
      <c r="G427" s="12">
        <v>45597</v>
      </c>
      <c r="H427" s="13" t="s">
        <v>124</v>
      </c>
      <c r="I427" s="8" t="s">
        <v>2</v>
      </c>
      <c r="J427" s="14"/>
      <c r="K427" s="17" t="s">
        <v>246</v>
      </c>
      <c r="L427" t="s">
        <v>184</v>
      </c>
      <c r="M427" t="s">
        <v>15</v>
      </c>
      <c r="N427" t="str">
        <f t="shared" si="106"/>
        <v>https://api.bcb.gov.br/dados/serie/bcdata.sgs.10715/dados?formato=json</v>
      </c>
      <c r="O427">
        <v>7</v>
      </c>
      <c r="P427" t="s">
        <v>19</v>
      </c>
      <c r="Q427" t="s">
        <v>19</v>
      </c>
      <c r="R427" t="str">
        <f t="shared" si="107"/>
        <v>Título indexado ao câmbio - NBCF</v>
      </c>
      <c r="S427" t="s">
        <v>37</v>
      </c>
    </row>
    <row r="428" spans="1:19" x14ac:dyDescent="0.25">
      <c r="A428" s="1"/>
      <c r="B428" s="1">
        <v>10716</v>
      </c>
      <c r="C428" s="2" t="s">
        <v>245</v>
      </c>
      <c r="D428" s="1" t="s">
        <v>37</v>
      </c>
      <c r="E428" s="3" t="s">
        <v>0</v>
      </c>
      <c r="F428" s="4">
        <v>36160</v>
      </c>
      <c r="G428" s="5">
        <v>45597</v>
      </c>
      <c r="H428" s="6" t="s">
        <v>124</v>
      </c>
      <c r="I428" s="1" t="s">
        <v>2</v>
      </c>
      <c r="J428" s="7"/>
      <c r="K428" s="17" t="s">
        <v>246</v>
      </c>
      <c r="L428" t="s">
        <v>184</v>
      </c>
      <c r="M428" t="s">
        <v>15</v>
      </c>
      <c r="N428" t="str">
        <f t="shared" si="106"/>
        <v>https://api.bcb.gov.br/dados/serie/bcdata.sgs.10716/dados?formato=json</v>
      </c>
      <c r="O428">
        <v>7</v>
      </c>
      <c r="P428" t="s">
        <v>19</v>
      </c>
      <c r="Q428" t="s">
        <v>19</v>
      </c>
      <c r="R428" t="str">
        <f t="shared" si="107"/>
        <v>Título indexado ao câmbio - NBCA</v>
      </c>
      <c r="S428" t="s">
        <v>37</v>
      </c>
    </row>
    <row r="429" spans="1:19" x14ac:dyDescent="0.25">
      <c r="A429" s="8"/>
      <c r="B429" s="8">
        <v>10717</v>
      </c>
      <c r="C429" s="9" t="s">
        <v>222</v>
      </c>
      <c r="D429" s="1" t="s">
        <v>37</v>
      </c>
      <c r="E429" s="10" t="s">
        <v>0</v>
      </c>
      <c r="F429" s="11">
        <v>33269</v>
      </c>
      <c r="G429" s="12">
        <v>45597</v>
      </c>
      <c r="H429" s="13" t="s">
        <v>124</v>
      </c>
      <c r="I429" s="8" t="s">
        <v>2</v>
      </c>
      <c r="J429" s="14"/>
      <c r="K429" s="17" t="s">
        <v>246</v>
      </c>
      <c r="L429" t="s">
        <v>184</v>
      </c>
      <c r="M429" t="s">
        <v>15</v>
      </c>
      <c r="N429" t="str">
        <f t="shared" si="106"/>
        <v>https://api.bcb.gov.br/dados/serie/bcdata.sgs.10717/dados?formato=json</v>
      </c>
      <c r="O429">
        <v>7</v>
      </c>
      <c r="P429" t="s">
        <v>19</v>
      </c>
      <c r="Q429" t="s">
        <v>19</v>
      </c>
      <c r="R429" t="str">
        <f t="shared" si="107"/>
        <v>Título indexado ao câmbio - BTN-BIB</v>
      </c>
      <c r="S429" t="s">
        <v>37</v>
      </c>
    </row>
    <row r="430" spans="1:19" x14ac:dyDescent="0.25">
      <c r="A430" s="1"/>
      <c r="B430" s="1">
        <v>10718</v>
      </c>
      <c r="C430" s="2" t="s">
        <v>223</v>
      </c>
      <c r="D430" s="1" t="s">
        <v>37</v>
      </c>
      <c r="E430" s="3" t="s">
        <v>0</v>
      </c>
      <c r="F430" s="4">
        <v>36099</v>
      </c>
      <c r="G430" s="5">
        <v>45597</v>
      </c>
      <c r="H430" s="6" t="s">
        <v>185</v>
      </c>
      <c r="I430" s="1" t="s">
        <v>2</v>
      </c>
      <c r="J430" s="7"/>
      <c r="K430" s="17" t="s">
        <v>246</v>
      </c>
      <c r="L430" t="s">
        <v>184</v>
      </c>
      <c r="M430" t="s">
        <v>15</v>
      </c>
      <c r="N430" t="str">
        <f t="shared" si="106"/>
        <v>https://api.bcb.gov.br/dados/serie/bcdata.sgs.10718/dados?formato=json</v>
      </c>
      <c r="O430">
        <v>7</v>
      </c>
      <c r="P430" t="s">
        <v>19</v>
      </c>
      <c r="Q430" t="s">
        <v>19</v>
      </c>
      <c r="R430" t="str">
        <f t="shared" si="107"/>
        <v>Título indexado ao câmbio - CFT-D</v>
      </c>
      <c r="S430" t="s">
        <v>37</v>
      </c>
    </row>
    <row r="431" spans="1:19" x14ac:dyDescent="0.25">
      <c r="A431" s="8"/>
      <c r="B431" s="8">
        <v>10719</v>
      </c>
      <c r="C431" s="9" t="s">
        <v>224</v>
      </c>
      <c r="D431" s="1" t="s">
        <v>37</v>
      </c>
      <c r="E431" s="10" t="s">
        <v>0</v>
      </c>
      <c r="F431" s="11">
        <v>35795</v>
      </c>
      <c r="G431" s="12">
        <v>45597</v>
      </c>
      <c r="H431" s="13" t="s">
        <v>124</v>
      </c>
      <c r="I431" s="8" t="s">
        <v>2</v>
      </c>
      <c r="J431" s="14"/>
      <c r="K431" s="17" t="s">
        <v>246</v>
      </c>
      <c r="L431" t="s">
        <v>184</v>
      </c>
      <c r="M431" t="s">
        <v>15</v>
      </c>
      <c r="N431" t="str">
        <f t="shared" si="106"/>
        <v>https://api.bcb.gov.br/dados/serie/bcdata.sgs.10719/dados?formato=json</v>
      </c>
      <c r="O431">
        <v>7</v>
      </c>
      <c r="P431" t="s">
        <v>19</v>
      </c>
      <c r="Q431" t="s">
        <v>19</v>
      </c>
      <c r="R431" t="str">
        <f t="shared" si="107"/>
        <v>Título indexado ao câmbio - NTN-A</v>
      </c>
      <c r="S431" t="s">
        <v>37</v>
      </c>
    </row>
    <row r="432" spans="1:19" x14ac:dyDescent="0.25">
      <c r="A432" s="1"/>
      <c r="B432" s="1">
        <v>10720</v>
      </c>
      <c r="C432" s="2" t="s">
        <v>225</v>
      </c>
      <c r="D432" s="1" t="s">
        <v>37</v>
      </c>
      <c r="E432" s="3" t="s">
        <v>0</v>
      </c>
      <c r="F432" s="4">
        <v>33603</v>
      </c>
      <c r="G432" s="5">
        <v>45597</v>
      </c>
      <c r="H432" s="6" t="s">
        <v>124</v>
      </c>
      <c r="I432" s="1" t="s">
        <v>2</v>
      </c>
      <c r="J432" s="7"/>
      <c r="K432" s="17" t="s">
        <v>246</v>
      </c>
      <c r="L432" t="s">
        <v>184</v>
      </c>
      <c r="M432" t="s">
        <v>15</v>
      </c>
      <c r="N432" t="str">
        <f t="shared" si="106"/>
        <v>https://api.bcb.gov.br/dados/serie/bcdata.sgs.10720/dados?formato=json</v>
      </c>
      <c r="O432">
        <v>7</v>
      </c>
      <c r="P432" t="s">
        <v>19</v>
      </c>
      <c r="Q432" t="s">
        <v>19</v>
      </c>
      <c r="R432" t="str">
        <f t="shared" si="107"/>
        <v>Título indexado ao câmbio - NTN-D</v>
      </c>
      <c r="S432" t="s">
        <v>37</v>
      </c>
    </row>
    <row r="433" spans="1:19" x14ac:dyDescent="0.25">
      <c r="A433" s="8"/>
      <c r="B433" s="8">
        <v>10721</v>
      </c>
      <c r="C433" s="9" t="s">
        <v>226</v>
      </c>
      <c r="D433" s="1" t="s">
        <v>37</v>
      </c>
      <c r="E433" s="10" t="s">
        <v>0</v>
      </c>
      <c r="F433" s="11">
        <v>34546</v>
      </c>
      <c r="G433" s="12">
        <v>45597</v>
      </c>
      <c r="H433" s="13" t="s">
        <v>124</v>
      </c>
      <c r="I433" s="8" t="s">
        <v>2</v>
      </c>
      <c r="J433" s="14"/>
      <c r="K433" s="17" t="s">
        <v>246</v>
      </c>
      <c r="L433" t="s">
        <v>184</v>
      </c>
      <c r="M433" t="s">
        <v>15</v>
      </c>
      <c r="N433" t="str">
        <f t="shared" si="106"/>
        <v>https://api.bcb.gov.br/dados/serie/bcdata.sgs.10721/dados?formato=json</v>
      </c>
      <c r="O433">
        <v>7</v>
      </c>
      <c r="P433" t="s">
        <v>19</v>
      </c>
      <c r="Q433" t="s">
        <v>19</v>
      </c>
      <c r="R433" t="str">
        <f t="shared" si="107"/>
        <v>Título indexado ao câmbio - NTN-I</v>
      </c>
      <c r="S433" t="s">
        <v>37</v>
      </c>
    </row>
    <row r="434" spans="1:19" x14ac:dyDescent="0.25">
      <c r="A434" s="1"/>
      <c r="B434" s="1">
        <v>10722</v>
      </c>
      <c r="C434" s="2" t="s">
        <v>227</v>
      </c>
      <c r="D434" s="1" t="s">
        <v>37</v>
      </c>
      <c r="E434" s="3" t="s">
        <v>0</v>
      </c>
      <c r="F434" s="4">
        <v>34454</v>
      </c>
      <c r="G434" s="5">
        <v>45597</v>
      </c>
      <c r="H434" s="6" t="s">
        <v>124</v>
      </c>
      <c r="I434" s="1" t="s">
        <v>2</v>
      </c>
      <c r="J434" s="7"/>
      <c r="K434" s="17" t="s">
        <v>246</v>
      </c>
      <c r="L434" t="s">
        <v>184</v>
      </c>
      <c r="M434" t="s">
        <v>15</v>
      </c>
      <c r="N434" t="str">
        <f t="shared" si="106"/>
        <v>https://api.bcb.gov.br/dados/serie/bcdata.sgs.10722/dados?formato=json</v>
      </c>
      <c r="O434">
        <v>7</v>
      </c>
      <c r="P434" t="s">
        <v>19</v>
      </c>
      <c r="Q434" t="s">
        <v>19</v>
      </c>
      <c r="R434" t="str">
        <f t="shared" si="107"/>
        <v>Título indexado ao câmbio - NTN-M</v>
      </c>
      <c r="S434" t="s">
        <v>37</v>
      </c>
    </row>
    <row r="435" spans="1:19" x14ac:dyDescent="0.25">
      <c r="A435" s="8"/>
      <c r="B435" s="8">
        <v>10723</v>
      </c>
      <c r="C435" s="9" t="s">
        <v>228</v>
      </c>
      <c r="D435" s="1" t="s">
        <v>37</v>
      </c>
      <c r="E435" s="10" t="s">
        <v>0</v>
      </c>
      <c r="F435" s="11">
        <v>36646</v>
      </c>
      <c r="G435" s="12">
        <v>45597</v>
      </c>
      <c r="H435" s="13" t="s">
        <v>185</v>
      </c>
      <c r="I435" s="8" t="s">
        <v>2</v>
      </c>
      <c r="J435" s="14"/>
      <c r="K435" s="17" t="s">
        <v>246</v>
      </c>
      <c r="L435" t="s">
        <v>184</v>
      </c>
      <c r="M435" t="s">
        <v>15</v>
      </c>
      <c r="N435" t="str">
        <f t="shared" si="106"/>
        <v>https://api.bcb.gov.br/dados/serie/bcdata.sgs.10723/dados?formato=json</v>
      </c>
      <c r="O435">
        <v>7</v>
      </c>
      <c r="P435" t="s">
        <v>19</v>
      </c>
      <c r="Q435" t="s">
        <v>19</v>
      </c>
      <c r="R435" t="str">
        <f t="shared" si="107"/>
        <v>Título indexado ao câmbio - Crédito securitizado</v>
      </c>
      <c r="S435" t="s">
        <v>37</v>
      </c>
    </row>
    <row r="436" spans="1:19" x14ac:dyDescent="0.25">
      <c r="A436" s="1"/>
      <c r="B436" s="1">
        <v>10724</v>
      </c>
      <c r="C436" s="2" t="s">
        <v>229</v>
      </c>
      <c r="D436" s="1" t="s">
        <v>37</v>
      </c>
      <c r="E436" s="3" t="s">
        <v>0</v>
      </c>
      <c r="F436" s="4">
        <v>34393</v>
      </c>
      <c r="G436" s="5">
        <v>45597</v>
      </c>
      <c r="H436" s="6" t="s">
        <v>124</v>
      </c>
      <c r="I436" s="1" t="s">
        <v>2</v>
      </c>
      <c r="J436" s="7"/>
      <c r="K436" s="17" t="s">
        <v>246</v>
      </c>
      <c r="L436" t="s">
        <v>184</v>
      </c>
      <c r="M436" t="s">
        <v>15</v>
      </c>
      <c r="N436" t="str">
        <f t="shared" si="106"/>
        <v>https://api.bcb.gov.br/dados/serie/bcdata.sgs.10724/dados?formato=json</v>
      </c>
      <c r="O436">
        <v>7</v>
      </c>
      <c r="P436" t="s">
        <v>19</v>
      </c>
      <c r="Q436" t="s">
        <v>19</v>
      </c>
      <c r="R436" t="str">
        <f t="shared" si="107"/>
        <v>Título indexado ao câmbio - NTN-R</v>
      </c>
      <c r="S436" t="s">
        <v>37</v>
      </c>
    </row>
    <row r="437" spans="1:19" x14ac:dyDescent="0.25">
      <c r="A437" s="8"/>
      <c r="B437" s="8">
        <v>10725</v>
      </c>
      <c r="C437" s="9" t="s">
        <v>186</v>
      </c>
      <c r="D437" s="1" t="s">
        <v>37</v>
      </c>
      <c r="E437" s="10" t="s">
        <v>0</v>
      </c>
      <c r="F437" s="11">
        <v>33269</v>
      </c>
      <c r="G437" s="12">
        <v>45597</v>
      </c>
      <c r="H437" s="13" t="s">
        <v>1</v>
      </c>
      <c r="I437" s="8" t="s">
        <v>2</v>
      </c>
      <c r="J437" s="14"/>
      <c r="K437" s="17" t="s">
        <v>246</v>
      </c>
      <c r="L437" t="s">
        <v>184</v>
      </c>
      <c r="M437" t="s">
        <v>15</v>
      </c>
      <c r="N437" t="str">
        <f t="shared" si="106"/>
        <v>https://api.bcb.gov.br/dados/serie/bcdata.sgs.10725/dados?formato=json</v>
      </c>
      <c r="O437">
        <v>7</v>
      </c>
      <c r="P437" t="s">
        <v>19</v>
      </c>
      <c r="Q437" t="s">
        <v>19</v>
      </c>
      <c r="R437" t="str">
        <f t="shared" si="107"/>
        <v>Total</v>
      </c>
      <c r="S437" t="s">
        <v>37</v>
      </c>
    </row>
    <row r="438" spans="1:19" x14ac:dyDescent="0.25">
      <c r="A438" s="18"/>
      <c r="B438" s="18">
        <v>10726</v>
      </c>
      <c r="C438" s="19" t="s">
        <v>247</v>
      </c>
      <c r="D438" s="1" t="s">
        <v>37</v>
      </c>
      <c r="E438" s="20" t="s">
        <v>0</v>
      </c>
      <c r="F438" s="21">
        <v>36160</v>
      </c>
      <c r="G438" s="22">
        <v>45597</v>
      </c>
      <c r="H438" s="23" t="s">
        <v>1</v>
      </c>
      <c r="I438" s="18" t="s">
        <v>2</v>
      </c>
      <c r="J438" s="24"/>
      <c r="K438" s="17" t="s">
        <v>248</v>
      </c>
      <c r="L438" t="s">
        <v>184</v>
      </c>
      <c r="M438" t="s">
        <v>15</v>
      </c>
      <c r="N438" t="str">
        <f t="shared" ref="N438" si="108">_xlfn.CONCAT("https://api.bcb.gov.br/dados/serie/bcdata.sgs.",B438,"/dados?formato=json")</f>
        <v>https://api.bcb.gov.br/dados/serie/bcdata.sgs.10726/dados?formato=json</v>
      </c>
      <c r="O438">
        <v>7</v>
      </c>
      <c r="P438" t="s">
        <v>19</v>
      </c>
      <c r="Q438" t="s">
        <v>19</v>
      </c>
      <c r="R438" t="str">
        <f t="shared" ref="R438" si="109">C438</f>
        <v>Outros indexadores</v>
      </c>
      <c r="S438" t="s">
        <v>37</v>
      </c>
    </row>
    <row r="439" spans="1:19" x14ac:dyDescent="0.25">
      <c r="A439" s="1"/>
      <c r="B439" s="1">
        <v>10727</v>
      </c>
      <c r="C439" s="2" t="s">
        <v>249</v>
      </c>
      <c r="D439" s="1" t="s">
        <v>37</v>
      </c>
      <c r="E439" s="3" t="s">
        <v>0</v>
      </c>
      <c r="F439" s="4">
        <v>36922</v>
      </c>
      <c r="G439" s="5">
        <v>45597</v>
      </c>
      <c r="H439" s="6" t="s">
        <v>1</v>
      </c>
      <c r="I439" s="1" t="s">
        <v>2</v>
      </c>
      <c r="J439" s="7"/>
      <c r="K439" s="17" t="s">
        <v>256</v>
      </c>
      <c r="L439" t="s">
        <v>184</v>
      </c>
      <c r="M439" t="s">
        <v>15</v>
      </c>
      <c r="N439" t="str">
        <f t="shared" ref="N439:N444" si="110">_xlfn.CONCAT("https://api.bcb.gov.br/dados/serie/bcdata.sgs.",B439,"/dados?formato=json")</f>
        <v>https://api.bcb.gov.br/dados/serie/bcdata.sgs.10727/dados?formato=json</v>
      </c>
      <c r="O439">
        <v>7</v>
      </c>
      <c r="P439" t="s">
        <v>19</v>
      </c>
      <c r="Q439" t="s">
        <v>19</v>
      </c>
      <c r="R439" t="str">
        <f t="shared" ref="R439:R444" si="111">C439</f>
        <v>Títulos do Tesouro Nacional (valor)</v>
      </c>
      <c r="S439" t="s">
        <v>37</v>
      </c>
    </row>
    <row r="440" spans="1:19" x14ac:dyDescent="0.25">
      <c r="A440" s="8"/>
      <c r="B440" s="8">
        <v>10728</v>
      </c>
      <c r="C440" s="9" t="s">
        <v>250</v>
      </c>
      <c r="D440" s="8" t="s">
        <v>251</v>
      </c>
      <c r="E440" s="10" t="s">
        <v>0</v>
      </c>
      <c r="F440" s="11">
        <v>36922</v>
      </c>
      <c r="G440" s="12">
        <v>45597</v>
      </c>
      <c r="H440" s="13" t="s">
        <v>1</v>
      </c>
      <c r="I440" s="8" t="s">
        <v>2</v>
      </c>
      <c r="J440" s="14"/>
      <c r="K440" s="17" t="s">
        <v>256</v>
      </c>
      <c r="L440" t="s">
        <v>184</v>
      </c>
      <c r="M440" t="s">
        <v>15</v>
      </c>
      <c r="N440" t="str">
        <f t="shared" si="110"/>
        <v>https://api.bcb.gov.br/dados/serie/bcdata.sgs.10728/dados?formato=json</v>
      </c>
      <c r="O440">
        <v>7</v>
      </c>
      <c r="P440" t="s">
        <v>19</v>
      </c>
      <c r="Q440" t="s">
        <v>19</v>
      </c>
      <c r="R440" t="str">
        <f t="shared" si="111"/>
        <v>Títulos do Tesouro Nacional (taxa)</v>
      </c>
      <c r="S440" s="33" t="s">
        <v>251</v>
      </c>
    </row>
    <row r="441" spans="1:19" x14ac:dyDescent="0.25">
      <c r="A441" s="1"/>
      <c r="B441" s="1">
        <v>10731</v>
      </c>
      <c r="C441" s="2" t="s">
        <v>252</v>
      </c>
      <c r="D441" s="1" t="s">
        <v>37</v>
      </c>
      <c r="E441" s="3" t="s">
        <v>0</v>
      </c>
      <c r="F441" s="4">
        <v>36922</v>
      </c>
      <c r="G441" s="5">
        <v>45597</v>
      </c>
      <c r="H441" s="6" t="s">
        <v>1</v>
      </c>
      <c r="I441" s="1" t="s">
        <v>2</v>
      </c>
      <c r="J441" s="7"/>
      <c r="K441" s="17" t="s">
        <v>256</v>
      </c>
      <c r="L441" t="s">
        <v>184</v>
      </c>
      <c r="M441" t="s">
        <v>15</v>
      </c>
      <c r="N441" t="str">
        <f t="shared" si="110"/>
        <v>https://api.bcb.gov.br/dados/serie/bcdata.sgs.10731/dados?formato=json</v>
      </c>
      <c r="O441">
        <v>7</v>
      </c>
      <c r="P441" t="s">
        <v>19</v>
      </c>
      <c r="Q441" t="s">
        <v>19</v>
      </c>
      <c r="R441" t="str">
        <f t="shared" si="111"/>
        <v>Depósitos compulsórios remunerados (valor)</v>
      </c>
      <c r="S441" t="s">
        <v>37</v>
      </c>
    </row>
    <row r="442" spans="1:19" x14ac:dyDescent="0.25">
      <c r="A442" s="8"/>
      <c r="B442" s="8">
        <v>10732</v>
      </c>
      <c r="C442" s="9" t="s">
        <v>253</v>
      </c>
      <c r="D442" s="8" t="s">
        <v>251</v>
      </c>
      <c r="E442" s="10" t="s">
        <v>0</v>
      </c>
      <c r="F442" s="11">
        <v>36922</v>
      </c>
      <c r="G442" s="12">
        <v>45597</v>
      </c>
      <c r="H442" s="13" t="s">
        <v>1</v>
      </c>
      <c r="I442" s="8" t="s">
        <v>2</v>
      </c>
      <c r="J442" s="14"/>
      <c r="K442" s="17" t="s">
        <v>256</v>
      </c>
      <c r="L442" t="s">
        <v>184</v>
      </c>
      <c r="M442" t="s">
        <v>15</v>
      </c>
      <c r="N442" t="str">
        <f t="shared" si="110"/>
        <v>https://api.bcb.gov.br/dados/serie/bcdata.sgs.10732/dados?formato=json</v>
      </c>
      <c r="O442">
        <v>7</v>
      </c>
      <c r="P442" t="s">
        <v>19</v>
      </c>
      <c r="Q442" t="s">
        <v>19</v>
      </c>
      <c r="R442" t="str">
        <f t="shared" si="111"/>
        <v>Depósitos compulsórios remunerados (taxa)</v>
      </c>
      <c r="S442" s="33" t="s">
        <v>251</v>
      </c>
    </row>
    <row r="443" spans="1:19" x14ac:dyDescent="0.25">
      <c r="A443" s="1"/>
      <c r="B443" s="1">
        <v>10733</v>
      </c>
      <c r="C443" s="2" t="s">
        <v>254</v>
      </c>
      <c r="D443" s="1" t="s">
        <v>37</v>
      </c>
      <c r="E443" s="3" t="s">
        <v>0</v>
      </c>
      <c r="F443" s="4">
        <v>36922</v>
      </c>
      <c r="G443" s="5">
        <v>45597</v>
      </c>
      <c r="H443" s="6" t="s">
        <v>1</v>
      </c>
      <c r="I443" s="1" t="s">
        <v>2</v>
      </c>
      <c r="J443" s="7"/>
      <c r="K443" s="17" t="s">
        <v>256</v>
      </c>
      <c r="L443" t="s">
        <v>184</v>
      </c>
      <c r="M443" t="s">
        <v>15</v>
      </c>
      <c r="N443" t="str">
        <f t="shared" si="110"/>
        <v>https://api.bcb.gov.br/dados/serie/bcdata.sgs.10733/dados?formato=json</v>
      </c>
      <c r="O443">
        <v>7</v>
      </c>
      <c r="P443" t="s">
        <v>19</v>
      </c>
      <c r="Q443" t="s">
        <v>19</v>
      </c>
      <c r="R443" t="str">
        <f t="shared" si="111"/>
        <v>Total (valor)</v>
      </c>
      <c r="S443" t="s">
        <v>37</v>
      </c>
    </row>
    <row r="444" spans="1:19" x14ac:dyDescent="0.25">
      <c r="A444" s="8"/>
      <c r="B444" s="8">
        <v>10734</v>
      </c>
      <c r="C444" s="9" t="s">
        <v>255</v>
      </c>
      <c r="D444" s="8" t="s">
        <v>251</v>
      </c>
      <c r="E444" s="10" t="s">
        <v>0</v>
      </c>
      <c r="F444" s="11">
        <v>36922</v>
      </c>
      <c r="G444" s="12">
        <v>45597</v>
      </c>
      <c r="H444" s="13" t="s">
        <v>1</v>
      </c>
      <c r="I444" s="8" t="s">
        <v>2</v>
      </c>
      <c r="J444" s="14"/>
      <c r="K444" s="17" t="s">
        <v>256</v>
      </c>
      <c r="L444" t="s">
        <v>184</v>
      </c>
      <c r="M444" t="s">
        <v>15</v>
      </c>
      <c r="N444" t="str">
        <f t="shared" si="110"/>
        <v>https://api.bcb.gov.br/dados/serie/bcdata.sgs.10734/dados?formato=json</v>
      </c>
      <c r="O444">
        <v>7</v>
      </c>
      <c r="P444" t="s">
        <v>19</v>
      </c>
      <c r="Q444" t="s">
        <v>19</v>
      </c>
      <c r="R444" t="str">
        <f t="shared" si="111"/>
        <v>Total (taxa)</v>
      </c>
      <c r="S444" s="33" t="s">
        <v>251</v>
      </c>
    </row>
    <row r="445" spans="1:19" x14ac:dyDescent="0.25">
      <c r="A445" s="1"/>
      <c r="B445" s="1">
        <v>10735</v>
      </c>
      <c r="C445" s="2" t="s">
        <v>257</v>
      </c>
      <c r="D445" s="1" t="s">
        <v>258</v>
      </c>
      <c r="E445" s="3" t="s">
        <v>0</v>
      </c>
      <c r="F445" s="4">
        <v>34546</v>
      </c>
      <c r="G445" s="5">
        <v>45597</v>
      </c>
      <c r="H445" s="6" t="s">
        <v>1</v>
      </c>
      <c r="I445" s="1" t="s">
        <v>2</v>
      </c>
      <c r="J445" s="7"/>
      <c r="K445" s="17" t="s">
        <v>260</v>
      </c>
      <c r="L445" t="s">
        <v>184</v>
      </c>
      <c r="M445" t="s">
        <v>15</v>
      </c>
      <c r="N445" t="str">
        <f t="shared" ref="N445:N446" si="112">_xlfn.CONCAT("https://api.bcb.gov.br/dados/serie/bcdata.sgs.",B445,"/dados?formato=json")</f>
        <v>https://api.bcb.gov.br/dados/serie/bcdata.sgs.10735/dados?formato=json</v>
      </c>
      <c r="O445">
        <v>7</v>
      </c>
      <c r="P445" t="s">
        <v>19</v>
      </c>
      <c r="Q445" t="s">
        <v>19</v>
      </c>
      <c r="R445" t="str">
        <f t="shared" ref="R445:R446" si="113">C445</f>
        <v>Títulos do Banco Central, compulsórios remunerados</v>
      </c>
      <c r="S445" s="33" t="s">
        <v>258</v>
      </c>
    </row>
    <row r="446" spans="1:19" x14ac:dyDescent="0.25">
      <c r="A446" s="8"/>
      <c r="B446" s="8">
        <v>10736</v>
      </c>
      <c r="C446" s="9" t="s">
        <v>259</v>
      </c>
      <c r="D446" s="8" t="s">
        <v>258</v>
      </c>
      <c r="E446" s="10" t="s">
        <v>0</v>
      </c>
      <c r="F446" s="11">
        <v>34546</v>
      </c>
      <c r="G446" s="12">
        <v>45597</v>
      </c>
      <c r="H446" s="13" t="s">
        <v>1</v>
      </c>
      <c r="I446" s="8" t="s">
        <v>2</v>
      </c>
      <c r="J446" s="14"/>
      <c r="K446" s="17" t="s">
        <v>260</v>
      </c>
      <c r="L446" t="s">
        <v>184</v>
      </c>
      <c r="M446" t="s">
        <v>15</v>
      </c>
      <c r="N446" t="str">
        <f t="shared" si="112"/>
        <v>https://api.bcb.gov.br/dados/serie/bcdata.sgs.10736/dados?formato=json</v>
      </c>
      <c r="O446">
        <v>7</v>
      </c>
      <c r="P446" t="s">
        <v>19</v>
      </c>
      <c r="Q446" t="s">
        <v>19</v>
      </c>
      <c r="R446" t="str">
        <f t="shared" si="113"/>
        <v>Títulos do Banco Central, extramercado e compulsórios, exceto depósitos à vista</v>
      </c>
      <c r="S446" s="33" t="s">
        <v>258</v>
      </c>
    </row>
    <row r="447" spans="1:19" x14ac:dyDescent="0.25">
      <c r="A447" s="1"/>
      <c r="B447" s="1">
        <v>10737</v>
      </c>
      <c r="C447" s="2" t="s">
        <v>261</v>
      </c>
      <c r="D447" s="1" t="s">
        <v>258</v>
      </c>
      <c r="E447" s="3" t="s">
        <v>0</v>
      </c>
      <c r="F447" s="4">
        <v>34546</v>
      </c>
      <c r="G447" s="5">
        <v>45597</v>
      </c>
      <c r="H447" s="6" t="s">
        <v>1</v>
      </c>
      <c r="I447" s="1" t="s">
        <v>2</v>
      </c>
      <c r="J447" s="7"/>
      <c r="K447" s="17" t="s">
        <v>263</v>
      </c>
      <c r="L447" t="s">
        <v>184</v>
      </c>
      <c r="M447" t="s">
        <v>15</v>
      </c>
      <c r="N447" t="str">
        <f t="shared" ref="N447:N448" si="114">_xlfn.CONCAT("https://api.bcb.gov.br/dados/serie/bcdata.sgs.",B447,"/dados?formato=json")</f>
        <v>https://api.bcb.gov.br/dados/serie/bcdata.sgs.10737/dados?formato=json</v>
      </c>
      <c r="O447">
        <v>7</v>
      </c>
      <c r="P447" t="s">
        <v>19</v>
      </c>
      <c r="Q447" t="s">
        <v>19</v>
      </c>
      <c r="R447" t="str">
        <f t="shared" ref="R447:R448" si="115">C447</f>
        <v>Custo compulsórios remunerados e não remunerados</v>
      </c>
      <c r="S447" s="33" t="s">
        <v>258</v>
      </c>
    </row>
    <row r="448" spans="1:19" x14ac:dyDescent="0.25">
      <c r="A448" s="8"/>
      <c r="B448" s="8">
        <v>10738</v>
      </c>
      <c r="C448" s="9" t="s">
        <v>262</v>
      </c>
      <c r="D448" s="8" t="s">
        <v>258</v>
      </c>
      <c r="E448" s="10" t="s">
        <v>0</v>
      </c>
      <c r="F448" s="11">
        <v>34546</v>
      </c>
      <c r="G448" s="12">
        <v>45597</v>
      </c>
      <c r="H448" s="13" t="s">
        <v>1</v>
      </c>
      <c r="I448" s="8" t="s">
        <v>2</v>
      </c>
      <c r="J448" s="14"/>
      <c r="K448" s="17" t="s">
        <v>263</v>
      </c>
      <c r="L448" t="s">
        <v>184</v>
      </c>
      <c r="M448" t="s">
        <v>15</v>
      </c>
      <c r="N448" t="str">
        <f t="shared" si="114"/>
        <v>https://api.bcb.gov.br/dados/serie/bcdata.sgs.10738/dados?formato=json</v>
      </c>
      <c r="O448">
        <v>7</v>
      </c>
      <c r="P448" t="s">
        <v>19</v>
      </c>
      <c r="Q448" t="s">
        <v>19</v>
      </c>
      <c r="R448" t="str">
        <f t="shared" si="115"/>
        <v>Custo compulsórios remunerados e não remunerados mais reserva bancária</v>
      </c>
      <c r="S448" s="33" t="s">
        <v>258</v>
      </c>
    </row>
    <row r="449" spans="1:19" x14ac:dyDescent="0.25">
      <c r="A449" s="18"/>
      <c r="B449" s="18">
        <v>2247</v>
      </c>
      <c r="C449" s="19" t="s">
        <v>264</v>
      </c>
      <c r="D449" s="1" t="s">
        <v>37</v>
      </c>
      <c r="E449" s="20" t="s">
        <v>0</v>
      </c>
      <c r="F449" s="21">
        <v>33634</v>
      </c>
      <c r="G449" s="22">
        <v>45597</v>
      </c>
      <c r="H449" s="23" t="s">
        <v>1</v>
      </c>
      <c r="I449" s="18" t="s">
        <v>2</v>
      </c>
      <c r="J449" s="24"/>
      <c r="K449" s="17" t="s">
        <v>273</v>
      </c>
      <c r="L449" t="s">
        <v>184</v>
      </c>
      <c r="M449" t="s">
        <v>15</v>
      </c>
      <c r="N449" t="str">
        <f t="shared" ref="N449:N457" si="116">_xlfn.CONCAT("https://api.bcb.gov.br/dados/serie/bcdata.sgs.",B449,"/dados?formato=json")</f>
        <v>https://api.bcb.gov.br/dados/serie/bcdata.sgs.2247/dados?formato=json</v>
      </c>
      <c r="O449">
        <v>7</v>
      </c>
      <c r="P449" t="s">
        <v>19</v>
      </c>
      <c r="Q449" t="s">
        <v>19</v>
      </c>
      <c r="R449" t="str">
        <f t="shared" ref="R449:R457" si="117">C449</f>
        <v>Mercado primário - colocações</v>
      </c>
      <c r="S449" t="s">
        <v>37</v>
      </c>
    </row>
    <row r="450" spans="1:19" x14ac:dyDescent="0.25">
      <c r="A450" s="25"/>
      <c r="B450" s="25">
        <v>2248</v>
      </c>
      <c r="C450" s="26" t="s">
        <v>265</v>
      </c>
      <c r="D450" s="1" t="s">
        <v>37</v>
      </c>
      <c r="E450" s="27" t="s">
        <v>0</v>
      </c>
      <c r="F450" s="28">
        <v>33634</v>
      </c>
      <c r="G450" s="29">
        <v>45597</v>
      </c>
      <c r="H450" s="30" t="s">
        <v>1</v>
      </c>
      <c r="I450" s="25" t="s">
        <v>2</v>
      </c>
      <c r="J450" s="31"/>
      <c r="K450" s="17" t="s">
        <v>273</v>
      </c>
      <c r="L450" t="s">
        <v>184</v>
      </c>
      <c r="M450" t="s">
        <v>15</v>
      </c>
      <c r="N450" t="str">
        <f t="shared" si="116"/>
        <v>https://api.bcb.gov.br/dados/serie/bcdata.sgs.2248/dados?formato=json</v>
      </c>
      <c r="O450">
        <v>7</v>
      </c>
      <c r="P450" t="s">
        <v>19</v>
      </c>
      <c r="Q450" t="s">
        <v>19</v>
      </c>
      <c r="R450" t="str">
        <f t="shared" si="117"/>
        <v>Mercado primário - resgates</v>
      </c>
      <c r="S450" t="s">
        <v>37</v>
      </c>
    </row>
    <row r="451" spans="1:19" x14ac:dyDescent="0.25">
      <c r="A451" s="18"/>
      <c r="B451" s="18">
        <v>2249</v>
      </c>
      <c r="C451" s="19" t="s">
        <v>266</v>
      </c>
      <c r="D451" s="1" t="s">
        <v>37</v>
      </c>
      <c r="E451" s="20" t="s">
        <v>0</v>
      </c>
      <c r="F451" s="21">
        <v>33634</v>
      </c>
      <c r="G451" s="22">
        <v>45597</v>
      </c>
      <c r="H451" s="23" t="s">
        <v>1</v>
      </c>
      <c r="I451" s="18" t="s">
        <v>2</v>
      </c>
      <c r="J451" s="24"/>
      <c r="K451" s="17" t="s">
        <v>273</v>
      </c>
      <c r="L451" t="s">
        <v>184</v>
      </c>
      <c r="M451" t="s">
        <v>15</v>
      </c>
      <c r="N451" t="str">
        <f t="shared" si="116"/>
        <v>https://api.bcb.gov.br/dados/serie/bcdata.sgs.2249/dados?formato=json</v>
      </c>
      <c r="O451">
        <v>7</v>
      </c>
      <c r="P451" t="s">
        <v>19</v>
      </c>
      <c r="Q451" t="s">
        <v>19</v>
      </c>
      <c r="R451" t="str">
        <f t="shared" si="117"/>
        <v>Mercado primário - saldo</v>
      </c>
      <c r="S451" t="s">
        <v>37</v>
      </c>
    </row>
    <row r="452" spans="1:19" x14ac:dyDescent="0.25">
      <c r="A452" s="25"/>
      <c r="B452" s="25">
        <v>2250</v>
      </c>
      <c r="C452" s="26" t="s">
        <v>267</v>
      </c>
      <c r="D452" s="1" t="s">
        <v>37</v>
      </c>
      <c r="E452" s="27" t="s">
        <v>0</v>
      </c>
      <c r="F452" s="28">
        <v>33634</v>
      </c>
      <c r="G452" s="29">
        <v>45597</v>
      </c>
      <c r="H452" s="30" t="s">
        <v>1</v>
      </c>
      <c r="I452" s="25" t="s">
        <v>2</v>
      </c>
      <c r="J452" s="31"/>
      <c r="K452" s="17" t="s">
        <v>273</v>
      </c>
      <c r="L452" t="s">
        <v>184</v>
      </c>
      <c r="M452" t="s">
        <v>15</v>
      </c>
      <c r="N452" t="str">
        <f t="shared" si="116"/>
        <v>https://api.bcb.gov.br/dados/serie/bcdata.sgs.2250/dados?formato=json</v>
      </c>
      <c r="O452">
        <v>7</v>
      </c>
      <c r="P452" t="s">
        <v>19</v>
      </c>
      <c r="Q452" t="s">
        <v>19</v>
      </c>
      <c r="R452" t="str">
        <f t="shared" si="117"/>
        <v>Mercado secundário - vendas e financiamentos líquidos tomados</v>
      </c>
      <c r="S452" t="s">
        <v>37</v>
      </c>
    </row>
    <row r="453" spans="1:19" x14ac:dyDescent="0.25">
      <c r="A453" s="18"/>
      <c r="B453" s="18">
        <v>2251</v>
      </c>
      <c r="C453" s="19" t="s">
        <v>268</v>
      </c>
      <c r="D453" s="1" t="s">
        <v>37</v>
      </c>
      <c r="E453" s="20" t="s">
        <v>0</v>
      </c>
      <c r="F453" s="21">
        <v>33634</v>
      </c>
      <c r="G453" s="22">
        <v>45597</v>
      </c>
      <c r="H453" s="23" t="s">
        <v>1</v>
      </c>
      <c r="I453" s="18" t="s">
        <v>2</v>
      </c>
      <c r="J453" s="24"/>
      <c r="K453" s="17" t="s">
        <v>273</v>
      </c>
      <c r="L453" t="s">
        <v>184</v>
      </c>
      <c r="M453" t="s">
        <v>15</v>
      </c>
      <c r="N453" t="str">
        <f t="shared" si="116"/>
        <v>https://api.bcb.gov.br/dados/serie/bcdata.sgs.2251/dados?formato=json</v>
      </c>
      <c r="O453">
        <v>7</v>
      </c>
      <c r="P453" t="s">
        <v>19</v>
      </c>
      <c r="Q453" t="s">
        <v>19</v>
      </c>
      <c r="R453" t="str">
        <f>C453</f>
        <v>Mercado secundário - compras e financiamentos concedidos</v>
      </c>
      <c r="S453" t="s">
        <v>37</v>
      </c>
    </row>
    <row r="454" spans="1:19" x14ac:dyDescent="0.25">
      <c r="A454" s="25"/>
      <c r="B454" s="25">
        <v>2252</v>
      </c>
      <c r="C454" s="26" t="s">
        <v>269</v>
      </c>
      <c r="D454" s="1" t="s">
        <v>37</v>
      </c>
      <c r="E454" s="27" t="s">
        <v>0</v>
      </c>
      <c r="F454" s="28">
        <v>33634</v>
      </c>
      <c r="G454" s="29">
        <v>45597</v>
      </c>
      <c r="H454" s="30" t="s">
        <v>1</v>
      </c>
      <c r="I454" s="25" t="s">
        <v>2</v>
      </c>
      <c r="J454" s="31"/>
      <c r="K454" s="17" t="s">
        <v>273</v>
      </c>
      <c r="L454" t="s">
        <v>184</v>
      </c>
      <c r="M454" t="s">
        <v>15</v>
      </c>
      <c r="N454" t="str">
        <f t="shared" si="116"/>
        <v>https://api.bcb.gov.br/dados/serie/bcdata.sgs.2252/dados?formato=json</v>
      </c>
      <c r="O454">
        <v>7</v>
      </c>
      <c r="P454" t="s">
        <v>19</v>
      </c>
      <c r="Q454" t="s">
        <v>19</v>
      </c>
      <c r="R454" t="str">
        <f t="shared" si="117"/>
        <v>Mercado secundário - saldo</v>
      </c>
      <c r="S454" t="s">
        <v>37</v>
      </c>
    </row>
    <row r="455" spans="1:19" x14ac:dyDescent="0.25">
      <c r="A455" s="18"/>
      <c r="B455" s="18">
        <v>2253</v>
      </c>
      <c r="C455" s="19" t="s">
        <v>270</v>
      </c>
      <c r="D455" s="1" t="s">
        <v>37</v>
      </c>
      <c r="E455" s="20" t="s">
        <v>0</v>
      </c>
      <c r="F455" s="21">
        <v>33634</v>
      </c>
      <c r="G455" s="22">
        <v>45597</v>
      </c>
      <c r="H455" s="23" t="s">
        <v>1</v>
      </c>
      <c r="I455" s="18" t="s">
        <v>2</v>
      </c>
      <c r="J455" s="24"/>
      <c r="K455" s="17" t="s">
        <v>273</v>
      </c>
      <c r="L455" t="s">
        <v>184</v>
      </c>
      <c r="M455" t="s">
        <v>15</v>
      </c>
      <c r="N455" t="str">
        <f t="shared" si="116"/>
        <v>https://api.bcb.gov.br/dados/serie/bcdata.sgs.2253/dados?formato=json</v>
      </c>
      <c r="O455">
        <v>7</v>
      </c>
      <c r="P455" t="s">
        <v>19</v>
      </c>
      <c r="Q455" t="s">
        <v>19</v>
      </c>
      <c r="R455" t="str">
        <f t="shared" si="117"/>
        <v>Total - colocações, vendas e financiamentos tomados</v>
      </c>
      <c r="S455" t="s">
        <v>37</v>
      </c>
    </row>
    <row r="456" spans="1:19" x14ac:dyDescent="0.25">
      <c r="A456" s="25"/>
      <c r="B456" s="25">
        <v>2254</v>
      </c>
      <c r="C456" s="26" t="s">
        <v>271</v>
      </c>
      <c r="D456" s="1" t="s">
        <v>37</v>
      </c>
      <c r="E456" s="27" t="s">
        <v>0</v>
      </c>
      <c r="F456" s="28">
        <v>33634</v>
      </c>
      <c r="G456" s="29">
        <v>45597</v>
      </c>
      <c r="H456" s="30" t="s">
        <v>1</v>
      </c>
      <c r="I456" s="25" t="s">
        <v>2</v>
      </c>
      <c r="J456" s="31"/>
      <c r="K456" s="17" t="s">
        <v>273</v>
      </c>
      <c r="L456" t="s">
        <v>184</v>
      </c>
      <c r="M456" t="s">
        <v>15</v>
      </c>
      <c r="N456" t="str">
        <f t="shared" si="116"/>
        <v>https://api.bcb.gov.br/dados/serie/bcdata.sgs.2254/dados?formato=json</v>
      </c>
      <c r="O456">
        <v>7</v>
      </c>
      <c r="P456" t="s">
        <v>19</v>
      </c>
      <c r="Q456" t="s">
        <v>19</v>
      </c>
      <c r="R456" t="str">
        <f t="shared" si="117"/>
        <v>Total - resgates, compras e financiamentos concedidos</v>
      </c>
      <c r="S456" t="s">
        <v>37</v>
      </c>
    </row>
    <row r="457" spans="1:19" x14ac:dyDescent="0.25">
      <c r="A457" s="1"/>
      <c r="B457" s="1">
        <v>2255</v>
      </c>
      <c r="C457" s="2" t="s">
        <v>272</v>
      </c>
      <c r="D457" s="1" t="s">
        <v>37</v>
      </c>
      <c r="E457" s="3" t="s">
        <v>0</v>
      </c>
      <c r="F457" s="4">
        <v>33634</v>
      </c>
      <c r="G457" s="5">
        <v>45597</v>
      </c>
      <c r="H457" s="6" t="s">
        <v>1</v>
      </c>
      <c r="I457" s="1" t="s">
        <v>2</v>
      </c>
      <c r="J457" s="7"/>
      <c r="K457" s="17" t="s">
        <v>273</v>
      </c>
      <c r="L457" t="s">
        <v>184</v>
      </c>
      <c r="M457" t="s">
        <v>15</v>
      </c>
      <c r="N457" t="str">
        <f t="shared" si="116"/>
        <v>https://api.bcb.gov.br/dados/serie/bcdata.sgs.2255/dados?formato=json</v>
      </c>
      <c r="O457">
        <v>7</v>
      </c>
      <c r="P457" t="s">
        <v>19</v>
      </c>
      <c r="Q457" t="s">
        <v>19</v>
      </c>
      <c r="R457" t="str">
        <f t="shared" si="117"/>
        <v>Saldo total das operações</v>
      </c>
      <c r="S457" t="s">
        <v>37</v>
      </c>
    </row>
    <row r="458" spans="1:19" x14ac:dyDescent="0.25">
      <c r="A458" s="1"/>
      <c r="B458" s="1">
        <v>29522</v>
      </c>
      <c r="C458" s="2" t="s">
        <v>274</v>
      </c>
      <c r="D458" s="1" t="s">
        <v>37</v>
      </c>
      <c r="E458" s="3" t="s">
        <v>0</v>
      </c>
      <c r="F458" s="4">
        <v>39448</v>
      </c>
      <c r="G458" s="5">
        <v>45597</v>
      </c>
      <c r="H458" s="6" t="s">
        <v>1</v>
      </c>
      <c r="I458" s="1" t="s">
        <v>2</v>
      </c>
      <c r="J458" s="7"/>
      <c r="K458" s="17" t="s">
        <v>286</v>
      </c>
      <c r="L458" s="32" t="s">
        <v>287</v>
      </c>
      <c r="M458" t="s">
        <v>15</v>
      </c>
      <c r="N458" t="str">
        <f t="shared" ref="N458:N469" si="118">_xlfn.CONCAT("https://api.bcb.gov.br/dados/serie/bcdata.sgs.",B458,"/dados?formato=json")</f>
        <v>https://api.bcb.gov.br/dados/serie/bcdata.sgs.29522/dados?formato=json</v>
      </c>
      <c r="O458">
        <v>7</v>
      </c>
      <c r="P458" t="s">
        <v>19</v>
      </c>
      <c r="Q458" t="s">
        <v>19</v>
      </c>
      <c r="R458" t="str">
        <f t="shared" ref="R458:R469" si="119">C458</f>
        <v>Swap cambial - Resultado caixa</v>
      </c>
      <c r="S458" t="s">
        <v>37</v>
      </c>
    </row>
    <row r="459" spans="1:19" x14ac:dyDescent="0.25">
      <c r="A459" s="8"/>
      <c r="B459" s="8">
        <v>29523</v>
      </c>
      <c r="C459" s="9" t="s">
        <v>275</v>
      </c>
      <c r="D459" s="1" t="s">
        <v>37</v>
      </c>
      <c r="E459" s="10" t="s">
        <v>0</v>
      </c>
      <c r="F459" s="11">
        <v>39448</v>
      </c>
      <c r="G459" s="12">
        <v>45597</v>
      </c>
      <c r="H459" s="13" t="s">
        <v>1</v>
      </c>
      <c r="I459" s="8" t="s">
        <v>2</v>
      </c>
      <c r="J459" s="14"/>
      <c r="K459" s="17" t="s">
        <v>286</v>
      </c>
      <c r="L459" s="32" t="s">
        <v>287</v>
      </c>
      <c r="M459" t="s">
        <v>15</v>
      </c>
      <c r="N459" t="str">
        <f t="shared" si="118"/>
        <v>https://api.bcb.gov.br/dados/serie/bcdata.sgs.29523/dados?formato=json</v>
      </c>
      <c r="O459">
        <v>7</v>
      </c>
      <c r="P459" t="s">
        <v>19</v>
      </c>
      <c r="Q459" t="s">
        <v>19</v>
      </c>
      <c r="R459" t="str">
        <f t="shared" si="119"/>
        <v>Swap cambial - Valor competência</v>
      </c>
      <c r="S459" t="s">
        <v>37</v>
      </c>
    </row>
    <row r="460" spans="1:19" x14ac:dyDescent="0.25">
      <c r="A460" s="1"/>
      <c r="B460" s="1">
        <v>29524</v>
      </c>
      <c r="C460" s="2" t="s">
        <v>276</v>
      </c>
      <c r="D460" s="1" t="s">
        <v>37</v>
      </c>
      <c r="E460" s="3" t="s">
        <v>0</v>
      </c>
      <c r="F460" s="4">
        <v>39448</v>
      </c>
      <c r="G460" s="5">
        <v>45597</v>
      </c>
      <c r="H460" s="6" t="s">
        <v>1</v>
      </c>
      <c r="I460" s="1" t="s">
        <v>2</v>
      </c>
      <c r="J460" s="7"/>
      <c r="K460" s="17" t="s">
        <v>286</v>
      </c>
      <c r="L460" s="32" t="s">
        <v>287</v>
      </c>
      <c r="M460" t="s">
        <v>15</v>
      </c>
      <c r="N460" t="str">
        <f t="shared" si="118"/>
        <v>https://api.bcb.gov.br/dados/serie/bcdata.sgs.29524/dados?formato=json</v>
      </c>
      <c r="O460">
        <v>7</v>
      </c>
      <c r="P460" t="s">
        <v>19</v>
      </c>
      <c r="Q460" t="s">
        <v>19</v>
      </c>
      <c r="R460" t="str">
        <f t="shared" si="119"/>
        <v>Reservas Internacionais - Rentabilidade</v>
      </c>
      <c r="S460" t="s">
        <v>37</v>
      </c>
    </row>
    <row r="461" spans="1:19" x14ac:dyDescent="0.25">
      <c r="A461" s="8"/>
      <c r="B461" s="8">
        <v>29525</v>
      </c>
      <c r="C461" s="9" t="s">
        <v>277</v>
      </c>
      <c r="D461" s="1" t="s">
        <v>37</v>
      </c>
      <c r="E461" s="10" t="s">
        <v>0</v>
      </c>
      <c r="F461" s="11">
        <v>39448</v>
      </c>
      <c r="G461" s="12">
        <v>45597</v>
      </c>
      <c r="H461" s="13" t="s">
        <v>1</v>
      </c>
      <c r="I461" s="8" t="s">
        <v>2</v>
      </c>
      <c r="J461" s="14"/>
      <c r="K461" s="17" t="s">
        <v>286</v>
      </c>
      <c r="L461" s="32" t="s">
        <v>287</v>
      </c>
      <c r="M461" t="s">
        <v>15</v>
      </c>
      <c r="N461" t="str">
        <f t="shared" si="118"/>
        <v>https://api.bcb.gov.br/dados/serie/bcdata.sgs.29525/dados?formato=json</v>
      </c>
      <c r="O461">
        <v>7</v>
      </c>
      <c r="P461" t="s">
        <v>19</v>
      </c>
      <c r="Q461" t="s">
        <v>19</v>
      </c>
      <c r="R461" t="str">
        <f t="shared" si="119"/>
        <v>Reservas Internacionais - Resultado líquido</v>
      </c>
      <c r="S461" t="s">
        <v>37</v>
      </c>
    </row>
    <row r="462" spans="1:19" x14ac:dyDescent="0.25">
      <c r="A462" s="1"/>
      <c r="B462" s="1">
        <v>29526</v>
      </c>
      <c r="C462" s="2" t="s">
        <v>278</v>
      </c>
      <c r="D462" s="1" t="s">
        <v>37</v>
      </c>
      <c r="E462" s="3" t="s">
        <v>0</v>
      </c>
      <c r="F462" s="4">
        <v>39448</v>
      </c>
      <c r="G462" s="5">
        <v>45597</v>
      </c>
      <c r="H462" s="6" t="s">
        <v>1</v>
      </c>
      <c r="I462" s="1" t="s">
        <v>2</v>
      </c>
      <c r="J462" s="7"/>
      <c r="K462" s="17" t="s">
        <v>286</v>
      </c>
      <c r="L462" s="32" t="s">
        <v>287</v>
      </c>
      <c r="M462" t="s">
        <v>15</v>
      </c>
      <c r="N462" t="str">
        <f t="shared" si="118"/>
        <v>https://api.bcb.gov.br/dados/serie/bcdata.sgs.29526/dados?formato=json</v>
      </c>
      <c r="O462">
        <v>7</v>
      </c>
      <c r="P462" t="s">
        <v>19</v>
      </c>
      <c r="Q462" t="s">
        <v>19</v>
      </c>
      <c r="R462" t="str">
        <f t="shared" si="119"/>
        <v>Resultado do Banco Central - Operações cambiais</v>
      </c>
      <c r="S462" t="s">
        <v>37</v>
      </c>
    </row>
    <row r="463" spans="1:19" x14ac:dyDescent="0.25">
      <c r="A463" s="8"/>
      <c r="B463" s="8">
        <v>29527</v>
      </c>
      <c r="C463" s="9" t="s">
        <v>279</v>
      </c>
      <c r="D463" s="1" t="s">
        <v>37</v>
      </c>
      <c r="E463" s="10" t="s">
        <v>0</v>
      </c>
      <c r="F463" s="11">
        <v>39448</v>
      </c>
      <c r="G463" s="12">
        <v>45597</v>
      </c>
      <c r="H463" s="13" t="s">
        <v>1</v>
      </c>
      <c r="I463" s="8" t="s">
        <v>2</v>
      </c>
      <c r="J463" s="14"/>
      <c r="K463" s="17" t="s">
        <v>286</v>
      </c>
      <c r="L463" s="32" t="s">
        <v>287</v>
      </c>
      <c r="M463" t="s">
        <v>15</v>
      </c>
      <c r="N463" t="str">
        <f t="shared" si="118"/>
        <v>https://api.bcb.gov.br/dados/serie/bcdata.sgs.29527/dados?formato=json</v>
      </c>
      <c r="O463">
        <v>7</v>
      </c>
      <c r="P463" t="s">
        <v>19</v>
      </c>
      <c r="Q463" t="s">
        <v>19</v>
      </c>
      <c r="R463" t="str">
        <f t="shared" si="119"/>
        <v>Resultado do Banco Central - Outros, exceto operações cambiais</v>
      </c>
      <c r="S463" t="s">
        <v>37</v>
      </c>
    </row>
    <row r="464" spans="1:19" x14ac:dyDescent="0.25">
      <c r="A464" s="1"/>
      <c r="B464" s="1">
        <v>29528</v>
      </c>
      <c r="C464" s="2" t="s">
        <v>280</v>
      </c>
      <c r="D464" s="1" t="s">
        <v>37</v>
      </c>
      <c r="E464" s="3" t="s">
        <v>0</v>
      </c>
      <c r="F464" s="4">
        <v>39448</v>
      </c>
      <c r="G464" s="5">
        <v>45597</v>
      </c>
      <c r="H464" s="6" t="s">
        <v>1</v>
      </c>
      <c r="I464" s="1" t="s">
        <v>2</v>
      </c>
      <c r="J464" s="7"/>
      <c r="K464" s="17" t="s">
        <v>286</v>
      </c>
      <c r="L464" s="32" t="s">
        <v>287</v>
      </c>
      <c r="M464" t="s">
        <v>15</v>
      </c>
      <c r="N464" t="str">
        <f t="shared" si="118"/>
        <v>https://api.bcb.gov.br/dados/serie/bcdata.sgs.29528/dados?formato=json</v>
      </c>
      <c r="O464">
        <v>7</v>
      </c>
      <c r="P464" t="s">
        <v>19</v>
      </c>
      <c r="Q464" t="s">
        <v>19</v>
      </c>
      <c r="R464" t="str">
        <f t="shared" si="119"/>
        <v>Resultado do Banco Central - Total</v>
      </c>
      <c r="S464" t="s">
        <v>37</v>
      </c>
    </row>
    <row r="465" spans="1:19" x14ac:dyDescent="0.25">
      <c r="A465" s="8"/>
      <c r="B465" s="8">
        <v>29529</v>
      </c>
      <c r="C465" s="9" t="s">
        <v>281</v>
      </c>
      <c r="D465" s="1" t="s">
        <v>37</v>
      </c>
      <c r="E465" s="10" t="s">
        <v>0</v>
      </c>
      <c r="F465" s="11">
        <v>39448</v>
      </c>
      <c r="G465" s="12">
        <v>45597</v>
      </c>
      <c r="H465" s="13" t="s">
        <v>1</v>
      </c>
      <c r="I465" s="8" t="s">
        <v>2</v>
      </c>
      <c r="J465" s="14"/>
      <c r="K465" s="17" t="s">
        <v>286</v>
      </c>
      <c r="L465" s="32" t="s">
        <v>287</v>
      </c>
      <c r="M465" t="s">
        <v>15</v>
      </c>
      <c r="N465" t="str">
        <f t="shared" si="118"/>
        <v>https://api.bcb.gov.br/dados/serie/bcdata.sgs.29529/dados?formato=json</v>
      </c>
      <c r="O465">
        <v>7</v>
      </c>
      <c r="P465" t="s">
        <v>19</v>
      </c>
      <c r="Q465" t="s">
        <v>19</v>
      </c>
      <c r="R465" t="str">
        <f t="shared" si="119"/>
        <v>Resultado do Banco Central a ser transferido para o Tesouro Nacional - Acumulado no período</v>
      </c>
      <c r="S465" t="s">
        <v>37</v>
      </c>
    </row>
    <row r="466" spans="1:19" x14ac:dyDescent="0.25">
      <c r="A466" s="1"/>
      <c r="B466" s="1">
        <v>29530</v>
      </c>
      <c r="C466" s="2" t="s">
        <v>282</v>
      </c>
      <c r="D466" s="1" t="s">
        <v>37</v>
      </c>
      <c r="E466" s="3" t="s">
        <v>0</v>
      </c>
      <c r="F466" s="4">
        <v>39448</v>
      </c>
      <c r="G466" s="5">
        <v>45597</v>
      </c>
      <c r="H466" s="6" t="s">
        <v>1</v>
      </c>
      <c r="I466" s="1" t="s">
        <v>2</v>
      </c>
      <c r="J466" s="7"/>
      <c r="K466" s="17" t="s">
        <v>286</v>
      </c>
      <c r="L466" s="32" t="s">
        <v>287</v>
      </c>
      <c r="M466" t="s">
        <v>15</v>
      </c>
      <c r="N466" t="str">
        <f t="shared" si="118"/>
        <v>https://api.bcb.gov.br/dados/serie/bcdata.sgs.29530/dados?formato=json</v>
      </c>
      <c r="O466">
        <v>7</v>
      </c>
      <c r="P466" t="s">
        <v>19</v>
      </c>
      <c r="Q466" t="s">
        <v>19</v>
      </c>
      <c r="R466" t="str">
        <f t="shared" si="119"/>
        <v>Resultado do Banco Central a ser coberto</v>
      </c>
      <c r="S466" t="s">
        <v>37</v>
      </c>
    </row>
    <row r="467" spans="1:19" x14ac:dyDescent="0.25">
      <c r="A467" s="8"/>
      <c r="B467" s="8">
        <v>29531</v>
      </c>
      <c r="C467" s="9" t="s">
        <v>283</v>
      </c>
      <c r="D467" s="1" t="s">
        <v>37</v>
      </c>
      <c r="E467" s="10" t="s">
        <v>0</v>
      </c>
      <c r="F467" s="11">
        <v>39448</v>
      </c>
      <c r="G467" s="12">
        <v>45597</v>
      </c>
      <c r="H467" s="13" t="s">
        <v>1</v>
      </c>
      <c r="I467" s="8" t="s">
        <v>2</v>
      </c>
      <c r="J467" s="14"/>
      <c r="K467" s="17" t="s">
        <v>286</v>
      </c>
      <c r="L467" s="32" t="s">
        <v>287</v>
      </c>
      <c r="M467" t="s">
        <v>15</v>
      </c>
      <c r="N467" t="str">
        <f t="shared" si="118"/>
        <v>https://api.bcb.gov.br/dados/serie/bcdata.sgs.29531/dados?formato=json</v>
      </c>
      <c r="O467">
        <v>7</v>
      </c>
      <c r="P467" t="s">
        <v>19</v>
      </c>
      <c r="Q467" t="s">
        <v>19</v>
      </c>
      <c r="R467" t="str">
        <f t="shared" si="119"/>
        <v>Estoque de reservas de resultado cambial</v>
      </c>
      <c r="S467" t="s">
        <v>37</v>
      </c>
    </row>
    <row r="468" spans="1:19" x14ac:dyDescent="0.25">
      <c r="A468" s="1"/>
      <c r="B468" s="1">
        <v>29532</v>
      </c>
      <c r="C468" s="2" t="s">
        <v>284</v>
      </c>
      <c r="D468" s="1" t="s">
        <v>37</v>
      </c>
      <c r="E468" s="3" t="s">
        <v>0</v>
      </c>
      <c r="F468" s="4">
        <v>39448</v>
      </c>
      <c r="G468" s="5">
        <v>45597</v>
      </c>
      <c r="H468" s="6" t="s">
        <v>1</v>
      </c>
      <c r="I468" s="1" t="s">
        <v>2</v>
      </c>
      <c r="J468" s="7"/>
      <c r="K468" s="17" t="s">
        <v>286</v>
      </c>
      <c r="L468" s="32" t="s">
        <v>287</v>
      </c>
      <c r="M468" t="s">
        <v>15</v>
      </c>
      <c r="N468" t="str">
        <f t="shared" si="118"/>
        <v>https://api.bcb.gov.br/dados/serie/bcdata.sgs.29532/dados?formato=json</v>
      </c>
      <c r="O468">
        <v>7</v>
      </c>
      <c r="P468" t="s">
        <v>19</v>
      </c>
      <c r="Q468" t="s">
        <v>19</v>
      </c>
      <c r="R468" t="str">
        <f t="shared" si="119"/>
        <v>Operações de swap cambial - Valor Nocional</v>
      </c>
      <c r="S468" t="s">
        <v>37</v>
      </c>
    </row>
    <row r="469" spans="1:19" x14ac:dyDescent="0.25">
      <c r="A469" s="8"/>
      <c r="B469" s="8">
        <v>29533</v>
      </c>
      <c r="C469" s="9" t="s">
        <v>285</v>
      </c>
      <c r="D469" s="8" t="s">
        <v>57</v>
      </c>
      <c r="E469" s="10" t="s">
        <v>0</v>
      </c>
      <c r="F469" s="11">
        <v>39448</v>
      </c>
      <c r="G469" s="12">
        <v>45597</v>
      </c>
      <c r="H469" s="13" t="s">
        <v>1</v>
      </c>
      <c r="I469" s="8" t="s">
        <v>2</v>
      </c>
      <c r="J469" s="14"/>
      <c r="K469" s="17" t="s">
        <v>286</v>
      </c>
      <c r="L469" s="32" t="s">
        <v>287</v>
      </c>
      <c r="M469" t="s">
        <v>15</v>
      </c>
      <c r="N469" t="str">
        <f t="shared" si="118"/>
        <v>https://api.bcb.gov.br/dados/serie/bcdata.sgs.29533/dados?formato=json</v>
      </c>
      <c r="O469">
        <v>7</v>
      </c>
      <c r="P469" t="s">
        <v>19</v>
      </c>
      <c r="Q469" t="s">
        <v>19</v>
      </c>
      <c r="R469" t="str">
        <f t="shared" si="119"/>
        <v>Operações de swap cambial - Valor Nocional em dólares</v>
      </c>
      <c r="S469" t="s">
        <v>37</v>
      </c>
    </row>
  </sheetData>
  <autoFilter ref="A1:S469" xr:uid="{E638162E-A69F-41A1-A154-84AE35CF5DDF}"/>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kleber giovelli</dc:creator>
  <cp:lastModifiedBy>kleber giovelli</cp:lastModifiedBy>
  <dcterms:created xsi:type="dcterms:W3CDTF">2025-01-14T13:45:57Z</dcterms:created>
  <dcterms:modified xsi:type="dcterms:W3CDTF">2025-02-28T20:49:58Z</dcterms:modified>
</cp:coreProperties>
</file>