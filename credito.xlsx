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Kleber\Documents\"/>
    </mc:Choice>
  </mc:AlternateContent>
  <xr:revisionPtr revIDLastSave="0" documentId="13_ncr:1_{8EC69029-5534-4045-AB78-715C01552849}" xr6:coauthVersionLast="47" xr6:coauthVersionMax="47" xr10:uidLastSave="{00000000-0000-0000-0000-000000000000}"/>
  <bookViews>
    <workbookView xWindow="-120" yWindow="-120" windowWidth="29040" windowHeight="15840" xr2:uid="{791AB8D9-6D2F-4D8C-AB27-920963627214}"/>
  </bookViews>
  <sheets>
    <sheet name="Planilha1" sheetId="1" r:id="rId1"/>
  </sheets>
  <definedNames>
    <definedName name="_xlnm._FilterDatabase" localSheetId="0" hidden="1">Planilha1!$A$1:$U$1099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820" i="1" l="1"/>
  <c r="T820" i="1" s="1"/>
  <c r="U821" i="1"/>
  <c r="T821" i="1" s="1"/>
  <c r="U822" i="1"/>
  <c r="T822" i="1" s="1"/>
  <c r="U823" i="1"/>
  <c r="T823" i="1" s="1"/>
  <c r="U824" i="1"/>
  <c r="T824" i="1" s="1"/>
  <c r="U825" i="1"/>
  <c r="T825" i="1" s="1"/>
  <c r="U826" i="1"/>
  <c r="T826" i="1" s="1"/>
  <c r="U827" i="1"/>
  <c r="T827" i="1" s="1"/>
  <c r="U828" i="1"/>
  <c r="T828" i="1" s="1"/>
  <c r="U829" i="1"/>
  <c r="T829" i="1" s="1"/>
  <c r="U830" i="1"/>
  <c r="T830" i="1" s="1"/>
  <c r="U831" i="1"/>
  <c r="T831" i="1" s="1"/>
  <c r="U832" i="1"/>
  <c r="T832" i="1" s="1"/>
  <c r="U833" i="1"/>
  <c r="T833" i="1" s="1"/>
  <c r="U819" i="1"/>
  <c r="T819" i="1" s="1"/>
  <c r="T808" i="1"/>
  <c r="U808" i="1"/>
  <c r="U809" i="1"/>
  <c r="T809" i="1" s="1"/>
  <c r="U810" i="1"/>
  <c r="T810" i="1" s="1"/>
  <c r="T811" i="1"/>
  <c r="U811" i="1"/>
  <c r="U812" i="1"/>
  <c r="T812" i="1" s="1"/>
  <c r="U813" i="1"/>
  <c r="T813" i="1" s="1"/>
  <c r="T814" i="1"/>
  <c r="U814" i="1"/>
  <c r="U815" i="1"/>
  <c r="T815" i="1" s="1"/>
  <c r="U816" i="1"/>
  <c r="T816" i="1" s="1"/>
  <c r="T817" i="1"/>
  <c r="U817" i="1"/>
  <c r="U818" i="1"/>
  <c r="T818" i="1" s="1"/>
  <c r="U807" i="1"/>
  <c r="T807" i="1" s="1"/>
  <c r="U787" i="1"/>
  <c r="T787" i="1" s="1"/>
  <c r="U788" i="1"/>
  <c r="T788" i="1" s="1"/>
  <c r="T789" i="1"/>
  <c r="U789" i="1"/>
  <c r="T790" i="1"/>
  <c r="U790" i="1"/>
  <c r="U791" i="1"/>
  <c r="T791" i="1" s="1"/>
  <c r="U792" i="1"/>
  <c r="T792" i="1" s="1"/>
  <c r="U793" i="1"/>
  <c r="T793" i="1" s="1"/>
  <c r="U794" i="1"/>
  <c r="T794" i="1" s="1"/>
  <c r="T795" i="1"/>
  <c r="U795" i="1"/>
  <c r="T796" i="1"/>
  <c r="U796" i="1"/>
  <c r="U797" i="1"/>
  <c r="T797" i="1" s="1"/>
  <c r="U798" i="1"/>
  <c r="T798" i="1" s="1"/>
  <c r="U799" i="1"/>
  <c r="T799" i="1" s="1"/>
  <c r="U800" i="1"/>
  <c r="T800" i="1" s="1"/>
  <c r="T801" i="1"/>
  <c r="U801" i="1"/>
  <c r="T802" i="1"/>
  <c r="U802" i="1"/>
  <c r="U803" i="1"/>
  <c r="T803" i="1" s="1"/>
  <c r="U804" i="1"/>
  <c r="T804" i="1" s="1"/>
  <c r="U805" i="1"/>
  <c r="T805" i="1" s="1"/>
  <c r="U786" i="1"/>
  <c r="T786" i="1" s="1"/>
  <c r="U761" i="1"/>
  <c r="T761" i="1" s="1"/>
  <c r="U762" i="1"/>
  <c r="T762" i="1" s="1"/>
  <c r="U763" i="1"/>
  <c r="T763" i="1" s="1"/>
  <c r="U764" i="1"/>
  <c r="T764" i="1" s="1"/>
  <c r="U765" i="1"/>
  <c r="T765" i="1" s="1"/>
  <c r="U766" i="1"/>
  <c r="T766" i="1" s="1"/>
  <c r="U767" i="1"/>
  <c r="T767" i="1" s="1"/>
  <c r="U768" i="1"/>
  <c r="T768" i="1" s="1"/>
  <c r="U769" i="1"/>
  <c r="T769" i="1" s="1"/>
  <c r="T770" i="1"/>
  <c r="U770" i="1"/>
  <c r="U771" i="1"/>
  <c r="T771" i="1" s="1"/>
  <c r="U772" i="1"/>
  <c r="T772" i="1" s="1"/>
  <c r="U773" i="1"/>
  <c r="T773" i="1" s="1"/>
  <c r="U774" i="1"/>
  <c r="T774" i="1" s="1"/>
  <c r="U775" i="1"/>
  <c r="T775" i="1" s="1"/>
  <c r="T776" i="1"/>
  <c r="U776" i="1"/>
  <c r="U777" i="1"/>
  <c r="T777" i="1" s="1"/>
  <c r="U778" i="1"/>
  <c r="T778" i="1" s="1"/>
  <c r="U779" i="1"/>
  <c r="T779" i="1" s="1"/>
  <c r="U780" i="1"/>
  <c r="T780" i="1" s="1"/>
  <c r="U781" i="1"/>
  <c r="T781" i="1" s="1"/>
  <c r="T782" i="1"/>
  <c r="U782" i="1"/>
  <c r="U783" i="1"/>
  <c r="T783" i="1" s="1"/>
  <c r="U784" i="1"/>
  <c r="T784" i="1" s="1"/>
  <c r="U785" i="1"/>
  <c r="T785" i="1" s="1"/>
  <c r="U760" i="1"/>
  <c r="T760" i="1" s="1"/>
  <c r="U742" i="1"/>
  <c r="T742" i="1" s="1"/>
  <c r="U743" i="1"/>
  <c r="T743" i="1" s="1"/>
  <c r="T744" i="1"/>
  <c r="U744" i="1"/>
  <c r="U745" i="1"/>
  <c r="T745" i="1" s="1"/>
  <c r="U746" i="1"/>
  <c r="T746" i="1" s="1"/>
  <c r="U747" i="1"/>
  <c r="T747" i="1" s="1"/>
  <c r="U748" i="1"/>
  <c r="T748" i="1" s="1"/>
  <c r="U749" i="1"/>
  <c r="T749" i="1" s="1"/>
  <c r="T750" i="1"/>
  <c r="U750" i="1"/>
  <c r="U751" i="1"/>
  <c r="T751" i="1" s="1"/>
  <c r="U752" i="1"/>
  <c r="T752" i="1" s="1"/>
  <c r="U753" i="1"/>
  <c r="T753" i="1" s="1"/>
  <c r="U754" i="1"/>
  <c r="T754" i="1" s="1"/>
  <c r="U755" i="1"/>
  <c r="T755" i="1" s="1"/>
  <c r="U741" i="1"/>
  <c r="T741" i="1"/>
  <c r="U730" i="1"/>
  <c r="T730" i="1" s="1"/>
  <c r="T731" i="1"/>
  <c r="U731" i="1"/>
  <c r="U732" i="1"/>
  <c r="T732" i="1" s="1"/>
  <c r="U733" i="1"/>
  <c r="T733" i="1" s="1"/>
  <c r="U734" i="1"/>
  <c r="T734" i="1" s="1"/>
  <c r="U735" i="1"/>
  <c r="T735" i="1" s="1"/>
  <c r="U736" i="1"/>
  <c r="T736" i="1" s="1"/>
  <c r="T737" i="1"/>
  <c r="U737" i="1"/>
  <c r="U738" i="1"/>
  <c r="T738" i="1" s="1"/>
  <c r="U739" i="1"/>
  <c r="T739" i="1" s="1"/>
  <c r="U740" i="1"/>
  <c r="T740" i="1" s="1"/>
  <c r="U729" i="1"/>
  <c r="T729" i="1" s="1"/>
  <c r="U709" i="1"/>
  <c r="T709" i="1" s="1"/>
  <c r="U710" i="1"/>
  <c r="T710" i="1" s="1"/>
  <c r="U711" i="1"/>
  <c r="T711" i="1" s="1"/>
  <c r="U712" i="1"/>
  <c r="T712" i="1" s="1"/>
  <c r="U713" i="1"/>
  <c r="T713" i="1" s="1"/>
  <c r="U714" i="1"/>
  <c r="T714" i="1" s="1"/>
  <c r="U715" i="1"/>
  <c r="T715" i="1" s="1"/>
  <c r="U716" i="1"/>
  <c r="T716" i="1" s="1"/>
  <c r="U717" i="1"/>
  <c r="T717" i="1" s="1"/>
  <c r="U718" i="1"/>
  <c r="T718" i="1" s="1"/>
  <c r="U719" i="1"/>
  <c r="T719" i="1" s="1"/>
  <c r="U720" i="1"/>
  <c r="T720" i="1" s="1"/>
  <c r="U721" i="1"/>
  <c r="T721" i="1" s="1"/>
  <c r="U722" i="1"/>
  <c r="T722" i="1" s="1"/>
  <c r="U723" i="1"/>
  <c r="T723" i="1" s="1"/>
  <c r="U724" i="1"/>
  <c r="T724" i="1" s="1"/>
  <c r="U725" i="1"/>
  <c r="T725" i="1" s="1"/>
  <c r="U726" i="1"/>
  <c r="T726" i="1" s="1"/>
  <c r="U727" i="1"/>
  <c r="T727" i="1" s="1"/>
  <c r="U708" i="1"/>
  <c r="T708" i="1" s="1"/>
  <c r="U683" i="1"/>
  <c r="T683" i="1" s="1"/>
  <c r="T684" i="1"/>
  <c r="U684" i="1"/>
  <c r="U685" i="1"/>
  <c r="T685" i="1" s="1"/>
  <c r="U686" i="1"/>
  <c r="T686" i="1" s="1"/>
  <c r="U687" i="1"/>
  <c r="T687" i="1" s="1"/>
  <c r="U688" i="1"/>
  <c r="T688" i="1" s="1"/>
  <c r="U689" i="1"/>
  <c r="T689" i="1" s="1"/>
  <c r="T690" i="1"/>
  <c r="U690" i="1"/>
  <c r="U691" i="1"/>
  <c r="T691" i="1" s="1"/>
  <c r="U692" i="1"/>
  <c r="T692" i="1" s="1"/>
  <c r="U693" i="1"/>
  <c r="T693" i="1" s="1"/>
  <c r="U694" i="1"/>
  <c r="T694" i="1" s="1"/>
  <c r="U695" i="1"/>
  <c r="T695" i="1" s="1"/>
  <c r="T696" i="1"/>
  <c r="U696" i="1"/>
  <c r="U697" i="1"/>
  <c r="T697" i="1" s="1"/>
  <c r="U698" i="1"/>
  <c r="T698" i="1" s="1"/>
  <c r="U699" i="1"/>
  <c r="T699" i="1" s="1"/>
  <c r="U700" i="1"/>
  <c r="T700" i="1" s="1"/>
  <c r="U701" i="1"/>
  <c r="T701" i="1" s="1"/>
  <c r="T702" i="1"/>
  <c r="U702" i="1"/>
  <c r="U703" i="1"/>
  <c r="T703" i="1" s="1"/>
  <c r="U704" i="1"/>
  <c r="T704" i="1" s="1"/>
  <c r="U705" i="1"/>
  <c r="T705" i="1" s="1"/>
  <c r="U706" i="1"/>
  <c r="T706" i="1" s="1"/>
  <c r="U707" i="1"/>
  <c r="T707" i="1" s="1"/>
  <c r="U682" i="1"/>
  <c r="T682" i="1" s="1"/>
  <c r="U664" i="1"/>
  <c r="T664" i="1" s="1"/>
  <c r="U665" i="1"/>
  <c r="T665" i="1" s="1"/>
  <c r="U666" i="1"/>
  <c r="T666" i="1" s="1"/>
  <c r="U667" i="1"/>
  <c r="T667" i="1" s="1"/>
  <c r="U668" i="1"/>
  <c r="T668" i="1" s="1"/>
  <c r="U669" i="1"/>
  <c r="T669" i="1" s="1"/>
  <c r="U670" i="1"/>
  <c r="T670" i="1" s="1"/>
  <c r="U671" i="1"/>
  <c r="T671" i="1" s="1"/>
  <c r="U672" i="1"/>
  <c r="T672" i="1" s="1"/>
  <c r="U673" i="1"/>
  <c r="T673" i="1" s="1"/>
  <c r="U674" i="1"/>
  <c r="T674" i="1" s="1"/>
  <c r="U675" i="1"/>
  <c r="T675" i="1" s="1"/>
  <c r="U676" i="1"/>
  <c r="T676" i="1" s="1"/>
  <c r="U677" i="1"/>
  <c r="T677" i="1" s="1"/>
  <c r="U663" i="1"/>
  <c r="T663" i="1" s="1"/>
  <c r="U652" i="1"/>
  <c r="T652" i="1" s="1"/>
  <c r="U653" i="1"/>
  <c r="T653" i="1" s="1"/>
  <c r="U654" i="1"/>
  <c r="T654" i="1" s="1"/>
  <c r="U655" i="1"/>
  <c r="T655" i="1" s="1"/>
  <c r="U656" i="1"/>
  <c r="T656" i="1" s="1"/>
  <c r="U657" i="1"/>
  <c r="T657" i="1" s="1"/>
  <c r="U658" i="1"/>
  <c r="T658" i="1" s="1"/>
  <c r="U659" i="1"/>
  <c r="T659" i="1" s="1"/>
  <c r="U660" i="1"/>
  <c r="T660" i="1" s="1"/>
  <c r="U661" i="1"/>
  <c r="T661" i="1" s="1"/>
  <c r="U662" i="1"/>
  <c r="T662" i="1" s="1"/>
  <c r="U651" i="1"/>
  <c r="T651" i="1" s="1"/>
  <c r="U631" i="1"/>
  <c r="T631" i="1" s="1"/>
  <c r="T632" i="1"/>
  <c r="U632" i="1"/>
  <c r="U633" i="1"/>
  <c r="T633" i="1" s="1"/>
  <c r="U634" i="1"/>
  <c r="T634" i="1" s="1"/>
  <c r="U635" i="1"/>
  <c r="T635" i="1" s="1"/>
  <c r="U636" i="1"/>
  <c r="T636" i="1" s="1"/>
  <c r="U637" i="1"/>
  <c r="T637" i="1" s="1"/>
  <c r="T638" i="1"/>
  <c r="U638" i="1"/>
  <c r="U639" i="1"/>
  <c r="T639" i="1" s="1"/>
  <c r="U640" i="1"/>
  <c r="T640" i="1" s="1"/>
  <c r="U641" i="1"/>
  <c r="T641" i="1" s="1"/>
  <c r="U642" i="1"/>
  <c r="T642" i="1" s="1"/>
  <c r="U643" i="1"/>
  <c r="T643" i="1" s="1"/>
  <c r="T644" i="1"/>
  <c r="U644" i="1"/>
  <c r="U645" i="1"/>
  <c r="T645" i="1" s="1"/>
  <c r="U646" i="1"/>
  <c r="T646" i="1" s="1"/>
  <c r="U647" i="1"/>
  <c r="T647" i="1" s="1"/>
  <c r="U648" i="1"/>
  <c r="T648" i="1" s="1"/>
  <c r="U649" i="1"/>
  <c r="T649" i="1" s="1"/>
  <c r="U630" i="1"/>
  <c r="T630" i="1" s="1"/>
  <c r="U628" i="1"/>
  <c r="T628" i="1" s="1"/>
  <c r="U629" i="1"/>
  <c r="T629" i="1" s="1"/>
  <c r="U605" i="1"/>
  <c r="T605" i="1" s="1"/>
  <c r="U606" i="1"/>
  <c r="T606" i="1" s="1"/>
  <c r="U607" i="1"/>
  <c r="T607" i="1" s="1"/>
  <c r="T608" i="1"/>
  <c r="U608" i="1"/>
  <c r="U609" i="1"/>
  <c r="T609" i="1" s="1"/>
  <c r="U610" i="1"/>
  <c r="T610" i="1" s="1"/>
  <c r="U611" i="1"/>
  <c r="T611" i="1" s="1"/>
  <c r="U612" i="1"/>
  <c r="T612" i="1" s="1"/>
  <c r="U613" i="1"/>
  <c r="T613" i="1" s="1"/>
  <c r="T614" i="1"/>
  <c r="U614" i="1"/>
  <c r="U615" i="1"/>
  <c r="T615" i="1" s="1"/>
  <c r="U616" i="1"/>
  <c r="T616" i="1" s="1"/>
  <c r="U617" i="1"/>
  <c r="T617" i="1" s="1"/>
  <c r="U618" i="1"/>
  <c r="T618" i="1" s="1"/>
  <c r="U619" i="1"/>
  <c r="T619" i="1" s="1"/>
  <c r="T620" i="1"/>
  <c r="U620" i="1"/>
  <c r="U621" i="1"/>
  <c r="T621" i="1" s="1"/>
  <c r="U622" i="1"/>
  <c r="T622" i="1" s="1"/>
  <c r="U623" i="1"/>
  <c r="T623" i="1" s="1"/>
  <c r="U624" i="1"/>
  <c r="T624" i="1" s="1"/>
  <c r="U625" i="1"/>
  <c r="T625" i="1" s="1"/>
  <c r="T626" i="1"/>
  <c r="U626" i="1"/>
  <c r="U627" i="1"/>
  <c r="T627" i="1" s="1"/>
  <c r="U604" i="1"/>
  <c r="T604" i="1" s="1"/>
  <c r="U586" i="1"/>
  <c r="T586" i="1" s="1"/>
  <c r="U587" i="1"/>
  <c r="T587" i="1" s="1"/>
  <c r="U588" i="1"/>
  <c r="T588" i="1" s="1"/>
  <c r="U589" i="1"/>
  <c r="T589" i="1" s="1"/>
  <c r="U590" i="1"/>
  <c r="T590" i="1" s="1"/>
  <c r="U591" i="1"/>
  <c r="T591" i="1" s="1"/>
  <c r="U592" i="1"/>
  <c r="T592" i="1" s="1"/>
  <c r="U593" i="1"/>
  <c r="T593" i="1" s="1"/>
  <c r="U594" i="1"/>
  <c r="T594" i="1" s="1"/>
  <c r="U595" i="1"/>
  <c r="T595" i="1" s="1"/>
  <c r="T596" i="1"/>
  <c r="U596" i="1"/>
  <c r="U597" i="1"/>
  <c r="T597" i="1" s="1"/>
  <c r="U598" i="1"/>
  <c r="T598" i="1" s="1"/>
  <c r="U599" i="1"/>
  <c r="T599" i="1" s="1"/>
  <c r="U585" i="1"/>
  <c r="T585" i="1"/>
  <c r="T574" i="1"/>
  <c r="U574" i="1"/>
  <c r="U575" i="1"/>
  <c r="T575" i="1" s="1"/>
  <c r="U576" i="1"/>
  <c r="T576" i="1" s="1"/>
  <c r="U577" i="1"/>
  <c r="T577" i="1" s="1"/>
  <c r="U578" i="1"/>
  <c r="T578" i="1" s="1"/>
  <c r="U579" i="1"/>
  <c r="T579" i="1" s="1"/>
  <c r="T580" i="1"/>
  <c r="U580" i="1"/>
  <c r="U581" i="1"/>
  <c r="T581" i="1" s="1"/>
  <c r="U582" i="1"/>
  <c r="T582" i="1" s="1"/>
  <c r="U583" i="1"/>
  <c r="T583" i="1" s="1"/>
  <c r="U584" i="1"/>
  <c r="T584" i="1" s="1"/>
  <c r="U573" i="1"/>
  <c r="T573" i="1"/>
  <c r="U556" i="1"/>
  <c r="T556" i="1" s="1"/>
  <c r="U557" i="1"/>
  <c r="T557" i="1" s="1"/>
  <c r="T558" i="1"/>
  <c r="U558" i="1"/>
  <c r="U559" i="1"/>
  <c r="T559" i="1" s="1"/>
  <c r="U560" i="1"/>
  <c r="T560" i="1" s="1"/>
  <c r="U561" i="1"/>
  <c r="T561" i="1" s="1"/>
  <c r="U562" i="1"/>
  <c r="T562" i="1" s="1"/>
  <c r="U563" i="1"/>
  <c r="T563" i="1" s="1"/>
  <c r="T564" i="1"/>
  <c r="U564" i="1"/>
  <c r="U565" i="1"/>
  <c r="T565" i="1" s="1"/>
  <c r="U566" i="1"/>
  <c r="T566" i="1" s="1"/>
  <c r="U567" i="1"/>
  <c r="T567" i="1" s="1"/>
  <c r="U568" i="1"/>
  <c r="T568" i="1" s="1"/>
  <c r="U569" i="1"/>
  <c r="T569" i="1" s="1"/>
  <c r="T570" i="1"/>
  <c r="U570" i="1"/>
  <c r="U571" i="1"/>
  <c r="T571" i="1" s="1"/>
  <c r="U555" i="1"/>
  <c r="T555" i="1" s="1"/>
  <c r="U552" i="1"/>
  <c r="T552" i="1" s="1"/>
  <c r="T553" i="1"/>
  <c r="U553" i="1"/>
  <c r="T554" i="1"/>
  <c r="U554" i="1"/>
  <c r="U534" i="1"/>
  <c r="T534" i="1" s="1"/>
  <c r="U535" i="1"/>
  <c r="T535" i="1" s="1"/>
  <c r="U536" i="1"/>
  <c r="T536" i="1" s="1"/>
  <c r="U537" i="1"/>
  <c r="T537" i="1" s="1"/>
  <c r="U538" i="1"/>
  <c r="T538" i="1" s="1"/>
  <c r="U539" i="1"/>
  <c r="T539" i="1" s="1"/>
  <c r="U540" i="1"/>
  <c r="T540" i="1" s="1"/>
  <c r="U541" i="1"/>
  <c r="T541" i="1" s="1"/>
  <c r="U542" i="1"/>
  <c r="T542" i="1" s="1"/>
  <c r="U543" i="1"/>
  <c r="T543" i="1" s="1"/>
  <c r="U544" i="1"/>
  <c r="T544" i="1" s="1"/>
  <c r="U545" i="1"/>
  <c r="T545" i="1" s="1"/>
  <c r="U546" i="1"/>
  <c r="T546" i="1" s="1"/>
  <c r="U547" i="1"/>
  <c r="T547" i="1" s="1"/>
  <c r="U548" i="1"/>
  <c r="T548" i="1" s="1"/>
  <c r="U549" i="1"/>
  <c r="T549" i="1" s="1"/>
  <c r="U550" i="1"/>
  <c r="T550" i="1" s="1"/>
  <c r="U551" i="1"/>
  <c r="T551" i="1" s="1"/>
  <c r="U533" i="1"/>
  <c r="T533" i="1" s="1"/>
  <c r="T502" i="1"/>
  <c r="U502" i="1"/>
  <c r="U503" i="1"/>
  <c r="T503" i="1" s="1"/>
  <c r="T504" i="1"/>
  <c r="U504" i="1"/>
  <c r="U505" i="1"/>
  <c r="T505" i="1" s="1"/>
  <c r="U506" i="1"/>
  <c r="T506" i="1" s="1"/>
  <c r="U507" i="1"/>
  <c r="T507" i="1" s="1"/>
  <c r="T508" i="1"/>
  <c r="U508" i="1"/>
  <c r="U509" i="1"/>
  <c r="T509" i="1" s="1"/>
  <c r="T510" i="1"/>
  <c r="U510" i="1"/>
  <c r="U511" i="1"/>
  <c r="T511" i="1" s="1"/>
  <c r="U512" i="1"/>
  <c r="T512" i="1" s="1"/>
  <c r="U513" i="1"/>
  <c r="T513" i="1" s="1"/>
  <c r="U501" i="1"/>
  <c r="T501" i="1" s="1"/>
  <c r="U491" i="1"/>
  <c r="T491" i="1" s="1"/>
  <c r="T492" i="1"/>
  <c r="U492" i="1"/>
  <c r="T493" i="1"/>
  <c r="U493" i="1"/>
  <c r="U494" i="1"/>
  <c r="T494" i="1" s="1"/>
  <c r="T495" i="1"/>
  <c r="U495" i="1"/>
  <c r="U496" i="1"/>
  <c r="T496" i="1" s="1"/>
  <c r="U497" i="1"/>
  <c r="T497" i="1" s="1"/>
  <c r="T498" i="1"/>
  <c r="U498" i="1"/>
  <c r="T499" i="1"/>
  <c r="U499" i="1"/>
  <c r="U500" i="1"/>
  <c r="T500" i="1" s="1"/>
  <c r="U490" i="1"/>
  <c r="T490" i="1"/>
  <c r="U472" i="1"/>
  <c r="T472" i="1" s="1"/>
  <c r="T473" i="1"/>
  <c r="U473" i="1"/>
  <c r="T474" i="1"/>
  <c r="U474" i="1"/>
  <c r="U475" i="1"/>
  <c r="T475" i="1" s="1"/>
  <c r="U476" i="1"/>
  <c r="T476" i="1" s="1"/>
  <c r="U477" i="1"/>
  <c r="T477" i="1" s="1"/>
  <c r="U478" i="1"/>
  <c r="T478" i="1" s="1"/>
  <c r="T479" i="1"/>
  <c r="U479" i="1"/>
  <c r="T480" i="1"/>
  <c r="U480" i="1"/>
  <c r="U481" i="1"/>
  <c r="T481" i="1" s="1"/>
  <c r="U482" i="1"/>
  <c r="T482" i="1" s="1"/>
  <c r="U483" i="1"/>
  <c r="T483" i="1" s="1"/>
  <c r="U484" i="1"/>
  <c r="T484" i="1" s="1"/>
  <c r="T485" i="1"/>
  <c r="U485" i="1"/>
  <c r="T486" i="1"/>
  <c r="U486" i="1"/>
  <c r="U487" i="1"/>
  <c r="T487" i="1" s="1"/>
  <c r="U488" i="1"/>
  <c r="T488" i="1" s="1"/>
  <c r="U471" i="1"/>
  <c r="T471" i="1"/>
  <c r="U446" i="1"/>
  <c r="T446" i="1" s="1"/>
  <c r="T447" i="1"/>
  <c r="U447" i="1"/>
  <c r="T448" i="1"/>
  <c r="U448" i="1"/>
  <c r="U449" i="1"/>
  <c r="T449" i="1" s="1"/>
  <c r="T450" i="1"/>
  <c r="U450" i="1"/>
  <c r="U451" i="1"/>
  <c r="T451" i="1" s="1"/>
  <c r="U452" i="1"/>
  <c r="T452" i="1" s="1"/>
  <c r="T453" i="1"/>
  <c r="U453" i="1"/>
  <c r="T454" i="1"/>
  <c r="U454" i="1"/>
  <c r="U455" i="1"/>
  <c r="T455" i="1" s="1"/>
  <c r="T456" i="1"/>
  <c r="U456" i="1"/>
  <c r="U457" i="1"/>
  <c r="T457" i="1" s="1"/>
  <c r="U458" i="1"/>
  <c r="T458" i="1" s="1"/>
  <c r="T459" i="1"/>
  <c r="U459" i="1"/>
  <c r="T460" i="1"/>
  <c r="U460" i="1"/>
  <c r="U461" i="1"/>
  <c r="T461" i="1" s="1"/>
  <c r="T462" i="1"/>
  <c r="U462" i="1"/>
  <c r="U463" i="1"/>
  <c r="T463" i="1" s="1"/>
  <c r="U464" i="1"/>
  <c r="T464" i="1" s="1"/>
  <c r="T465" i="1"/>
  <c r="U465" i="1"/>
  <c r="T466" i="1"/>
  <c r="U466" i="1"/>
  <c r="U467" i="1"/>
  <c r="T467" i="1" s="1"/>
  <c r="T468" i="1"/>
  <c r="U468" i="1"/>
  <c r="U445" i="1"/>
  <c r="T445" i="1"/>
  <c r="U423" i="1"/>
  <c r="T423" i="1" s="1"/>
  <c r="U424" i="1"/>
  <c r="T424" i="1" s="1"/>
  <c r="T425" i="1"/>
  <c r="U425" i="1"/>
  <c r="U426" i="1"/>
  <c r="T426" i="1" s="1"/>
  <c r="T427" i="1"/>
  <c r="U427" i="1"/>
  <c r="U428" i="1"/>
  <c r="T428" i="1" s="1"/>
  <c r="U429" i="1"/>
  <c r="T429" i="1" s="1"/>
  <c r="U430" i="1"/>
  <c r="T430" i="1" s="1"/>
  <c r="T431" i="1"/>
  <c r="U431" i="1"/>
  <c r="U432" i="1"/>
  <c r="T432" i="1" s="1"/>
  <c r="T433" i="1"/>
  <c r="U433" i="1"/>
  <c r="U434" i="1"/>
  <c r="T434" i="1" s="1"/>
  <c r="U422" i="1"/>
  <c r="T422" i="1"/>
  <c r="T412" i="1"/>
  <c r="U412" i="1"/>
  <c r="T413" i="1"/>
  <c r="U413" i="1"/>
  <c r="T414" i="1"/>
  <c r="U414" i="1"/>
  <c r="T415" i="1"/>
  <c r="U415" i="1"/>
  <c r="U416" i="1"/>
  <c r="T416" i="1" s="1"/>
  <c r="U417" i="1"/>
  <c r="T417" i="1" s="1"/>
  <c r="T418" i="1"/>
  <c r="U418" i="1"/>
  <c r="T419" i="1"/>
  <c r="U419" i="1"/>
  <c r="T420" i="1"/>
  <c r="U420" i="1"/>
  <c r="T421" i="1"/>
  <c r="U421" i="1"/>
  <c r="U411" i="1"/>
  <c r="T411" i="1"/>
  <c r="U393" i="1"/>
  <c r="T393" i="1" s="1"/>
  <c r="T394" i="1"/>
  <c r="U394" i="1"/>
  <c r="U395" i="1"/>
  <c r="T395" i="1" s="1"/>
  <c r="U396" i="1"/>
  <c r="T396" i="1" s="1"/>
  <c r="T397" i="1"/>
  <c r="U397" i="1"/>
  <c r="U398" i="1"/>
  <c r="T398" i="1" s="1"/>
  <c r="U399" i="1"/>
  <c r="T399" i="1" s="1"/>
  <c r="T400" i="1"/>
  <c r="U400" i="1"/>
  <c r="U401" i="1"/>
  <c r="T401" i="1" s="1"/>
  <c r="U402" i="1"/>
  <c r="T402" i="1" s="1"/>
  <c r="T403" i="1"/>
  <c r="U403" i="1"/>
  <c r="U404" i="1"/>
  <c r="T404" i="1" s="1"/>
  <c r="U405" i="1"/>
  <c r="T405" i="1" s="1"/>
  <c r="T406" i="1"/>
  <c r="U406" i="1"/>
  <c r="U407" i="1"/>
  <c r="T407" i="1" s="1"/>
  <c r="U408" i="1"/>
  <c r="T408" i="1" s="1"/>
  <c r="T409" i="1"/>
  <c r="U409" i="1"/>
  <c r="U392" i="1"/>
  <c r="T392" i="1"/>
  <c r="U385" i="1"/>
  <c r="T385" i="1" s="1"/>
  <c r="U386" i="1"/>
  <c r="T386" i="1" s="1"/>
  <c r="T387" i="1"/>
  <c r="U387" i="1"/>
  <c r="U388" i="1"/>
  <c r="T388" i="1" s="1"/>
  <c r="U389" i="1"/>
  <c r="T389" i="1" s="1"/>
  <c r="T367" i="1"/>
  <c r="U367" i="1"/>
  <c r="U368" i="1"/>
  <c r="T368" i="1" s="1"/>
  <c r="U369" i="1"/>
  <c r="T369" i="1" s="1"/>
  <c r="U370" i="1"/>
  <c r="T370" i="1" s="1"/>
  <c r="U371" i="1"/>
  <c r="T371" i="1" s="1"/>
  <c r="U372" i="1"/>
  <c r="T372" i="1" s="1"/>
  <c r="T373" i="1"/>
  <c r="U373" i="1"/>
  <c r="U374" i="1"/>
  <c r="T374" i="1" s="1"/>
  <c r="U375" i="1"/>
  <c r="T375" i="1" s="1"/>
  <c r="U376" i="1"/>
  <c r="T376" i="1" s="1"/>
  <c r="U377" i="1"/>
  <c r="T377" i="1" s="1"/>
  <c r="U378" i="1"/>
  <c r="T378" i="1" s="1"/>
  <c r="T379" i="1"/>
  <c r="U379" i="1"/>
  <c r="U380" i="1"/>
  <c r="T380" i="1" s="1"/>
  <c r="U381" i="1"/>
  <c r="T381" i="1" s="1"/>
  <c r="U382" i="1"/>
  <c r="T382" i="1" s="1"/>
  <c r="U383" i="1"/>
  <c r="T383" i="1" s="1"/>
  <c r="U384" i="1"/>
  <c r="T384" i="1" s="1"/>
  <c r="U366" i="1"/>
  <c r="T366" i="1"/>
  <c r="U333" i="1"/>
  <c r="T333" i="1" s="1"/>
  <c r="T334" i="1"/>
  <c r="U334" i="1"/>
  <c r="U335" i="1"/>
  <c r="T335" i="1" s="1"/>
  <c r="U336" i="1"/>
  <c r="T336" i="1" s="1"/>
  <c r="T337" i="1"/>
  <c r="U337" i="1"/>
  <c r="U338" i="1"/>
  <c r="T338" i="1" s="1"/>
  <c r="U339" i="1"/>
  <c r="T339" i="1" s="1"/>
  <c r="T340" i="1"/>
  <c r="U340" i="1"/>
  <c r="U332" i="1"/>
  <c r="T332" i="1" s="1"/>
  <c r="U323" i="1"/>
  <c r="T323" i="1" s="1"/>
  <c r="U324" i="1"/>
  <c r="T324" i="1" s="1"/>
  <c r="U325" i="1"/>
  <c r="T325" i="1" s="1"/>
  <c r="U326" i="1"/>
  <c r="T326" i="1" s="1"/>
  <c r="U327" i="1"/>
  <c r="T327" i="1" s="1"/>
  <c r="U328" i="1"/>
  <c r="T328" i="1" s="1"/>
  <c r="U329" i="1"/>
  <c r="T329" i="1" s="1"/>
  <c r="U330" i="1"/>
  <c r="T330" i="1" s="1"/>
  <c r="U322" i="1"/>
  <c r="T322" i="1"/>
  <c r="U304" i="1"/>
  <c r="T304" i="1" s="1"/>
  <c r="U305" i="1"/>
  <c r="T305" i="1" s="1"/>
  <c r="T306" i="1"/>
  <c r="U306" i="1"/>
  <c r="U307" i="1"/>
  <c r="T307" i="1" s="1"/>
  <c r="U308" i="1"/>
  <c r="T308" i="1" s="1"/>
  <c r="U309" i="1"/>
  <c r="T309" i="1" s="1"/>
  <c r="U310" i="1"/>
  <c r="T310" i="1" s="1"/>
  <c r="U311" i="1"/>
  <c r="T311" i="1" s="1"/>
  <c r="T312" i="1"/>
  <c r="U312" i="1"/>
  <c r="U313" i="1"/>
  <c r="T313" i="1" s="1"/>
  <c r="U314" i="1"/>
  <c r="T314" i="1" s="1"/>
  <c r="U315" i="1"/>
  <c r="T315" i="1" s="1"/>
  <c r="U316" i="1"/>
  <c r="T316" i="1" s="1"/>
  <c r="U317" i="1"/>
  <c r="T317" i="1" s="1"/>
  <c r="T318" i="1"/>
  <c r="U318" i="1"/>
  <c r="U319" i="1"/>
  <c r="T319" i="1" s="1"/>
  <c r="U303" i="1"/>
  <c r="T303" i="1"/>
  <c r="U280" i="1"/>
  <c r="T280" i="1" s="1"/>
  <c r="T281" i="1"/>
  <c r="U281" i="1"/>
  <c r="T282" i="1"/>
  <c r="U282" i="1"/>
  <c r="U283" i="1"/>
  <c r="T283" i="1" s="1"/>
  <c r="T284" i="1"/>
  <c r="U284" i="1"/>
  <c r="U285" i="1"/>
  <c r="T285" i="1" s="1"/>
  <c r="U286" i="1"/>
  <c r="T286" i="1" s="1"/>
  <c r="T287" i="1"/>
  <c r="U287" i="1"/>
  <c r="T288" i="1"/>
  <c r="U288" i="1"/>
  <c r="U289" i="1"/>
  <c r="T289" i="1" s="1"/>
  <c r="T290" i="1"/>
  <c r="U290" i="1"/>
  <c r="U291" i="1"/>
  <c r="T291" i="1" s="1"/>
  <c r="U292" i="1"/>
  <c r="T292" i="1" s="1"/>
  <c r="T293" i="1"/>
  <c r="U293" i="1"/>
  <c r="T294" i="1"/>
  <c r="U294" i="1"/>
  <c r="U295" i="1"/>
  <c r="T295" i="1" s="1"/>
  <c r="T296" i="1"/>
  <c r="U296" i="1"/>
  <c r="U297" i="1"/>
  <c r="T297" i="1" s="1"/>
  <c r="U298" i="1"/>
  <c r="T298" i="1" s="1"/>
  <c r="T299" i="1"/>
  <c r="U299" i="1"/>
  <c r="T300" i="1"/>
  <c r="U300" i="1"/>
  <c r="U301" i="1"/>
  <c r="T301" i="1" s="1"/>
  <c r="U279" i="1"/>
  <c r="T279" i="1" s="1"/>
  <c r="U255" i="1"/>
  <c r="T255" i="1" s="1"/>
  <c r="U256" i="1"/>
  <c r="T256" i="1" s="1"/>
  <c r="U257" i="1"/>
  <c r="T257" i="1" s="1"/>
  <c r="U258" i="1"/>
  <c r="T258" i="1" s="1"/>
  <c r="T259" i="1"/>
  <c r="U259" i="1"/>
  <c r="U260" i="1"/>
  <c r="T260" i="1" s="1"/>
  <c r="T261" i="1"/>
  <c r="U261" i="1"/>
  <c r="U262" i="1"/>
  <c r="T262" i="1" s="1"/>
  <c r="U238" i="1"/>
  <c r="T238" i="1" s="1"/>
  <c r="U239" i="1"/>
  <c r="T239" i="1" s="1"/>
  <c r="U240" i="1"/>
  <c r="T240" i="1" s="1"/>
  <c r="U241" i="1"/>
  <c r="T241" i="1" s="1"/>
  <c r="U242" i="1"/>
  <c r="T242" i="1" s="1"/>
  <c r="U243" i="1"/>
  <c r="T243" i="1" s="1"/>
  <c r="U244" i="1"/>
  <c r="T244" i="1" s="1"/>
  <c r="U245" i="1"/>
  <c r="T245" i="1" s="1"/>
  <c r="U246" i="1"/>
  <c r="T246" i="1" s="1"/>
  <c r="U247" i="1"/>
  <c r="T247" i="1" s="1"/>
  <c r="U248" i="1"/>
  <c r="T248" i="1" s="1"/>
  <c r="U249" i="1"/>
  <c r="T249" i="1" s="1"/>
  <c r="U250" i="1"/>
  <c r="T250" i="1" s="1"/>
  <c r="U251" i="1"/>
  <c r="T251" i="1" s="1"/>
  <c r="U237" i="1"/>
  <c r="T237" i="1" s="1"/>
  <c r="U226" i="1"/>
  <c r="T226" i="1" s="1"/>
  <c r="U227" i="1"/>
  <c r="T227" i="1" s="1"/>
  <c r="U228" i="1"/>
  <c r="T228" i="1" s="1"/>
  <c r="U229" i="1"/>
  <c r="T229" i="1" s="1"/>
  <c r="U230" i="1"/>
  <c r="T230" i="1" s="1"/>
  <c r="U231" i="1"/>
  <c r="T231" i="1" s="1"/>
  <c r="U232" i="1"/>
  <c r="T232" i="1" s="1"/>
  <c r="U233" i="1"/>
  <c r="T233" i="1" s="1"/>
  <c r="U234" i="1"/>
  <c r="T234" i="1" s="1"/>
  <c r="U235" i="1"/>
  <c r="T235" i="1" s="1"/>
  <c r="U236" i="1"/>
  <c r="T236" i="1" s="1"/>
  <c r="U225" i="1"/>
  <c r="T225" i="1" s="1"/>
  <c r="U205" i="1"/>
  <c r="T205" i="1" s="1"/>
  <c r="U206" i="1"/>
  <c r="T206" i="1" s="1"/>
  <c r="U207" i="1"/>
  <c r="T207" i="1" s="1"/>
  <c r="U208" i="1"/>
  <c r="T208" i="1" s="1"/>
  <c r="T209" i="1"/>
  <c r="U209" i="1"/>
  <c r="U210" i="1"/>
  <c r="T210" i="1" s="1"/>
  <c r="U211" i="1"/>
  <c r="T211" i="1" s="1"/>
  <c r="U212" i="1"/>
  <c r="T212" i="1" s="1"/>
  <c r="U213" i="1"/>
  <c r="T213" i="1" s="1"/>
  <c r="U214" i="1"/>
  <c r="T214" i="1" s="1"/>
  <c r="U215" i="1"/>
  <c r="T215" i="1" s="1"/>
  <c r="U216" i="1"/>
  <c r="T216" i="1" s="1"/>
  <c r="U217" i="1"/>
  <c r="T217" i="1" s="1"/>
  <c r="T218" i="1"/>
  <c r="U218" i="1"/>
  <c r="U219" i="1"/>
  <c r="T219" i="1" s="1"/>
  <c r="U220" i="1"/>
  <c r="T220" i="1" s="1"/>
  <c r="U221" i="1"/>
  <c r="T221" i="1" s="1"/>
  <c r="U222" i="1"/>
  <c r="T222" i="1" s="1"/>
  <c r="U223" i="1"/>
  <c r="T223" i="1" s="1"/>
  <c r="U204" i="1"/>
  <c r="T204" i="1" s="1"/>
  <c r="U176" i="1"/>
  <c r="T176" i="1" s="1"/>
  <c r="U177" i="1"/>
  <c r="T177" i="1" s="1"/>
  <c r="U178" i="1"/>
  <c r="T178" i="1" s="1"/>
  <c r="U179" i="1"/>
  <c r="T179" i="1" s="1"/>
  <c r="U180" i="1"/>
  <c r="T180" i="1" s="1"/>
  <c r="U181" i="1"/>
  <c r="T181" i="1" s="1"/>
  <c r="U182" i="1"/>
  <c r="T182" i="1" s="1"/>
  <c r="U183" i="1"/>
  <c r="T183" i="1" s="1"/>
  <c r="U184" i="1"/>
  <c r="T184" i="1" s="1"/>
  <c r="U185" i="1"/>
  <c r="T185" i="1" s="1"/>
  <c r="U186" i="1"/>
  <c r="T186" i="1" s="1"/>
  <c r="U187" i="1"/>
  <c r="T187" i="1" s="1"/>
  <c r="T188" i="1"/>
  <c r="U188" i="1"/>
  <c r="U189" i="1"/>
  <c r="T189" i="1" s="1"/>
  <c r="U190" i="1"/>
  <c r="T190" i="1" s="1"/>
  <c r="U191" i="1"/>
  <c r="T191" i="1" s="1"/>
  <c r="U192" i="1"/>
  <c r="T192" i="1" s="1"/>
  <c r="U193" i="1"/>
  <c r="T193" i="1" s="1"/>
  <c r="U194" i="1"/>
  <c r="T194" i="1" s="1"/>
  <c r="U195" i="1"/>
  <c r="T195" i="1" s="1"/>
  <c r="U196" i="1"/>
  <c r="T196" i="1" s="1"/>
  <c r="U197" i="1"/>
  <c r="T197" i="1" s="1"/>
  <c r="U198" i="1"/>
  <c r="T198" i="1" s="1"/>
  <c r="U199" i="1"/>
  <c r="T199" i="1" s="1"/>
  <c r="T200" i="1"/>
  <c r="U200" i="1"/>
  <c r="U201" i="1"/>
  <c r="T201" i="1" s="1"/>
  <c r="U202" i="1"/>
  <c r="T202" i="1" s="1"/>
  <c r="U203" i="1"/>
  <c r="T203" i="1" s="1"/>
  <c r="U175" i="1"/>
  <c r="T175" i="1" s="1"/>
  <c r="U129" i="1"/>
  <c r="T129" i="1" s="1"/>
  <c r="U130" i="1"/>
  <c r="T130" i="1" s="1"/>
  <c r="U131" i="1"/>
  <c r="T131" i="1" s="1"/>
  <c r="U132" i="1"/>
  <c r="T132" i="1" s="1"/>
  <c r="U133" i="1"/>
  <c r="T133" i="1" s="1"/>
  <c r="U134" i="1"/>
  <c r="T134" i="1" s="1"/>
  <c r="U135" i="1"/>
  <c r="T135" i="1" s="1"/>
  <c r="U136" i="1"/>
  <c r="T136" i="1" s="1"/>
  <c r="U137" i="1"/>
  <c r="T137" i="1" s="1"/>
  <c r="U138" i="1"/>
  <c r="T138" i="1" s="1"/>
  <c r="U139" i="1"/>
  <c r="T139" i="1" s="1"/>
  <c r="U140" i="1"/>
  <c r="T140" i="1" s="1"/>
  <c r="U141" i="1"/>
  <c r="T141" i="1" s="1"/>
  <c r="U142" i="1"/>
  <c r="T142" i="1" s="1"/>
  <c r="U143" i="1"/>
  <c r="T143" i="1" s="1"/>
  <c r="U144" i="1"/>
  <c r="T144" i="1" s="1"/>
  <c r="T145" i="1"/>
  <c r="U145" i="1"/>
  <c r="U146" i="1"/>
  <c r="T146" i="1" s="1"/>
  <c r="U128" i="1"/>
  <c r="T128" i="1" s="1"/>
  <c r="U112" i="1"/>
  <c r="T112" i="1" s="1"/>
  <c r="U113" i="1"/>
  <c r="T113" i="1" s="1"/>
  <c r="U114" i="1"/>
  <c r="T114" i="1" s="1"/>
  <c r="U115" i="1"/>
  <c r="T115" i="1" s="1"/>
  <c r="U116" i="1"/>
  <c r="T116" i="1" s="1"/>
  <c r="U117" i="1"/>
  <c r="T117" i="1" s="1"/>
  <c r="U118" i="1"/>
  <c r="T118" i="1" s="1"/>
  <c r="U119" i="1"/>
  <c r="T119" i="1" s="1"/>
  <c r="U120" i="1"/>
  <c r="T120" i="1" s="1"/>
  <c r="U121" i="1"/>
  <c r="T121" i="1" s="1"/>
  <c r="U122" i="1"/>
  <c r="T122" i="1" s="1"/>
  <c r="U123" i="1"/>
  <c r="T123" i="1" s="1"/>
  <c r="U124" i="1"/>
  <c r="T124" i="1" s="1"/>
  <c r="U125" i="1"/>
  <c r="T125" i="1" s="1"/>
  <c r="U126" i="1"/>
  <c r="T126" i="1" s="1"/>
  <c r="U127" i="1"/>
  <c r="T127" i="1" s="1"/>
  <c r="U111" i="1"/>
  <c r="T111" i="1" s="1"/>
  <c r="U107" i="1"/>
  <c r="T107" i="1" s="1"/>
  <c r="U106" i="1"/>
  <c r="T106" i="1" s="1"/>
  <c r="U105" i="1"/>
  <c r="T105" i="1" s="1"/>
  <c r="U91" i="1"/>
  <c r="T91" i="1" s="1"/>
  <c r="U92" i="1"/>
  <c r="T92" i="1" s="1"/>
  <c r="U93" i="1"/>
  <c r="T93" i="1" s="1"/>
  <c r="U94" i="1"/>
  <c r="T94" i="1" s="1"/>
  <c r="U95" i="1"/>
  <c r="T95" i="1" s="1"/>
  <c r="U96" i="1"/>
  <c r="T96" i="1" s="1"/>
  <c r="U97" i="1"/>
  <c r="T97" i="1" s="1"/>
  <c r="U98" i="1"/>
  <c r="T98" i="1" s="1"/>
  <c r="U99" i="1"/>
  <c r="T99" i="1" s="1"/>
  <c r="U100" i="1"/>
  <c r="T100" i="1" s="1"/>
  <c r="U101" i="1"/>
  <c r="T101" i="1" s="1"/>
  <c r="U102" i="1"/>
  <c r="T102" i="1" s="1"/>
  <c r="U103" i="1"/>
  <c r="T103" i="1" s="1"/>
  <c r="U104" i="1"/>
  <c r="T104" i="1" s="1"/>
  <c r="U90" i="1"/>
  <c r="T90" i="1" s="1"/>
  <c r="U79" i="1"/>
  <c r="T79" i="1" s="1"/>
  <c r="U80" i="1"/>
  <c r="T80" i="1" s="1"/>
  <c r="U81" i="1"/>
  <c r="T81" i="1" s="1"/>
  <c r="U82" i="1"/>
  <c r="T82" i="1" s="1"/>
  <c r="U83" i="1"/>
  <c r="T83" i="1" s="1"/>
  <c r="U84" i="1"/>
  <c r="T84" i="1" s="1"/>
  <c r="U85" i="1"/>
  <c r="T85" i="1" s="1"/>
  <c r="U86" i="1"/>
  <c r="T86" i="1" s="1"/>
  <c r="U87" i="1"/>
  <c r="T87" i="1" s="1"/>
  <c r="U88" i="1"/>
  <c r="T88" i="1" s="1"/>
  <c r="U89" i="1"/>
  <c r="T89" i="1" s="1"/>
  <c r="U78" i="1"/>
  <c r="T78" i="1" s="1"/>
  <c r="U55" i="1"/>
  <c r="T55" i="1" s="1"/>
  <c r="U56" i="1"/>
  <c r="T56" i="1" s="1"/>
  <c r="U57" i="1"/>
  <c r="T57" i="1" s="1"/>
  <c r="U58" i="1"/>
  <c r="T58" i="1" s="1"/>
  <c r="U59" i="1"/>
  <c r="T59" i="1" s="1"/>
  <c r="U60" i="1"/>
  <c r="T60" i="1" s="1"/>
  <c r="U61" i="1"/>
  <c r="U62" i="1"/>
  <c r="T62" i="1" s="1"/>
  <c r="U63" i="1"/>
  <c r="T63" i="1" s="1"/>
  <c r="U64" i="1"/>
  <c r="U65" i="1"/>
  <c r="T65" i="1" s="1"/>
  <c r="U66" i="1"/>
  <c r="T66" i="1" s="1"/>
  <c r="U67" i="1"/>
  <c r="U68" i="1"/>
  <c r="U69" i="1"/>
  <c r="T69" i="1" s="1"/>
  <c r="U70" i="1"/>
  <c r="T70" i="1" s="1"/>
  <c r="U71" i="1"/>
  <c r="T71" i="1" s="1"/>
  <c r="U72" i="1"/>
  <c r="T72" i="1" s="1"/>
  <c r="U73" i="1"/>
  <c r="U74" i="1"/>
  <c r="U75" i="1"/>
  <c r="U76" i="1"/>
  <c r="U54" i="1"/>
  <c r="T54" i="1" s="1"/>
  <c r="T61" i="1"/>
  <c r="T64" i="1"/>
  <c r="T67" i="1"/>
  <c r="T68" i="1"/>
  <c r="T73" i="1"/>
  <c r="T74" i="1"/>
  <c r="T75" i="1"/>
  <c r="T76" i="1"/>
  <c r="U27" i="1"/>
  <c r="T27" i="1" s="1"/>
  <c r="U28" i="1"/>
  <c r="T28" i="1" s="1"/>
  <c r="U29" i="1"/>
  <c r="T29" i="1" s="1"/>
  <c r="U30" i="1"/>
  <c r="T30" i="1" s="1"/>
  <c r="U31" i="1"/>
  <c r="T31" i="1" s="1"/>
  <c r="U32" i="1"/>
  <c r="T32" i="1" s="1"/>
  <c r="U33" i="1"/>
  <c r="T33" i="1" s="1"/>
  <c r="U34" i="1"/>
  <c r="T34" i="1" s="1"/>
  <c r="U35" i="1"/>
  <c r="T35" i="1" s="1"/>
  <c r="U36" i="1"/>
  <c r="T36" i="1" s="1"/>
  <c r="U37" i="1"/>
  <c r="T37" i="1" s="1"/>
  <c r="U38" i="1"/>
  <c r="T38" i="1" s="1"/>
  <c r="U39" i="1"/>
  <c r="T39" i="1" s="1"/>
  <c r="U40" i="1"/>
  <c r="T40" i="1" s="1"/>
  <c r="U41" i="1"/>
  <c r="T41" i="1" s="1"/>
  <c r="U42" i="1"/>
  <c r="T42" i="1" s="1"/>
  <c r="U43" i="1"/>
  <c r="T43" i="1" s="1"/>
  <c r="U44" i="1"/>
  <c r="T44" i="1" s="1"/>
  <c r="U45" i="1"/>
  <c r="T45" i="1" s="1"/>
  <c r="U46" i="1"/>
  <c r="T46" i="1" s="1"/>
  <c r="U47" i="1"/>
  <c r="T47" i="1" s="1"/>
  <c r="U48" i="1"/>
  <c r="T48" i="1" s="1"/>
  <c r="U49" i="1"/>
  <c r="T49" i="1" s="1"/>
  <c r="U50" i="1"/>
  <c r="T50" i="1" s="1"/>
  <c r="U51" i="1"/>
  <c r="T51" i="1" s="1"/>
  <c r="U52" i="1"/>
  <c r="T52" i="1" s="1"/>
  <c r="U53" i="1"/>
  <c r="T53" i="1" s="1"/>
  <c r="U26" i="1"/>
  <c r="T26" i="1" s="1"/>
  <c r="N1095" i="1"/>
  <c r="N1094" i="1"/>
  <c r="N1093" i="1"/>
  <c r="N1092" i="1"/>
  <c r="N1091" i="1"/>
  <c r="N1090" i="1"/>
  <c r="N1089" i="1"/>
  <c r="N1088" i="1"/>
  <c r="N1087" i="1"/>
  <c r="N1086" i="1"/>
  <c r="N1085" i="1"/>
  <c r="N1084" i="1"/>
  <c r="N1083" i="1"/>
  <c r="N1082" i="1"/>
  <c r="N1081" i="1"/>
  <c r="N1080" i="1"/>
  <c r="N1079" i="1"/>
  <c r="N1078" i="1"/>
  <c r="N1077" i="1"/>
  <c r="N1076" i="1"/>
  <c r="N1075" i="1"/>
  <c r="N1074" i="1"/>
  <c r="N1073" i="1"/>
  <c r="N1072" i="1"/>
  <c r="N1071" i="1"/>
  <c r="N1070" i="1"/>
  <c r="N1069" i="1"/>
  <c r="N1068" i="1"/>
  <c r="N1067" i="1"/>
  <c r="N1066" i="1"/>
  <c r="N1065" i="1"/>
  <c r="N1064" i="1"/>
  <c r="N1063" i="1"/>
  <c r="N1062" i="1"/>
  <c r="N1061" i="1"/>
  <c r="N1060" i="1"/>
  <c r="N1059" i="1"/>
  <c r="N1058" i="1"/>
  <c r="N1057" i="1"/>
  <c r="N1056" i="1"/>
  <c r="N1055" i="1"/>
  <c r="N1054" i="1"/>
  <c r="N1053" i="1"/>
  <c r="N1052" i="1"/>
  <c r="N1051" i="1"/>
  <c r="N1050" i="1"/>
  <c r="N1049" i="1"/>
  <c r="N1048" i="1"/>
  <c r="N1047" i="1"/>
  <c r="N1046" i="1"/>
  <c r="N1045" i="1"/>
  <c r="N1044" i="1"/>
  <c r="N1043" i="1"/>
  <c r="N1042" i="1"/>
  <c r="N1041" i="1"/>
  <c r="N1040" i="1"/>
  <c r="N1039" i="1"/>
  <c r="N1038" i="1"/>
  <c r="N1037" i="1"/>
  <c r="N1036" i="1"/>
  <c r="N1035" i="1"/>
  <c r="N1034" i="1"/>
  <c r="N1033" i="1"/>
  <c r="N1032" i="1"/>
  <c r="N1031" i="1"/>
  <c r="N1030" i="1"/>
  <c r="N1029" i="1"/>
  <c r="N1028" i="1"/>
  <c r="N1027" i="1"/>
  <c r="N1026" i="1"/>
  <c r="N1025" i="1"/>
  <c r="N1024" i="1"/>
  <c r="N1023" i="1"/>
  <c r="N1022" i="1"/>
  <c r="N1021" i="1"/>
  <c r="N1020" i="1"/>
  <c r="N1019" i="1"/>
  <c r="N1018" i="1"/>
  <c r="N1017" i="1"/>
  <c r="N1016" i="1"/>
  <c r="N1015" i="1"/>
  <c r="N1014" i="1"/>
  <c r="N1013" i="1"/>
  <c r="N1012" i="1"/>
  <c r="N1011" i="1"/>
  <c r="N1010" i="1"/>
  <c r="N1009" i="1"/>
  <c r="N1008" i="1"/>
  <c r="N1007" i="1"/>
  <c r="N1006" i="1"/>
  <c r="N1005" i="1"/>
  <c r="N1004" i="1"/>
  <c r="N1003" i="1"/>
  <c r="N100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7" i="1"/>
  <c r="N908" i="1"/>
  <c r="N909" i="1"/>
  <c r="N904" i="1"/>
  <c r="N905" i="1"/>
  <c r="N906"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866" i="1"/>
  <c r="N867" i="1"/>
  <c r="N868" i="1"/>
  <c r="N869" i="1"/>
  <c r="N870" i="1"/>
  <c r="N871" i="1"/>
  <c r="N872" i="1"/>
  <c r="N873" i="1"/>
  <c r="N858" i="1"/>
  <c r="N859" i="1"/>
  <c r="N860" i="1"/>
  <c r="N861" i="1"/>
  <c r="N862" i="1"/>
  <c r="N863" i="1"/>
  <c r="N864" i="1"/>
  <c r="N865" i="1"/>
  <c r="N848" i="1"/>
  <c r="N849" i="1"/>
  <c r="N850" i="1"/>
  <c r="N851" i="1"/>
  <c r="N852" i="1"/>
  <c r="N853" i="1"/>
  <c r="N854" i="1"/>
  <c r="N855" i="1"/>
  <c r="N856" i="1"/>
  <c r="N857" i="1"/>
  <c r="N843" i="1"/>
  <c r="N844" i="1"/>
  <c r="N845" i="1"/>
  <c r="N846" i="1"/>
  <c r="N847" i="1"/>
  <c r="N839" i="1"/>
  <c r="N840" i="1"/>
  <c r="N841" i="1"/>
  <c r="N842" i="1"/>
  <c r="N834" i="1"/>
  <c r="N835" i="1"/>
  <c r="N836" i="1"/>
  <c r="N837" i="1"/>
  <c r="N838"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756" i="1"/>
  <c r="N757" i="1"/>
  <c r="N758"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678" i="1"/>
  <c r="N679" i="1"/>
  <c r="N680"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00" i="1"/>
  <c r="N601" i="1"/>
  <c r="N602"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29" i="1"/>
  <c r="N530" i="1"/>
  <c r="N531" i="1"/>
  <c r="N526" i="1"/>
  <c r="N527" i="1"/>
  <c r="N528" i="1"/>
  <c r="N520" i="1"/>
  <c r="N521" i="1"/>
  <c r="N522" i="1"/>
  <c r="N523" i="1"/>
  <c r="N524" i="1"/>
  <c r="N525" i="1"/>
  <c r="N514" i="1"/>
  <c r="N515" i="1"/>
  <c r="N516" i="1"/>
  <c r="N517" i="1"/>
  <c r="N518" i="1"/>
  <c r="N519"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41" i="1"/>
  <c r="N436" i="1"/>
  <c r="N437" i="1"/>
  <c r="N438" i="1"/>
  <c r="N439" i="1"/>
  <c r="N440" i="1"/>
  <c r="N435"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356" i="1"/>
  <c r="N357" i="1"/>
  <c r="N358" i="1"/>
  <c r="N359" i="1"/>
  <c r="N360" i="1"/>
  <c r="N361" i="1"/>
  <c r="N353" i="1"/>
  <c r="N354" i="1"/>
  <c r="N355" i="1"/>
  <c r="N347" i="1"/>
  <c r="N348" i="1"/>
  <c r="N349" i="1"/>
  <c r="N350" i="1"/>
  <c r="N351" i="1"/>
  <c r="N352" i="1"/>
  <c r="N341" i="1"/>
  <c r="N342" i="1"/>
  <c r="N343" i="1"/>
  <c r="N344" i="1"/>
  <c r="N345" i="1"/>
  <c r="N346" i="1"/>
  <c r="N320" i="1"/>
  <c r="N321" i="1"/>
  <c r="N322" i="1"/>
  <c r="N323" i="1"/>
  <c r="N324" i="1"/>
  <c r="N325" i="1"/>
  <c r="N326" i="1"/>
  <c r="N327" i="1"/>
  <c r="N328" i="1"/>
  <c r="N329" i="1"/>
  <c r="N330" i="1"/>
  <c r="N331" i="1"/>
  <c r="N332" i="1"/>
  <c r="N333" i="1"/>
  <c r="N334" i="1"/>
  <c r="N335" i="1"/>
  <c r="N336" i="1"/>
  <c r="N337" i="1"/>
  <c r="N338" i="1"/>
  <c r="N339" i="1"/>
  <c r="N340" i="1"/>
  <c r="N300" i="1"/>
  <c r="N301" i="1"/>
  <c r="N302" i="1"/>
  <c r="N303" i="1"/>
  <c r="N304" i="1"/>
  <c r="N305" i="1"/>
  <c r="N306" i="1"/>
  <c r="N307" i="1"/>
  <c r="N308" i="1"/>
  <c r="N309" i="1"/>
  <c r="N310" i="1"/>
  <c r="N311" i="1"/>
  <c r="N312" i="1"/>
  <c r="N313" i="1"/>
  <c r="N314" i="1"/>
  <c r="N315" i="1"/>
  <c r="N316" i="1"/>
  <c r="N317" i="1"/>
  <c r="N318" i="1"/>
  <c r="N319" i="1"/>
  <c r="N276" i="1"/>
  <c r="N277" i="1"/>
  <c r="N278" i="1"/>
  <c r="N279" i="1"/>
  <c r="N280" i="1"/>
  <c r="N281" i="1"/>
  <c r="N282" i="1"/>
  <c r="N283" i="1"/>
  <c r="N284" i="1"/>
  <c r="N285" i="1"/>
  <c r="N286" i="1"/>
  <c r="N287" i="1"/>
  <c r="N288" i="1"/>
  <c r="N289" i="1"/>
  <c r="N290" i="1"/>
  <c r="N291" i="1"/>
  <c r="N292" i="1"/>
  <c r="N293" i="1"/>
  <c r="N294" i="1"/>
  <c r="N295" i="1"/>
  <c r="N296" i="1"/>
  <c r="N297" i="1"/>
  <c r="N298" i="1"/>
  <c r="N299" i="1"/>
  <c r="N270" i="1"/>
  <c r="N271" i="1"/>
  <c r="N272" i="1"/>
  <c r="N273" i="1"/>
  <c r="N274" i="1"/>
  <c r="N275" i="1"/>
  <c r="N267" i="1"/>
  <c r="N268" i="1"/>
  <c r="N269" i="1"/>
  <c r="N252" i="1"/>
  <c r="N253" i="1"/>
  <c r="N254" i="1"/>
  <c r="N255" i="1"/>
  <c r="N256" i="1"/>
  <c r="N257" i="1"/>
  <c r="N258" i="1"/>
  <c r="N259" i="1"/>
  <c r="N260" i="1"/>
  <c r="N261" i="1"/>
  <c r="N262" i="1"/>
  <c r="N263" i="1"/>
  <c r="N264" i="1"/>
  <c r="N265" i="1"/>
  <c r="N266"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171" i="1"/>
  <c r="N172" i="1"/>
  <c r="N173" i="1"/>
  <c r="N167" i="1"/>
  <c r="N168" i="1"/>
  <c r="N169" i="1"/>
  <c r="N170" i="1"/>
  <c r="N158" i="1"/>
  <c r="N159" i="1"/>
  <c r="N160" i="1"/>
  <c r="N161" i="1"/>
  <c r="N162" i="1"/>
  <c r="N163" i="1"/>
  <c r="N164" i="1"/>
  <c r="N165" i="1"/>
  <c r="N166" i="1"/>
  <c r="N154" i="1"/>
  <c r="N155" i="1"/>
  <c r="N156" i="1"/>
  <c r="N157" i="1"/>
  <c r="N148" i="1"/>
  <c r="N149" i="1"/>
  <c r="N150" i="1"/>
  <c r="N151" i="1"/>
  <c r="N152" i="1"/>
  <c r="N153" i="1"/>
  <c r="N127" i="1"/>
  <c r="N128" i="1"/>
  <c r="N129" i="1"/>
  <c r="N130" i="1"/>
  <c r="N131" i="1"/>
  <c r="N132" i="1"/>
  <c r="N133" i="1"/>
  <c r="N134" i="1"/>
  <c r="N135" i="1"/>
  <c r="N136" i="1"/>
  <c r="N137" i="1"/>
  <c r="N138" i="1"/>
  <c r="N139" i="1"/>
  <c r="N140" i="1"/>
  <c r="N141" i="1"/>
  <c r="N142" i="1"/>
  <c r="N143" i="1"/>
  <c r="N144" i="1"/>
  <c r="N145" i="1"/>
  <c r="N146" i="1"/>
  <c r="N147" i="1"/>
  <c r="N108" i="1"/>
  <c r="N109" i="1"/>
  <c r="N110" i="1"/>
  <c r="N111" i="1"/>
  <c r="N112" i="1"/>
  <c r="N113" i="1"/>
  <c r="N114" i="1"/>
  <c r="N115" i="1"/>
  <c r="N116" i="1"/>
  <c r="N117" i="1"/>
  <c r="N118" i="1"/>
  <c r="N119" i="1"/>
  <c r="N120" i="1"/>
  <c r="N121" i="1"/>
  <c r="N122" i="1"/>
  <c r="N123" i="1"/>
  <c r="N124" i="1"/>
  <c r="N125" i="1"/>
  <c r="N126" i="1"/>
  <c r="N92" i="1"/>
  <c r="N93" i="1"/>
  <c r="N94" i="1"/>
  <c r="N95" i="1"/>
  <c r="N96" i="1"/>
  <c r="N97" i="1"/>
  <c r="N98" i="1"/>
  <c r="N99" i="1"/>
  <c r="N100" i="1"/>
  <c r="N101" i="1"/>
  <c r="N102" i="1"/>
  <c r="N103" i="1"/>
  <c r="N104" i="1"/>
  <c r="N105" i="1"/>
  <c r="N106" i="1"/>
  <c r="N107" i="1"/>
  <c r="N77" i="1"/>
  <c r="N78" i="1"/>
  <c r="N79" i="1"/>
  <c r="N80" i="1"/>
  <c r="N81" i="1"/>
  <c r="N82" i="1"/>
  <c r="N83" i="1"/>
  <c r="N84" i="1"/>
  <c r="N85" i="1"/>
  <c r="N86" i="1"/>
  <c r="N87" i="1"/>
  <c r="N88" i="1"/>
  <c r="N89" i="1"/>
  <c r="N90" i="1"/>
  <c r="N91" i="1"/>
  <c r="N65" i="1"/>
  <c r="N66" i="1"/>
  <c r="N67" i="1"/>
  <c r="N68" i="1"/>
  <c r="N69" i="1"/>
  <c r="N70" i="1"/>
  <c r="N71" i="1"/>
  <c r="N72" i="1"/>
  <c r="N73" i="1"/>
  <c r="N74" i="1"/>
  <c r="N75" i="1"/>
  <c r="N76" i="1"/>
  <c r="N42" i="1"/>
  <c r="N43" i="1"/>
  <c r="N44" i="1"/>
  <c r="N45" i="1"/>
  <c r="N46" i="1"/>
  <c r="N47" i="1"/>
  <c r="N48" i="1"/>
  <c r="N49" i="1"/>
  <c r="N50" i="1"/>
  <c r="N51" i="1"/>
  <c r="N52" i="1"/>
  <c r="N53" i="1"/>
  <c r="N54" i="1"/>
  <c r="N55" i="1"/>
  <c r="N56" i="1"/>
  <c r="N57" i="1"/>
  <c r="N58" i="1"/>
  <c r="N59" i="1"/>
  <c r="N60" i="1"/>
  <c r="N61" i="1"/>
  <c r="N62" i="1"/>
  <c r="N63" i="1"/>
  <c r="N64" i="1"/>
  <c r="N24" i="1"/>
  <c r="N25" i="1"/>
  <c r="N26" i="1"/>
  <c r="N27" i="1"/>
  <c r="N28" i="1"/>
  <c r="N29" i="1"/>
  <c r="N30" i="1"/>
  <c r="N31" i="1"/>
  <c r="N32" i="1"/>
  <c r="N33" i="1"/>
  <c r="N34" i="1"/>
  <c r="N35" i="1"/>
  <c r="N36" i="1"/>
  <c r="N37" i="1"/>
  <c r="N38" i="1"/>
  <c r="N39" i="1"/>
  <c r="N40" i="1"/>
  <c r="N41" i="1"/>
  <c r="N21" i="1"/>
  <c r="N22" i="1"/>
  <c r="N23" i="1"/>
  <c r="N7" i="1"/>
  <c r="N8" i="1"/>
  <c r="N9" i="1"/>
  <c r="N10" i="1"/>
  <c r="N11" i="1"/>
  <c r="N12" i="1"/>
  <c r="N13" i="1"/>
  <c r="N14" i="1"/>
  <c r="N15" i="1"/>
  <c r="N16" i="1"/>
  <c r="N17" i="1"/>
  <c r="N18" i="1"/>
  <c r="N19" i="1"/>
  <c r="N20" i="1"/>
  <c r="N2" i="1"/>
  <c r="N3" i="1"/>
  <c r="N4" i="1"/>
  <c r="N5" i="1"/>
  <c r="N6" i="1"/>
</calcChain>
</file>

<file path=xl/sharedStrings.xml><?xml version="1.0" encoding="utf-8"?>
<sst xmlns="http://schemas.openxmlformats.org/spreadsheetml/2006/main" count="13207" uniqueCount="1018">
  <si>
    <t>M</t>
  </si>
  <si>
    <t>BCB-DSTAT</t>
  </si>
  <si>
    <t>N</t>
  </si>
  <si>
    <t>nula</t>
  </si>
  <si>
    <t>cod</t>
  </si>
  <si>
    <t>nome</t>
  </si>
  <si>
    <t>per</t>
  </si>
  <si>
    <t>inicio</t>
  </si>
  <si>
    <t>fim</t>
  </si>
  <si>
    <t>esp</t>
  </si>
  <si>
    <t>met</t>
  </si>
  <si>
    <t>nome_completo</t>
  </si>
  <si>
    <t>descricao</t>
  </si>
  <si>
    <t>formato</t>
  </si>
  <si>
    <t>fonte</t>
  </si>
  <si>
    <t>Banco Central do Brasil</t>
  </si>
  <si>
    <t>urlAPI</t>
  </si>
  <si>
    <t>idAssunto</t>
  </si>
  <si>
    <t>nivel_geog</t>
  </si>
  <si>
    <t>Brasil</t>
  </si>
  <si>
    <t>localidades</t>
  </si>
  <si>
    <t>categoria</t>
  </si>
  <si>
    <t>fonte_orig</t>
  </si>
  <si>
    <t>metrica</t>
  </si>
  <si>
    <t>Saldos</t>
  </si>
  <si>
    <t>R$ milhões</t>
  </si>
  <si>
    <t>Saldo total de empréstimos, financiamentos e operações de arrendamento mercantil que compõem a carteira do SFN, já regularmente publicado pelo BCB. Excetuam-se as operações de crédito às entidades de intermediação financeira.</t>
  </si>
  <si>
    <t>Saldo das operações concedidas pelos fundos constitucionais - Fundo Constitucional de Financiamento do Nordeste (FNE), Fundo Constitucional de Financiamento do Norte (FNO) e Fundo Constitucional de Financiamento do Centro-Oeste (FCO) - e pelo Fundo de Financiamento Estudantil (FIES).  No caso dos fundos constitucionais, trata-se de operações não compreendidas nos empréstimos e financiamentos do SFN. Ressalte-se que os saldos das operações do Fundo Constitucional de Financiamento do Centro-Oeste (FCO) já estão incluídos na carteira do SFN. Para o FIES, considerou-se como estoque de crédito o valor registrado na Dívida Líquida do Setor Público (DLSP), conforme descrito na Nota Metodológica Depec 2017/092 -  (https://www.bcb.gov.br/content/estatisticas/Documents/notas_metodologicas/estatisticas-fiscais/Notafies.pdf), de julho de 2017.</t>
  </si>
  <si>
    <t>Títulos da dívida pública mobiliária federal interna detidos por residentes, excluindo a carteira do BCB.</t>
  </si>
  <si>
    <t>Títulos emitidos por empresas não financeiras no mercado de capitais doméstico (debêntures e notas comerciais), detidos por residentes, registrados na antiga Central de Custódia e Liquidação Financeira de Títulos Privados (Cetip) e atual B3 S.A. - Brasil, Bolsa, Balcão (B3).</t>
  </si>
  <si>
    <t>Incluem títulos emitidos por companhias securitizadoras – Certificados de Recebíveis Imobiliários (CRI) e Certificados de Recebíveis do Agronegócio (CRA) – e direitos creditórios em carteira de Fundos de Investimento em Direitos Creditórios (FIDC). Esses instrumentos são lastreados em operações de crédito do SFN ou geradas fora do sistema financeiro.</t>
  </si>
  <si>
    <t>Compreendem empréstimos (inclusive intercompanhia) e financiamentos. Empréstimos intercompanhia são operações de crédito entre unidades institucionais pertencentes a um mesmo grupo empresarial, exclusive bancos. São excluídas as captações das empresas financeiras (bancárias e não bancárias), pois são recursos que tendem a ser repassados no mercado doméstico e, portanto, já estão computados nos saldos das operações de crédito do SFN.</t>
  </si>
  <si>
    <t>Títulos emitidos no exterior por empresas (públicas e privadas) e entidades governamentais residentes, excluindo-se as captações das empresas financeiras (bancárias e não bancárias).</t>
  </si>
  <si>
    <t>Títulos públicos federais e de empresas públicas e privadas (debêntures, por exemplo) emitidos no mercado doméstico, denominados e liquidados em reais, detidos por não residentes.</t>
  </si>
  <si>
    <t>Saldos - Governo geral</t>
  </si>
  <si>
    <t>Saldos - Empresas e famílias</t>
  </si>
  <si>
    <t>Outras sociedades financeiras (OSF): Inclui as operações de crédito da Agência Especial de Financiamento Industrial S.A. (Finame) e do BNDES Participações S.A. (BNDESPAR), instituições do grupo Banco Nacional de Desenvolvimento Econômico e Social (BNDES). Também são considerados saldos dos fundos de pensão e das empresas de consórcio. No caso dos fundos de pensão, trata-se de empréstimos pessoais e financiamentos imobiliários concedidos a participantes das entidades fechadas de previdência complementar. No caso das empresas de consórcio, refere-se aos saldos a receber de financiamentos de veículos e imóveis junto aos consorciados que já foram contemplados.</t>
  </si>
  <si>
    <t>Títulos emitidos por famílias no mercado externo</t>
  </si>
  <si>
    <t>Saldos com recursos livres</t>
  </si>
  <si>
    <t>Saldo em final de período das operações de crédito contratadas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t>
  </si>
  <si>
    <t>Saldo em final de período das operações de crédito contratadas com taxas de juros livremente pactuadas entre Pessoas Jurídicas e instituições financeiras. Não inclui operações referenciadas em taxas regulamentadas, operações vinculadas a recursos do Banco Nacional de Desenvolvimento Econômico e Social (BNDES) ou quaisquer outras lastreadas em recursos compulsórios ou governamentais. Desconto de duplicatas: adiantamento de recursos a pessoas jurídicas com base em fluxo de caixa futuro vinculado a duplicatas mercantis e a outros tipos de recebíveis, exceto cheques e faturas de cartão de crédito.</t>
  </si>
  <si>
    <t>Saldo em final de período das operações de crédito contratadas com taxas de juros livremente pactuadas entre Pessoas Jurídicas e instituições financeiras. Não inclui operações referenciadas em taxas regulamentadas, operações vinculadas a recursos do Banco Nacional de Desenvolvimento Econômico e Social (BNDES) ou quaisquer outras lastreadas em recursos compulsórios ou governamentais. Desconto de cheques: adiantamento de recursos a pessoas jurídicas com base em fluxo de caixa futuro vinculado a cheques custodiados.</t>
  </si>
  <si>
    <t>Saldo em final de período das operações de crédito contratadas com taxas de juros livremente pactuadas entre Pessoas Jurídicas e instituições financeiras. Não inclui operações referenciadas em taxas regulamentadas, operações vinculadas a recursos do Banco Nacional de Desenvolvimento Econômico e Social (BNDES) ou quaisquer outras lastreadas em recursos compulsórios ou governamentais. Antecipação de faturas de cartão de crédito: adiantamento de recursos a pessoas jurídicas com base em fluxo de caixa futuro vinculado a direitos creditórios sob a forma de faturas de cartão de crédito.</t>
  </si>
  <si>
    <t>Saldo em final de período das operações de crédito contratadas com taxas de juros livremente pactuadas entre Pessoas Jurídicas e instituições financeiras. Não inclui operações referenciadas em taxas regulamentadas, operações vinculadas a recursos do Banco Nacional de Desenvolvimento Econômico e Social (BNDES) ou quaisquer outras lastreadas em recursos compulsórios ou governamentais. Capital de giro com prazo até 365 dias: crédito de curto prazo destinado a financiar as atividades operacionais das empresas, vinculada a um contrato específico que estabeleça prazos, taxas e garantias, observado o prazo de contratação igual ou inferior a 365 dias.</t>
  </si>
  <si>
    <t>Saldo em final de período das operações de crédito contratadas com taxas de juros livremente pactuadas entre Pessoas Jurídicas e instituições financeiras. Não inclui operações referenciadas em taxas regulamentadas, operações vinculadas a recursos do Banco Nacional de Desenvolvimento Econômico e Social (BNDES) ou quaisquer outras lastreadas em recursos compulsórios ou governamentais. Capital de giro com prazo superior a 365 dias: crédito de médio e longo prazo destinado a financiar as atividades operacionais das empresas, vinculada a um contrato específico que estabeleça prazos, taxas e garantias, observado o prazo de contratação superior a 365 dias.</t>
  </si>
  <si>
    <t>Saldo em final de período das operações de crédito contratadas com taxas de juros livremente pactuadas entre Pessoas Jurídicas e instituições financeiras. Não inclui operações referenciadas em taxas regulamentadas, operações vinculadas a recursos do Banco Nacional de Desenvolvimento Econômico e Social (BNDES) ou quaisquer outras lastreadas em recursos compulsórios ou governamentais. Capital de giro com teto rotativo: crédito destinado a financiar atividades operacionais das empresas, vinculado a contrato que estabeleça linha de crédito rotativo e amortizações com datas pré-determinadas.</t>
  </si>
  <si>
    <t>Saldo em final de período das operações de crédito contratadas com taxas de juros livremente pactuadas entre Pessoas Jurídicas e instituições financeiras. Não inclui operações referenciadas em taxas regulamentadas, operações vinculadas a recursos do Banco Nacional de Desenvolvimento Econômico e Social (BNDES) ou quaisquer outras lastreadas em recursos compulsórios ou governamentais.  Capital de giro total.</t>
  </si>
  <si>
    <t>Saldo em final de período das operações de crédito contratadas com taxas de juros livremente pactuadas entre Pessoas Jurídicas e instituições financeiras. Não inclui operações referenciadas em taxas regulamentadas, operações vinculadas a recursos do Banco Nacional de Desenvolvimento Econômico e Social (BNDES) ou quaisquer outras lastreadas em recursos compulsórios ou governamentais. Saldo total.</t>
  </si>
  <si>
    <t>Saldo em final de período das operações de crédito contratadas com taxas de juros livremente pactuadas entre Pessoas Jurídicas e instituições financeiras. Não inclui operações referenciadas em taxas regulamentadas, operações vinculadas a recursos do Banco Nacional de Desenvolvimento Econômico e Social (BNDES) ou quaisquer outras lastreadas em recursos compulsórios ou governamentais. Saldo total do crédito não rotativo.</t>
  </si>
  <si>
    <t>Saldo em final de período das operações de crédito contratadas com taxas de juros livremente pactuadas entre Pessoas Jurídicas e instituições financeiras. Não inclui operações referenciadas em taxas regulamentadas, operações vinculadas a recursos do Banco Nacional de Desenvolvimento Econômico e Social (BNDES) ou quaisquer outras lastreadas em recursos compulsórios ou governamentais. Saldo total do crédito rotativo.</t>
  </si>
  <si>
    <t>Saldo em final de período das operações de crédito contratadas com taxas de juros livremente pactuadas entre Pessoas Jurídicas e instituições financeiras. Não inclui operações referenciadas em taxas regulamentadas, operações vinculadas a recursos do Banco Nacional de Desenvolvimento Econômico e Social (BNDES) ou quaisquer outras lastreadas em recursos compulsórios ou governamentais.  Conta garantida: crédito rotativo vinculado à conta bancária de pessoas jurídicas, em que determinado limite de recursos é disponibilizado para utilização pelo cliente, por meio da movimentação da conta corrente e/ou solicitação formal à instituição financeira, a qual pode, eventualmente, solicitar a vinculação de garantias de recebíveis, ou outras garantias, ao limite do cliente. As operações de adiantamento a lojistas, que configuram a utilização em excesso ao limite de crédito estabelecido em contrato, são consideradas nessa modalidade.</t>
  </si>
  <si>
    <t>Saldo em final de período das operações de crédito contratadas com taxas de juros livremente pactuadas entre Pessoas Jurídicas e instituições financeiras. Não inclui operações referenciadas em taxas regulamentadas, operações vinculadas a recursos do Banco Nacional de Desenvolvimento Econômico e Social (BNDES) ou quaisquer outras lastreadas em recursos compulsórios ou governamentais. Cheque especial: crédito rotativo vinculado à conta corrente, em que determinado limite de recursos é disponibilizado para utilização pelo cliente em situações não programadas e de curto prazo, por meio de saques, cheques, pagamentos ou transferências bancárias. As operações classificadas nessa modalidade devem ter como característica a amortização automática do saldo devedor quando ocorrer depósitos na conta corrente do tomador do crédito. As operações de adiantamento à depositante ou a lojistas, que configuram a utilização em excesso ao limite de crédito estabelecido em contrato, são consideradas nessa modalidade.</t>
  </si>
  <si>
    <t>Saldo em final de período das operações de crédito contratadas com taxas de juros livremente pactuadas entre Pessoas Jurídicas e instituições financeiras. Não inclui operações referenciadas em taxas regulamentadas, operações vinculadas a recursos do Banco Nacional de Desenvolvimento Econômico e Social (BNDES) ou quaisquer outras lastreadas em recursos compulsórios ou governamentais. Aquisição de bens (veículos / outros bens): financiamentos para compra de bens (veículos / outros bens) destinados à manutenção ou ao aumento da capacidade produtiva das pessoas jurídicas contratantes, configurando-se como investimento, ou ao consumo das pessoas físicas contratantes. No caso de veículos, o contrato deve conter cláusula de alienação fiduciária, com o bem financiado constituindo a garantia da operação. Os financiamentos de veículos destinados à formação de estoques comerciais não são classificados nesta modalidade.</t>
  </si>
  <si>
    <t>Saldo em final de período das operações de crédito contratadas com taxas de juros livremente pactuadas entre Pessoas Jurídicas e instituições financeiras. Não inclui operações referenciadas em taxas regulamentadas, operações vinculadas a recursos do Banco Nacional de Desenvolvimento Econômico e Social (BNDES) ou quaisquer outras lastreadas em recursos compulsórios ou governamentais. Arrendamento mercantil (veículos / outros bens): operações de arrendamento mercantil (leasing) financeiro, em que o arrendador concede ao arrendatário a utilização do objeto do contrato de arrendamento (veículos / outros bens), com opção de compra ao final do contrato.</t>
  </si>
  <si>
    <t>Saldo em final de período das operações de crédito contratadas com taxas de juros livremente pactuadas entre Pessoas Jurídicas e instituições financeiras. Não inclui operações referenciadas em taxas regulamentadas, operações vinculadas a recursos do Banco Nacional de Desenvolvimento Econômico e Social (BNDES) ou quaisquer outras lastreadas em recursos compulsórios ou governamentais. Vendor: operações de financiamento de vendas baseadas no princípio da cessão de crédito, que permite à empresa tomadora do empréstimo (fornecedor/vendedor) vender seus produtos a prazo e receber o pagamento à vista da instituição financeira. A empresa compradora assume o compromisso de efetuar o pagamento a prazo, destinado a liquidar a operação junto à instituição financeira. Em geral, a instituição financeira ficará com os direitos creditórios da empresa vendedora, à qual caberá o risco da operação.</t>
  </si>
  <si>
    <t>Saldo em final de período das operações de crédito contratadas com taxas de juros livremente pactuadas entre Pessoas Jurídicas e instituições financeiras. Não inclui operações referenciadas em taxas regulamentadas, operações vinculadas a recursos do Banco Nacional de Desenvolvimento Econômico e Social (BNDES) ou quaisquer outras lastreadas em recursos compulsórios ou governamentais. Compror: operações de crédito a pessoas jurídicas voltadas para o financiamento de suas compras (produtos e serviços), caracterizada pelo fato de que o desembolso inicial ocorre com o pagamento à vista das compras, pela instituição financeira, diretamente ao fornecedor. Estão inclusas nessa modalidade as operações de Floor Plan, destinadas ao financiamento dos estoques das revendedoras de veículos.</t>
  </si>
  <si>
    <t>Saldo em final de período das operações de crédito contratadas com taxas de juros livremente pactuadas entre Pessoas Jurídicas e instituições financeiras. Não inclui operações referenciadas em taxas regulamentadas, operações vinculadas a recursos do Banco Nacional de Desenvolvimento Econômico e Social (BNDES) ou quaisquer outras lastreadas em recursos compulsórios ou governamentais. Cartão de crédito – rotativo: operações de financiamento do saldo devedor remanescente após vencimento da fatura e operações de saque com pagamento à vista em dinheiro efetuadas na função crédito.</t>
  </si>
  <si>
    <t>Saldo em final de período das operações de crédito contratadas com taxas de juros livremente pactuadas entre Pessoas Jurídicas e instituições financeiras. Não inclui operações referenciadas em taxas regulamentadas, operações vinculadas a recursos do Banco Nacional de Desenvolvimento Econômico e Social (BNDES) ou quaisquer outras lastreadas em recursos compulsórios ou governamentais. Cartão de crédito – parcelado: compreende o parcelamento de compras realizadas com cartão de crédito ou dos valores referentes à fatura do cartão, mediante a cobrança de juros. Inclui as operações de saques em dinheiro com pagamentos parcelados com o uso do cartão na função crédito.</t>
  </si>
  <si>
    <t>Saldo em final de período das operações de crédito contratadas com taxas de juros livremente pactuadas entre Pessoas Jurídicas e instituições financeiras. Não inclui operações referenciadas em taxas regulamentadas, operações vinculadas a recursos do Banco Nacional de Desenvolvimento Econômico e Social (BNDES) ou quaisquer outras lastreadas em recursos compulsórios ou governamentais. Cartão de crédito – compras à vista: corresponde às compras à vista realizadas no cartão de crédito, e às compras parceladas pelos lojistas (afiliados), em que não há incidência de juros.</t>
  </si>
  <si>
    <t>Saldo em final de período das operações de crédito contratadas com taxas de juros livremente pactuadas entre Pessoas Jurídicas e instituições financeiras. Não inclui operações referenciadas em taxas regulamentadas, operações vinculadas a recursos do Banco Nacional de Desenvolvimento Econômico e Social (BNDES) ou quaisquer outras lastreadas em recursos compulsórios ou governamentais. Cartão de crédito total.</t>
  </si>
  <si>
    <t>Saldo em final de período das operações de crédito contratadas com taxas de juros livremente pactuadas entre Pessoas Jurídicas e instituições financeiras. Não inclui operações referenciadas em taxas regulamentadas, operações vinculadas a recursos do Banco Nacional de Desenvolvimento Econômico e Social (BNDES) ou quaisquer outras lastreadas em recursos compulsórios ou governamentais. Adiantamentos sobre contratos de câmbio (ACC): antecipação parcial ou total de recursos vinculados a contratos de exportação, com o objetivo de financiar a produção das mercadorias a serem exportadas. Inclui as operações de adiantamentos de cambiais entregues (ACE).</t>
  </si>
  <si>
    <t>Saldo em final de período das operações de crédito contratadas com taxas de juros livremente pactuadas entre Pessoas Jurídicas e instituições financeiras. Não inclui operações referenciadas em taxas regulamentadas, operações vinculadas a recursos do Banco Nacional de Desenvolvimento Econômico e Social (BNDES) ou quaisquer outras lastreadas em recursos compulsórios ou governamentais. Financiamento à importação: financiamentos destinados à compra de bens ou serviços no exterior, vinculados a linhas de crédito externas.</t>
  </si>
  <si>
    <t>Saldo em final de período das operações de crédito contratadas com taxas de juros livremente pactuadas entre Pessoas Jurídicas e instituições financeiras. Não inclui operações referenciadas em taxas regulamentadas, operações vinculadas a recursos do Banco Nacional de Desenvolvimento Econômico e Social (BNDES) ou quaisquer outras lastreadas em recursos compulsórios ou governamentais. Financiamento à exportação: financiamentos para a venda de bens e serviços ao exterior e que não ACC e ACE. Inclui export notes e operações com Cédulas de Crédito à Exportação (CCE) e Notas de Crédito à Exportação (NCE).</t>
  </si>
  <si>
    <t>Saldo em final de período das operações de crédito contratadas com taxas de juros livremente pactuadas entre Pessoas Jurídicas e instituições financeiras. Não inclui operações referenciadas em taxas regulamentadas, operações vinculadas a recursos do Banco Nacional de Desenvolvimento Econômico e Social (BNDES) ou quaisquer outras lastreadas em recursos compulsórios ou governamentais. Repasse externo: linha de crédito com recursos captados no exterior por instituição financeira, com base na Resolução nº 3.844, de 23 de março de 2010, contratadas por pessoas jurídicas localizadas no país, e que não se enquadrem nas modalidades ACC, financiamento à importação e financiamento à exportação.</t>
  </si>
  <si>
    <t>Saldo em final de período das operações de crédito contratadas com taxas de juros livremente pactuadas entre Pessoas Jurídicas e instituições financeiras. Não inclui operações referenciadas em taxas regulamentadas, operações vinculadas a recursos do Banco Nacional de Desenvolvimento Econômico e Social (BNDES) ou quaisquer outras lastreadas em recursos compulsórios ou governamentais. Outros créditos livres: referem-se às operações de crédito com recursos livres que não foram enquadradas nas modalidades anteriores, a exemplo de operações de desconto de notas promissórias, arrendamento mercantil operacional e renegociação de dívidas no segmento de pessoas jurídicas e as operações de penhor no segmento de pessoas físicas.</t>
  </si>
  <si>
    <t xml:space="preserve">Saldo em final de período das operações de crédito contratadas com taxas de juros livremente pactuadas entre Pessoas Física e instituições financeiras. Não inclui operações referenciadas em taxas regulamentadas, operações vinculadas a recursos do Banco Nacional de Desenvolvimento Econômico e Social (BNDES) ou quaisquer outras lastreadas em recursos compulsórios ou governamentais. </t>
  </si>
  <si>
    <t>Saldo em final de período das operações de crédito contratadas com taxas de juros livremente pactuadas entre Pessoas Física e instituições financeiras. Não inclui operações referenciadas em taxas regulamentadas, operações vinculadas a recursos do Banco Nacional de Desenvolvimento Econômico e Social (BNDES) ou quaisquer outras lastreadas em recursos compulsórios ou governamentais. Saldo total não rotativo.</t>
  </si>
  <si>
    <t>Saldo em final de período das operações de crédito contratadas com taxas de juros livremente pactuadas entre Pessoas Física e instituições financeiras. Não inclui operações referenciadas em taxas regulamentadas, operações vinculadas a recursos do Banco Nacional de Desenvolvimento Econômico e Social (BNDES) ou quaisquer outras lastreadas em recursos compulsórios ou governamentais. Saldo total rotativo.</t>
  </si>
  <si>
    <t>Saldo em final de período das operações de crédito contratadas com taxas de juros livremente pactuadas entre Pessoas Física e instituições financeiras. Não inclui operações referenciadas em taxas regulamentadas, operações vinculadas a recursos do Banco Nacional de Desenvolvimento Econômico e Social (BNDES) ou quaisquer outras lastreadas em recursos compulsórios ou governamentais. Cheque especial: crédito rotativo vinculado à conta corrente, em que determinado limite de recursos é disponibilizado para utilização pelo cliente em situações não programadas e de curto prazo, por meio de saques, cheques, pagamentos ou transferências bancárias. As operações classificadas nessa modalidade devem ter como característica a amortização automática do saldo devedor quando ocorrer depósitos na conta corrente do tomador do crédito. As operações de adiantamento à depositante ou a lojistas, que configuram a utilização em excesso ao limite de crédito estabelecido em contrato, são consideradas nessa modalidade.</t>
  </si>
  <si>
    <t>Saldo em final de período das operações de crédito contratadas com taxas de juros livremente pactuadas entre Pessoas Física e instituições financeiras. Não inclui operações referenciadas em taxas regulamentadas, operações vinculadas a recursos do Banco Nacional de Desenvolvimento Econômico e Social (BNDES) ou quaisquer outras lastreadas em recursos compulsórios ou governamentais. Crédito pessoal não consignado: linha de crédito às pessoas físicas sem vinculação com aquisição de bem ou serviço, e sem retenção de parte do salário ou benefício do contratante para o pagamento das parcelas do empréstimo (desconto em folha de pagamento).</t>
  </si>
  <si>
    <t>Saldo em final de período das operações de crédito contratadas com taxas de juros livremente pactuadas entre Pessoas Física e instituições financeiras. Não inclui operações referenciadas em taxas regulamentadas, operações vinculadas a recursos do Banco Nacional de Desenvolvimento Econômico e Social (BNDES) ou quaisquer outras lastreadas em recursos compulsórios ou governamentais. Crédito pessoal não consignado vinculado à composição de dívidas: operações de empréstimos a pessoas físicas associadas a composição de dívidas vencidas envolvendo modalidades distintas. As composições de dívidas entre operações de mesma modalidade estão registradas na modalidade de origem.</t>
  </si>
  <si>
    <t>Saldo em final de período das operações de crédito contratadas com taxas de juros livremente pactuadas entre Pessoas Física e instituições financeiras. Não inclui operações referenciadas em taxas regulamentadas, operações vinculadas a recursos do Banco Nacional de Desenvolvimento Econômico e Social (BNDES) ou quaisquer outras lastreadas em recursos compulsórios ou governamentais. Crédito pessoal consignado para trabalhadores do setor privado: crédito destinado a empregados do setor privado, com retenção de parte do salário do contratante pelo empregador para o pagamento das parcelas do empréstimo – desconto em folha de pagamento.</t>
  </si>
  <si>
    <t>Saldo em final de período das operações de crédito contratadas com taxas de juros livremente pactuadas entre Pessoas Física e instituições financeiras. Não inclui operações referenciadas em taxas regulamentadas, operações vinculadas a recursos do Banco Nacional de Desenvolvimento Econômico e Social (BNDES) ou quaisquer outras lastreadas em recursos compulsórios ou governamentais. Crédito pessoal consignado para trabalhadores do setor público: crédito destinado a servidores públicos federais, estaduais e municipais, ativos ou inativos, com retenção, por parte do órgão público ao qual o servidor está vinculado, de parte do salário ou rendimento de aposentadoria para o pagamento das parcelas do empréstimo – desconto em folha de pagamento.</t>
  </si>
  <si>
    <t>Saldo em final de período das operações de crédito contratadas com taxas de juros livremente pactuadas entre Pessoas Física e instituições financeiras. Não inclui operações referenciadas em taxas regulamentadas, operações vinculadas a recursos do Banco Nacional de Desenvolvimento Econômico e Social (BNDES) ou quaisquer outras lastreadas em recursos compulsórios ou governamentais. Crédito pessoal consignado para aposentados e pensionistas do INSS: operações de crédito a aposentados e pensionistas do Instituto Nacional de Seguro Social (INSS), com retenção de parte do benefício do contratante pelo INSS para o pagamento das parcelas do empréstimo – desconto em folha de pagamento.</t>
  </si>
  <si>
    <t>Saldo em final de período das operações de crédito contratadas com taxas de juros livremente pactuadas entre Pessoas Física e instituições financeiras. Não inclui operações referenciadas em taxas regulamentadas, operações vinculadas a recursos do Banco Nacional de Desenvolvimento Econômico e Social (BNDES) ou quaisquer outras lastreadas em recursos compulsórios ou governamentais. Crédito pessoal consignado total.</t>
  </si>
  <si>
    <t>Saldo em final de período das operações de crédito contratadas com taxas de juros livremente pactuadas entre Pessoas Física e instituições financeiras. Não inclui operações referenciadas em taxas regulamentadas, operações vinculadas a recursos do Banco Nacional de Desenvolvimento Econômico e Social (BNDES) ou quaisquer outras lastreadas em recursos compulsórios ou governamentais. Crédito pessoal total.</t>
  </si>
  <si>
    <t>Saldo em final de período das operações de crédito contratadas com taxas de juros livremente pactuadas entre Pessoas Física e instituições financeiras. Não inclui operações referenciadas em taxas regulamentadas, operações vinculadas a recursos do Banco Nacional de Desenvolvimento Econômico e Social (BNDES) ou quaisquer outras lastreadas em recursos compulsórios ou governamentais. Aquisição de bens (veículos / outros bens): financiamentos para compra de bens (veículos / outros bens) destinados à manutenção ou ao aumento da capacidade produtiva das pessoas jurídicas contratantes, configurando-se como investimento, ou ao consumo das pessoas físicas contratantes. No caso de veículos, o contrato deve conter cláusula de alienação fiduciária, com o bem financiado constituindo a garantia da operação. Os financiamentos de veículos destinados à formação de estoques comerciais não são classificados nesta modalidade.</t>
  </si>
  <si>
    <t>Saldo em final de período das operações de crédito contratadas com taxas de juros livremente pactuadas entre Pessoas Física e instituições financeiras. Não inclui operações referenciadas em taxas regulamentadas, operações vinculadas a recursos do Banco Nacional de Desenvolvimento Econômico e Social (BNDES) ou quaisquer outras lastreadas em recursos compulsórios ou governamentais. Arrendamento mercantil (veículos / outros bens): operações de arrendamento mercantil (leasing) financeiro, em que o arrendador concede ao arrendatário a utilização do objeto do contrato de arrendamento (veículos / outros bens), com opção de compra ao final do contrato.</t>
  </si>
  <si>
    <t>Saldo em final de período das operações de crédito contratadas com taxas de juros livremente pactuadas entre Pessoas Física e instituições financeiras. Não inclui operações referenciadas em taxas regulamentadas, operações vinculadas a recursos do Banco Nacional de Desenvolvimento Econômico e Social (BNDES) ou quaisquer outras lastreadas em recursos compulsórios ou governamentais. Cartão de crédito – rotativo: operações de financiamento do saldo devedor remanescente após vencimento da fatura e operações de saque com pagamento à vista em dinheiro efetuadas na função crédito.</t>
  </si>
  <si>
    <t>Saldo em final de período das operações de crédito contratadas com taxas de juros livremente pactuadas entre Pessoas Física e instituições financeiras. Não inclui operações referenciadas em taxas regulamentadas, operações vinculadas a recursos do Banco Nacional de Desenvolvimento Econômico e Social (BNDES) ou quaisquer outras lastreadas em recursos compulsórios ou governamentais. Cartão de crédito – parcelado: compreende o parcelamento de compras realizadas com cartão de crédito ou dos valores referentes à fatura do cartão, mediante a cobrança de juros. Inclui as operações de saques em dinheiro com pagamentos parcelados com o uso do cartão na função crédito.</t>
  </si>
  <si>
    <t>Saldo em final de período das operações de crédito contratadas com taxas de juros livremente pactuadas entre Pessoas Física e instituições financeiras. Não inclui operações referenciadas em taxas regulamentadas, operações vinculadas a recursos do Banco Nacional de Desenvolvimento Econômico e Social (BNDES) ou quaisquer outras lastreadas em recursos compulsórios ou governamentais. Cartão de crédito – compras à vista: corresponde às compras à vista realizadas no cartão de crédito, e às compras parceladas pelos lojistas (afiliados), em que não há incidência de juros.</t>
  </si>
  <si>
    <t>Saldo em final de período das operações de crédito contratadas com taxas de juros livremente pactuadas entre Pessoas Física e instituições financeiras. Não inclui operações referenciadas em taxas regulamentadas, operações vinculadas a recursos do Banco Nacional de Desenvolvimento Econômico e Social (BNDES) ou quaisquer outras lastreadas em recursos compulsórios ou governamentais. Cartão de crédito total.</t>
  </si>
  <si>
    <t>Saldo em final de período das operações de crédito contratadas com taxas de juros livremente pactuadas entre Pessoas Física e instituições financeiras. Não inclui operações referenciadas em taxas regulamentadas, operações vinculadas a recursos do Banco Nacional de Desenvolvimento Econômico e Social (BNDES) ou quaisquer outras lastreadas em recursos compulsórios ou governamentais. Desconto de cheques: adiantamento de recursos a pessoas jurídicas com base em fluxo de caixa futuro vinculado a cheques custodiados.</t>
  </si>
  <si>
    <t>Saldo em final de período das operações de crédito contratadas com taxas de juros livremente pactuadas entre Pessoas Física e instituições financeiras. Não inclui operações referenciadas em taxas regulamentadas, operações vinculadas a recursos do Banco Nacional de Desenvolvimento Econômico e Social (BNDES) ou quaisquer outras lastreadas em recursos compulsórios ou governamentais. Outros créditos livres: referem-se às operações de crédito com recursos livres que não foram enquadradas nas modalidades anteriores, a exemplo de operações de desconto de notas promissórias, arrendamento mercantil operacional e renegociação de dívidas no segmento de pessoas jurídicas e as operações de penhor no segmento de pessoas físicas.</t>
  </si>
  <si>
    <t>Saldos com recursos direcionados</t>
  </si>
  <si>
    <t>Saldo em final de período das operações de crédito regulamentadas pelo Conselho Monetário Nacional (CMN) ou vinculados a recursos orçamentários.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t>
  </si>
  <si>
    <t>Saldo em final de período das operações de crédito regulamentadas pelo Conselho Monetário Nacional (CMN) ou vinculados a recursos orçamentários concedidas às Pessoas Jurídicas.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t>
  </si>
  <si>
    <t>Saldo em final de período das operações de crédito regulamentadas pelo Conselho Monetário Nacional (CMN) ou vinculados a recursos orçamentários concedidas às Pessoas Jurídicas.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Crédito rural com taxas de mercado: operações realizadas em consonância com as diretrizes do direcionamento definidas pelo CMN, consolidadas no Manual de Crédito Rural (MCR), mas pactuadas com taxas de mercado, destinadas a produtores rurais pessoas físicas e jurídicas. Estão incluídas nessa modalidade as operações de crédito rural relacionadas com fundo constitucional.</t>
  </si>
  <si>
    <t>Saldo em final de período das operações de crédito regulamentadas pelo Conselho Monetário Nacional (CMN) ou vinculados a recursos orçamentários concedidas às Pessoas Jurídicas.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Crédito rural com taxas reguladas: operações realizadas em consonância com as diretrizes do direcionamento definidas pelo CMN (estabelece, entre outros parâmetros, o volume de financiamento e a taxa máxima de juros para cada produto), consolidadas no Manual de Crédito Rural (MCR), destinadas a produtores rurais pessoas físicas e jurídicas. Estão incluídas nessa modalidade as operações de crédito rural relacionadas com fundo constitucional.</t>
  </si>
  <si>
    <t>Saldo em final de período das operações de crédito regulamentadas pelo Conselho Monetário Nacional (CMN) ou vinculados a recursos orçamentários concedidas às Pessoas Jurídicas.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Crédito rural total.</t>
  </si>
  <si>
    <t>Saldo em final de período das operações de crédito regulamentadas pelo Conselho Monetário Nacional (CMN) ou vinculados a recursos orçamentários concedidas às Pessoas Jurídicas.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Financiamento imobiliário com taxas de mercado: compreendem as operações de financiamento imobiliário relacionadas com a exigibilidade de direcionamento a que se refere o art. 1º, inciso I, alínea “b” do regulamento anexo à Resolução nº 3.932, de 2010, assim como as operações relacionadas com outras fontes de recursos captados em mercado.</t>
  </si>
  <si>
    <t>Saldo em final de período das operações de crédito regulamentadas pelo Conselho Monetário Nacional (CMN) ou vinculados a recursos orçamentários concedidas às Pessoas Jurídicas.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Financiamento imobiliário com taxas reguladas: compreendem as operações de financiamento habitacional relacionadas com a exigibilidade de direcionamento a que se refere o art. 1º, inciso I, alínea “a” do regulamento anexo à Resolução nº 3.932, de 2010, assim como as relacionadas com recursos de origem orçamentária ou de fundos e/ou programas governamentais.</t>
  </si>
  <si>
    <t>Saldo em final de período das operações de crédito regulamentadas pelo Conselho Monetário Nacional (CMN) ou vinculados a recursos orçamentários concedidas às Pessoas Jurídicas.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Financiamento imobiliário total.</t>
  </si>
  <si>
    <t>Saldo em final de período das operações de crédito regulamentadas pelo Conselho Monetário Nacional (CMN) ou vinculados a recursos orçamentários concedidas às Pessoas Jurídicas.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Capital de giro com recursos do BNDES: operações de capital de giro e de financiamentos a exportações vinculadas a recursos do BNDES.</t>
  </si>
  <si>
    <t>Saldo em final de período das operações de crédito regulamentadas pelo Conselho Monetário Nacional (CMN) ou vinculados a recursos orçamentários concedidas às Pessoas Jurídicas.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Financiamento de investimentos com recursos do BNDES: financiamentos de investimentos vinculados a recursos do BNDES.</t>
  </si>
  <si>
    <t>Saldo em final de período das operações de crédito regulamentadas pelo Conselho Monetário Nacional (CMN) ou vinculados a recursos orçamentários concedidas às Pessoas Jurídicas.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Financiamento agroindustrial com recursos do BNDES: financiamentos agroindustriais vinculados a recursos do BNDES.</t>
  </si>
  <si>
    <t>Saldo em final de período das operações de crédito regulamentadas pelo Conselho Monetário Nacional (CMN) ou vinculados a recursos orçamentários concedidas às Pessoas Jurídicas.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Financiamento com recursos do BNDES total.</t>
  </si>
  <si>
    <t>Saldo em final de período das operações de crédito regulamentadas pelo Conselho Monetário Nacional (CMN) ou vinculados a recursos orçamentários concedidas às Pessoas Jurídicas.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Outros créditos direcionados: referem-se às operações de crédito direcionado que não se enquadrem nas modalidades listadas anteriormente.</t>
  </si>
  <si>
    <t>Saldo em final de período das operações de crédito regulamentadas pelo Conselho Monetário Nacional (CMN) ou vinculados a recursos orçamentários concedidas às Pessoas Físicas.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Outros créditos direcionados: referem-se às operações de crédito direcionado que não se enquadrem nas modalidades listadas anteriormente.</t>
  </si>
  <si>
    <t>Saldo em final de período das operações de crédito regulamentadas pelo Conselho Monetário Nacional (CMN) ou vinculados a recursos orçamentários concedidas às Pessoas Físicas.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t>
  </si>
  <si>
    <t>Saldo em final de período das operações de crédito regulamentadas pelo Conselho Monetário Nacional (CMN) ou vinculados a recursos orçamentários concedidas às Pessoas Físicas.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Crédito rural com taxas de mercado: operações realizadas em consonância com as diretrizes do direcionamento definidas pelo CMN, consolidadas no Manual de Crédito Rural (MCR), mas pactuadas com taxas de mercado, destinadas a produtores rurais pessoas físicas e jurídicas. Estão incluídas nessa modalidade as operações de crédito rural relacionadas com fundo constitucional.</t>
  </si>
  <si>
    <t>Saldo em final de período das operações de crédito regulamentadas pelo Conselho Monetário Nacional (CMN) ou vinculados a recursos orçamentários concedidas às Pessoas Físicas.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Crédito rural com taxas reguladas: operações realizadas em consonância com as diretrizes do direcionamento definidas pelo CMN (estabelece, entre outros parâmetros, o volume de financiamento e a taxa máxima de juros para cada produto), consolidadas no Manual de Crédito Rural (MCR), destinadas a produtores rurais pessoas físicas e jurídicas. Estão incluídas nessa modalidade as operações de crédito rural relacionadas com fundo constitucional.</t>
  </si>
  <si>
    <t>Saldo em final de período das operações de crédito regulamentadas pelo Conselho Monetário Nacional (CMN) ou vinculados a recursos orçamentários concedidas às Pessoas Físicas.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Crédito rural total.</t>
  </si>
  <si>
    <t>Saldo em final de período das operações de crédito regulamentadas pelo Conselho Monetário Nacional (CMN) ou vinculados a recursos orçamentários concedidas às Pessoas Físicas.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Financiamento imobiliário com taxas de mercado: compreendem as operações de financiamento imobiliário relacionadas com a exigibilidade de direcionamento a que se refere o art. 1º, inciso I, alínea “b” do regulamento anexo à Resolução nº 3.932, de 2010, assim como as operações relacionadas com outras fontes de recursos captados em mercado.</t>
  </si>
  <si>
    <t>Saldo em final de período das operações de crédito regulamentadas pelo Conselho Monetário Nacional (CMN) ou vinculados a recursos orçamentários concedidas às Pessoas Físicas.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Financiamento imobiliário com taxas reguladas: compreendem as operações de financiamento habitacional relacionadas com a exigibilidade de direcionamento a que se refere o art. 1º, inciso I, alínea “a” do regulamento anexo à Resolução nº 3.932, de 2010, assim como as relacionadas com recursos de origem orçamentária ou de fundos e/ou programas governamentais.</t>
  </si>
  <si>
    <t>Saldo em final de período das operações de crédito regulamentadas pelo Conselho Monetário Nacional (CMN) ou vinculados a recursos orçamentários concedidas às Pessoas Físicas.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Financiamento imobiliário total.</t>
  </si>
  <si>
    <t>Saldo em final de período das operações de crédito regulamentadas pelo Conselho Monetário Nacional (CMN) ou vinculados a recursos orçamentários concedidas às Pessoas Físicas.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Capital de giro com recursos do BNDES: operações de capital de giro e de financiamentos a exportações vinculadas a recursos do BNDES.</t>
  </si>
  <si>
    <t>Saldo em final de período das operações de crédito regulamentadas pelo Conselho Monetário Nacional (CMN) ou vinculados a recursos orçamentários concedidas às Pessoas Físicas.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Financiamento de investimentos com recursos do BNDES: financiamentos de investimentos vinculados a recursos do BNDES.</t>
  </si>
  <si>
    <t>Saldo em final de período das operações de crédito regulamentadas pelo Conselho Monetário Nacional (CMN) ou vinculados a recursos orçamentários concedidas às Pessoas Físicas.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Financiamento agroindustrial com recursos do BNDES: financiamentos agroindustriais vinculados a recursos do BNDES.</t>
  </si>
  <si>
    <t>Saldo em final de período das operações de crédito regulamentadas pelo Conselho Monetário Nacional (CMN) ou vinculados a recursos orçamentários concedidas às Pessoas Físicas.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Financiamento com recursos do BNDES total.</t>
  </si>
  <si>
    <t>Saldo em final de período das operações de crédito regulamentadas pelo Conselho Monetário Nacional (CMN) ou vinculados a recursos orçamentários concedidas às Pessoas Físicas.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Microcrédito – consumo: operações de microcrédito destinadas ao consumo contratadas com recursos lastreados em depósitos a vista, nos termos definidos pela Resolução nº 3.422, de 30 de novembro de 2006.</t>
  </si>
  <si>
    <t>Saldo em final de período das operações de crédito regulamentadas pelo Conselho Monetário Nacional (CMN) ou vinculados a recursos orçamentários concedidas às Pessoas Físicas.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Microcrédito – microempreendedor: refere-se às operações de microcrédito destinadas a microempreendedores contratadas com recursos lastreados em depósitos a vista, nos termos definidos pela Resolução nº 3.422, de 2006. As operações de microcrédito para pessoas jurídicas, nos termos dos incisos II e IV, do art.2º dessa Resolução estão incluídas nessa modalidade.</t>
  </si>
  <si>
    <t>Saldo em final de período das operações de crédito regulamentadas pelo Conselho Monetário Nacional (CMN) ou vinculados a recursos orçamentários concedidas às Pessoas Físicas.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Microcrédito total.</t>
  </si>
  <si>
    <t>Saldo em final de período das operações de crédito regulamentadas pelo Conselho Monetário Nacional (CMN) ou vinculados a recursos orçamentários concedidas às Pessoas Físicas.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Financiamento com recursos do BNDES - Repasses.</t>
  </si>
  <si>
    <t>Saldo em final de período das operações de crédito regulamentadas pelo Conselho Monetário Nacional (CMN) ou vinculados a recursos orçamentários concedidas às Pessoas Jurídicas.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Financiamento com recursos do BNDES - Carteira própria.</t>
  </si>
  <si>
    <t>Saldo em final de período das operações de crédito regulamentadas pelo Conselho Monetário Nacional (CMN) ou vinculados a recursos orçamentários concedidas às Pessoas Jurídicas.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Financiamento com recursos do BNDES - Repasses.</t>
  </si>
  <si>
    <t>Saldos por porte de empresa</t>
  </si>
  <si>
    <t>Saldo em final de período das operações de crédito contratadas no Sistema Financeiro Nacional, classificadas por porte da empresa tomadora. O critério para classificação do porte é informado no documento 3040 (Dados de Risco de Crédito), com base nos seguintes critérios: Micro, Pequena e Média Empresa (MPME): receita bruta anual até R$300 milhões ou ativo total até R$240 milhões; Grande Empresa: receita bruta anual acima de R$300 milhões ou ativo total superior a R$240 milhões.</t>
  </si>
  <si>
    <t>Total</t>
  </si>
  <si>
    <t>Pessoas jurídicas - Total</t>
  </si>
  <si>
    <t>Pessoas físicas - Total</t>
  </si>
  <si>
    <t>Pessoas jurídicas - Não rotativo</t>
  </si>
  <si>
    <t>Pessoas jurídicas - Rotativo</t>
  </si>
  <si>
    <t>Pessoas jurídicas - Desconto de duplicatas e recebíveis</t>
  </si>
  <si>
    <t>Pessoas jurídicas - Desconto de cheques</t>
  </si>
  <si>
    <t>Pessoas jurídicas - Antecipação de faturas de cartão de crédito</t>
  </si>
  <si>
    <t>Pessoas jurídicas - Capital de giro com prazo de até 365 dias</t>
  </si>
  <si>
    <t>Pessoas jurídicas - Capital de giro com prazo superior a 365 dias</t>
  </si>
  <si>
    <t>Pessoas jurídicas - Capital de giro rotativo</t>
  </si>
  <si>
    <t>Pessoas jurídicas - Capital de giro total</t>
  </si>
  <si>
    <t>Pessoas jurídicas - Conta garantida</t>
  </si>
  <si>
    <t>Pessoas jurídicas - Cheque especial</t>
  </si>
  <si>
    <t>Pessoas jurídicas - Aquisição de veículos</t>
  </si>
  <si>
    <t>Pessoas jurídicas - Aquisição de outros bens</t>
  </si>
  <si>
    <t>Pessoas jurídicas - Aquisição de bens total</t>
  </si>
  <si>
    <t>Pessoas jurídicas - Arrendamento mercantil de veículos</t>
  </si>
  <si>
    <t>Pessoas jurídicas - Arrendamento mercantil de outros bens</t>
  </si>
  <si>
    <t>Pessoas jurídicas - Arrendamento mercantil total</t>
  </si>
  <si>
    <t>Pessoas jurídicas - Vendor</t>
  </si>
  <si>
    <t>Pessoas jurídicas - Compror</t>
  </si>
  <si>
    <t>Pessoas jurídicas - Cartão de crédito rotativo</t>
  </si>
  <si>
    <t>Pessoas jurídicas - Cartão de crédito parcelado</t>
  </si>
  <si>
    <t>Pessoas jurídicas - Cartão de crédito à vista</t>
  </si>
  <si>
    <t>Pessoas jurídicas - Cartão de crédito total</t>
  </si>
  <si>
    <t>Pessoas jurídicas - Adiantamento sobre contratos de câmbio (ACC)</t>
  </si>
  <si>
    <t>Pessoas jurídicas - Financiamento a importações</t>
  </si>
  <si>
    <t>Pessoas jurídicas - Financiamento a exportações</t>
  </si>
  <si>
    <t>Pessoas jurídicas - Repasse externo</t>
  </si>
  <si>
    <t>Pessoas jurídicas - Outros créditos livres</t>
  </si>
  <si>
    <t>Pessoas físicas - Não rotativo</t>
  </si>
  <si>
    <t>Pessoas físicas - Rotativo</t>
  </si>
  <si>
    <t>Pessoas físicas - Cheque especial</t>
  </si>
  <si>
    <t>Pessoas físicas - Crédito pessoal não consignado</t>
  </si>
  <si>
    <t>Pessoas físicas - Crédito pessoal não consignado vinculado à composição de dívidas</t>
  </si>
  <si>
    <t>Pessoas físicas - Crédito pessoal consignado para trabalhadores do setor privado</t>
  </si>
  <si>
    <t>Pessoas físicas - Crédito pessoal consignado para trabalhadores do setor público</t>
  </si>
  <si>
    <t>Pessoas físicas - Crédito pessoal consignado para aposentados e pensionistas do INSS</t>
  </si>
  <si>
    <t>Pessoas físicas - Crédito pessoal consignado total</t>
  </si>
  <si>
    <t>Pessoas físicas - Crédito pessoal total</t>
  </si>
  <si>
    <t>Pessoas físicas - Aquisição de veículos</t>
  </si>
  <si>
    <t>Pessoas físicas - Aquisição de outros bens</t>
  </si>
  <si>
    <t>Pessoas físicas - Aquisição de bens total</t>
  </si>
  <si>
    <t>Pessoas físicas - Arrendamento mercantil de veículos</t>
  </si>
  <si>
    <t>Pessoas físicas - Arrendamento mercantil de outros bens</t>
  </si>
  <si>
    <t>Pessoas físicas - Arrendamento mercantil total</t>
  </si>
  <si>
    <t>Pessoas físicas - Cartão de crédito rotativo</t>
  </si>
  <si>
    <t>Pessoas físicas - Cartão de crédito parcelado</t>
  </si>
  <si>
    <t>Pessoas físicas - Cartão de crédito à vista</t>
  </si>
  <si>
    <t>Pessoas físicas - Cartão de crédito total</t>
  </si>
  <si>
    <t>Pessoas físicas - Desconto de cheques</t>
  </si>
  <si>
    <t>Pessoas físicas - Outros créditos livres</t>
  </si>
  <si>
    <t>Pessoas jurídicas - Crédito rural com taxas de mercado</t>
  </si>
  <si>
    <t>Pessoas jurídicas - Crédito rural com taxas reguladas</t>
  </si>
  <si>
    <t>Pessoas jurídicas - Crédito rural total</t>
  </si>
  <si>
    <t>Pessoas jurídicas - Financiamento imobiliário com taxas de mercado</t>
  </si>
  <si>
    <t>Pessoas jurídicas - Financiamento imobiliário com taxas reguladas</t>
  </si>
  <si>
    <t>Pessoas jurídicas - Financiamento imobiliário total</t>
  </si>
  <si>
    <t>Pessoas jurídicas - Capital de giro com recursos do BNDES</t>
  </si>
  <si>
    <t>Pessoas jurídicas - Financiamento de investimentos com recursos do BNDES</t>
  </si>
  <si>
    <t>Pessoas jurídicas - Financiamento agroindustrial com recursos do BNDES</t>
  </si>
  <si>
    <t>Pessoas jurídicas - Financiamento com recursos do BNDES total</t>
  </si>
  <si>
    <t>Pessoas jurídicas - Outros créditos direcionados</t>
  </si>
  <si>
    <t>Pessoas físicas - Crédito rural com taxas de mercado</t>
  </si>
  <si>
    <t>Pessoas físicas - Crédito rural com taxas reguladas</t>
  </si>
  <si>
    <t>Pessoas físicas - Crédito rural total</t>
  </si>
  <si>
    <t>Pessoas físicas - Financiamento imobiliário com taxas de mercado</t>
  </si>
  <si>
    <t>Pessoas físicas - Financiamento imobiliário com taxas reguladas</t>
  </si>
  <si>
    <t>Pessoas físicas - Financiamento imobiliário total</t>
  </si>
  <si>
    <t>Pessoas físicas - Capital de giro com recursos do BNDES</t>
  </si>
  <si>
    <t>Pessoas físicas - Financiamento de investimentos com recursos do BNDES</t>
  </si>
  <si>
    <t>Pessoas físicas - Financiamento agroindustrial com recursos do BNDES</t>
  </si>
  <si>
    <t>Pessoas físicas - Financiamento com recursos do BNDES total</t>
  </si>
  <si>
    <t>Pessoas físicas - Microcrédito destinado a consumo</t>
  </si>
  <si>
    <t>Pessoas físicas - Microcrédito destinado a microempreendedores</t>
  </si>
  <si>
    <t>Pessoas físicas - Microcrédito total</t>
  </si>
  <si>
    <t>Pessoas físicas - Outros créditos direcionados</t>
  </si>
  <si>
    <t>Pessoas jurídicas - Financiamento com recursos do BNDES - Carteira própria</t>
  </si>
  <si>
    <t>Pessoas jurídicas - Financiamento com recursos do BNDES - Repasses</t>
  </si>
  <si>
    <t>Pessoas físicas - Financiamento com recursos do BNDES - Repasses</t>
  </si>
  <si>
    <t>Grande empresa</t>
  </si>
  <si>
    <t>Micro, Pequena e Média empresa</t>
  </si>
  <si>
    <t>Empréstimos do SFN ao governo</t>
  </si>
  <si>
    <t>Títulos públicos - Governo geral</t>
  </si>
  <si>
    <t>Dívida externa - Empréstimos ao governo</t>
  </si>
  <si>
    <t>Dívida externa - Títulos públicos emitidos no mercado externo</t>
  </si>
  <si>
    <t>Dívida externa - Títulos públicos emitidos no mercado doméstico</t>
  </si>
  <si>
    <t>Empréstimos do SFN a empresas</t>
  </si>
  <si>
    <t>Empréstimos de OSF a empresas</t>
  </si>
  <si>
    <t>Empréstimos de fundos governamentais a empresas</t>
  </si>
  <si>
    <t>Títulos privados emitidos por empresas</t>
  </si>
  <si>
    <t>Instrumentos de securitização - devedores empresas</t>
  </si>
  <si>
    <t>Dívida externa - Empréstimos a empresas</t>
  </si>
  <si>
    <t>Dívida externa - Títulos emitidos por empresas no mercado externo</t>
  </si>
  <si>
    <t>Dívida externa - Títulos emitidos por empresas no mercado doméstico</t>
  </si>
  <si>
    <t>Empréstimos do SFN a famílias</t>
  </si>
  <si>
    <t>Empréstimos de OSF a famílias</t>
  </si>
  <si>
    <t>Empréstimos de fundos governamentais a famílias</t>
  </si>
  <si>
    <t>Instrumentos de securitização - devedores famílias</t>
  </si>
  <si>
    <t>Dívida externa - Empréstimos a famílias</t>
  </si>
  <si>
    <t>Dívida externa - Títulos emitidos por famílias no mercado externo</t>
  </si>
  <si>
    <t>Saldos por atividade econômica</t>
  </si>
  <si>
    <t>Setor agropecuário</t>
  </si>
  <si>
    <t>Setor industrial - Total</t>
  </si>
  <si>
    <t>Setor industrial - Serviços industriais de utilidade pública (SIUP)</t>
  </si>
  <si>
    <t>Setor industrial - Construção</t>
  </si>
  <si>
    <t>Setor industrial - Alimentos</t>
  </si>
  <si>
    <t>Setor industrial - Açúcar</t>
  </si>
  <si>
    <t>Setor industrial - Têxtil, vestuário, couro e calçados</t>
  </si>
  <si>
    <t>Setor industrial - Papel e celulose</t>
  </si>
  <si>
    <t>Setor industrial - Petróleo, gás e álcool</t>
  </si>
  <si>
    <t>Setor industrial - Metalurgia e siderurgia</t>
  </si>
  <si>
    <t>Setor industrial - Química e farmacêutica</t>
  </si>
  <si>
    <t>Setor industrial - Bens de capital</t>
  </si>
  <si>
    <t>Setor industrial - Automobilística</t>
  </si>
  <si>
    <t>Setor industrial - Mineração</t>
  </si>
  <si>
    <t>Setor industrial - Obras de infraestrutura</t>
  </si>
  <si>
    <t>Setor industrial - Outros bens de consumo duráveis</t>
  </si>
  <si>
    <t>Setor industrial - Embalagens</t>
  </si>
  <si>
    <t>Setor industrial - Bens de consumo não duráveis</t>
  </si>
  <si>
    <t>Setor de serviços - Total</t>
  </si>
  <si>
    <t>Setor de serviços - Transportes</t>
  </si>
  <si>
    <t>Setor de serviços - Via terrestre (carga e passageiro)</t>
  </si>
  <si>
    <t>Setor de serviços - Meios aquaviário e aéreo</t>
  </si>
  <si>
    <t>Setor de serviços - Dutoviário</t>
  </si>
  <si>
    <t>Setor de serviços - Comércio</t>
  </si>
  <si>
    <t>Setor de serviços - Varejo - bens não duráveis</t>
  </si>
  <si>
    <t>Setor de serviços - Varejo - bens duráveis</t>
  </si>
  <si>
    <t>Setor de serviços - Atacado - bens duráveis e não-duráveis</t>
  </si>
  <si>
    <t>Setor de serviços - Geral - veículos automotores</t>
  </si>
  <si>
    <t>Setor de serviços - Geral - bens intermediários</t>
  </si>
  <si>
    <t>Setor de serviços - Geral - bens de capital</t>
  </si>
  <si>
    <t>Setor de serviços - Administração pública</t>
  </si>
  <si>
    <t>Setor de serviços - Serviços imobiliários</t>
  </si>
  <si>
    <t>Setor de serviços - Serviços de informação e comunicação</t>
  </si>
  <si>
    <t>Setor de serviços - Demais serviços prestados às famílias</t>
  </si>
  <si>
    <t>Setor de serviços - Demais serviços prestados às empresas</t>
  </si>
  <si>
    <t>Setor de serviços - Serviços financeiros</t>
  </si>
  <si>
    <t>Setor de serviços - Outros serviços</t>
  </si>
  <si>
    <t>Outros setores</t>
  </si>
  <si>
    <t>Saldos por tipo de cliente</t>
  </si>
  <si>
    <t>Refere-se ao saldo das operações de empréstimo, financiamento e arrendamento mercantil concedidas pelas instituições integrantes do Sistema Financeiro Nacional (SFN), exclusive agências e subsidiárias de bancos brasileiros no exterior. Inclui  operações com recursos livres e direcionados.</t>
  </si>
  <si>
    <t>Setor privado - Total</t>
  </si>
  <si>
    <t>Setor privado - Pessoas jurídicas</t>
  </si>
  <si>
    <t>Setor privado - Pessoas físicas</t>
  </si>
  <si>
    <t>Setor público - Total</t>
  </si>
  <si>
    <t>Setor público - Governo federal</t>
  </si>
  <si>
    <t>Setor público - Governos estuduais e municipais</t>
  </si>
  <si>
    <t>Saldos por controle de capital</t>
  </si>
  <si>
    <t>Refere-se ao saldo das operações de empréstimo, financiamento e arrendamento mercantil concedidas pelas instituições integrantes do sistema financeiro público. Esse segmento é formado pelas instituições financeiras, cuja maioria do capital votante pertence, direta ou indiretamente, à União e aos Estados. Inclui  operações com recursos livres e direcionados.</t>
  </si>
  <si>
    <t>Refere-se ao saldo das operações de empréstimo, financiamento e arrendamento mercantil concedidas pelas instituições integrantes do sistema financeiro privado, composto por instituições nacionais e estrangeiras, de acordo com a definição estabelecida na Carta-Circular 2.345 de 25.1.1993. Inclui operações com recursos livres e direcionados. Inclui operações com recursos livres e direcionados.</t>
  </si>
  <si>
    <t>Refere-se ao saldo das operações de empréstimo, financiamento e arrendamento mercantil concedidas pelas instituições integrantes do sistema financeiro privado nacional. Esse segmento é formado pelas instituições financeiras, cuja maioria do capital votante pertence a pessoas físicas e jurídicas domiciliadas e residentes no País, de acordo com a definição estabelecida na Carta-Circular 2.345 de 25.1.1993. Inclui operações com recursos livres e direcionados.</t>
  </si>
  <si>
    <t>Refere-se ao saldo das operações de empréstimo, financiamento e arrendamento mercantil concedidas pelas instituições integrantes do sistema financeiro estrangeiro. Esse segmento é formado pelas instituições financeiras, cuja maioria do capital votante pertence, direta ou indiretamente, ao controle estrangeiro, assim como por aquelas constituídas e sediadas no exterior com dependência ou filial no País, de acordo com a definição estabelecida na Carta-Circular 2.345 de 25.1.1993. Inclui operações com recursos livres e direcionados.</t>
  </si>
  <si>
    <t>Controle público - Total</t>
  </si>
  <si>
    <t>Controle privado nacional - Total</t>
  </si>
  <si>
    <t>Controle privado - Total</t>
  </si>
  <si>
    <t>Controle estrangeiro - Total</t>
  </si>
  <si>
    <t>%</t>
  </si>
  <si>
    <t>Saldo percentual em relação ao PIB</t>
  </si>
  <si>
    <t>Crédito / PIB</t>
  </si>
  <si>
    <t>Crédito - Pessoas jurídicas / PIB</t>
  </si>
  <si>
    <t>Crédito - Pessoas físicas / PIB</t>
  </si>
  <si>
    <t>Crédito livre / PIB</t>
  </si>
  <si>
    <t>Crédito livre - Pessoas jurídicas / PIB</t>
  </si>
  <si>
    <t>Crédito livre - Pessoas físicas / PIB</t>
  </si>
  <si>
    <t>Crédito direcionado / PIB</t>
  </si>
  <si>
    <t>Crédito direcionado - Pessoas jurídicas / PIB</t>
  </si>
  <si>
    <t>Crédito direcionado - Pessoas físicas / PIB</t>
  </si>
  <si>
    <t>Relação percentual entre o saldo de crédito concedido pelo Sistema Financeiro Nacional e o valor do PIB acumulado nos últimos doze meses a valores correntes.</t>
  </si>
  <si>
    <t>Relação percentual entre o saldo de crédito concedido pelo Sistema Financeiro Nacional e o valor do PIB acumulado nos últimos doze meses a valores correntes. Recursos livres: correspondem aos contratos de financiamentos e empréstimos com taxas de juros livremente pactuadas entre instituições financeiras e mutuários (taxas de mercado). Nas operações livres, as instituições financeiras têm autonomia sobre a destinação dos recursos captados no mercado.</t>
  </si>
  <si>
    <t>Relação percentual entre o saldo de crédito concedido pelo Sistema Financeiro Nacional e o valor do PIB acumulado nos últimos doze meses a valores correntes. Recursos direcionados: operações de crédito regulamentadas pelo Conselho Monetário Nacional (CMN) ou vinculadas a recursos orçamentários, destinadas, basicamente, à produção e ao investimento de médio e longo prazo aos setores imobiliário, habitacional, rural e de infraestrutura. As fontes de recursos são oriundas de parcelas das captações de depósito à vista e de caderneta de poupança, além de fundos e programas públicos.</t>
  </si>
  <si>
    <t>Refere-se ao saldo das operações de empréstimo, financiamento, adiantamento e arrendamento mercantil concedidas pelas instituições integrantes do Sistema Financeiro Nacional (SFN). Compreende, ainda, operações de arrendamento mercantil e com o setor público. As operações efetuadas pelo BNDES são segregadas em diretas e repasses, estas contratadas via agentes financeiros.</t>
  </si>
  <si>
    <t>Saldo de crédito das instituições financeiras sob controle estrangeiro / PIB</t>
  </si>
  <si>
    <t>Saldo de crédito das instituições financeiras sob controle privado / PIB</t>
  </si>
  <si>
    <t>Saldo de crédito das instituições financeiras sob controle privado nacional / PIB</t>
  </si>
  <si>
    <t>Saldo de crédito das instituições financeiras sob controle público / PIB</t>
  </si>
  <si>
    <t>Saldo percentual em relação ao PIB - Por controle de capital</t>
  </si>
  <si>
    <t>Concessões</t>
  </si>
  <si>
    <t>Concessões com recursos livres</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</si>
  <si>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</si>
  <si>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Total de concessões de crédito não rotativo.</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</si>
  <si>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Total de concessões de crédito rotativo.</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</si>
  <si>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Desconto de duplicatas: adiantamento de recursos a pessoas jurídicas com base em fluxo de caixa futuro vinculado a duplicatas mercantis e a outros tipos de recebíveis, exceto cheques e faturas de cartão de crédito.</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</si>
  <si>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Desconto de cheques: adiantamento de recursos a pessoas jurídicas com base em fluxo de caixa futuro vinculado a cheques custodiados.</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</si>
  <si>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Antecipação de faturas de cartão de crédito: adiantamento de recursos a pessoas jurídicas com base em fluxo de caixa futuro vinculado a direitos creditórios sob a forma de faturas de cartão de crédito.</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</si>
  <si>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Capital de giro com prazo até 365 dias: crédito de curto prazo destinado a financiar as atividades operacionais das empresas, vinculada a um contrato específico que estabeleça prazos, taxas e garantias, observado o prazo de contratação igual ou inferior a 365 dias.</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</si>
  <si>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Capital de giro com prazo superior a 365 dias: crédito de médio e longo prazo destinado a financiar as atividades operacionais das empresas, vinculada a um contrato específico que estabeleça prazos, taxas e garantias, observado o prazo de contratação superior a 365 dias.</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</si>
  <si>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Capital de giro com teto rotativo: crédito destinado a financiar atividades operacionais das empresas, vinculado a contrato que estabeleça linha de crédito rotativo e amortizações com datas pré-determinadas.</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</si>
  <si>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Capital de giro total.</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</si>
  <si>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Conta garantida: crédito rotativo vinculado à conta bancária de pessoas jurídicas, em que determinado limite de recursos é disponibilizado para utilização pelo cliente, por meio da movimentação da conta corrente e/ou solicitação formal à instituição financeira, a qual pode, eventualmente, solicitar a vinculação de garantias de recebíveis, ou outras garantias, ao limite do cliente. As operações de adiantamento a lojistas, que configuram a utilização em excesso ao limite de crédito estabelecido em contrato, são consideradas nessa modalidade.</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</si>
  <si>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Cheque especial: crédito rotativo vinculado à conta corrente, em que determinado limite de recursos é disponibilizado para utilização pelo cliente em situações não programadas e de curto prazo, por meio de saques, cheques, pagamentos ou transferências bancárias. As operações classificadas nessa modalidade devem ter como característica a amortização automática do saldo devedor quando ocorrer depósitos na conta corrente do tomador do crédito. As operações de adiantamento à depositante ou a lojistas, que configuram a utilização em excesso ao limite de crédito estabelecido em contrato, são consideradas nessa modalidade.</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</si>
  <si>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Arrendamento mercantil (veículos / outros bens): operações de arrendamento mercantil (leasing) financeiro, em que o arrendador concede ao arrendatário a utilização do objeto do contrato de arrendamento (veículos / outros bens), com opção de compra ao final do contrato.</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</si>
  <si>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Aquisição de bens (veículos / outros bens): financiamentos para compra de bens (veículos / outros bens) destinados à manutenção ou ao aumento da capacidade produtiva das pessoas jurídicas contratantes, configurando-se como investimento, ou ao consumo das pessoas físicas contratantes. No caso de veículos, o contrato deve conter cláusula de alienação fiduciária, com o bem financiado constituindo a garantia da operação. Os financiamentos de veículos destinados à formação de estoques comerciais não são classificados nesta modalidade.</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</si>
  <si>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Vendor: operações de financiamento de vendas baseadas no princípio da cessão de crédito, que permite à empresa tomadora do empréstimo (fornecedor/vendedor) vender seus produtos a prazo e receber o pagamento à vista da instituição financeira. A empresa compradora assume o compromisso de efetuar o pagamento a prazo, destinado a liquidar a operação junto à instituição financeira. Em geral, a instituição financeira ficará com os direitos creditórios da empresa vendedora, à qual caberá o risco da operação.</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</si>
  <si>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Compror: operações de crédito a pessoas jurídicas voltadas para o financiamento de suas compras (produtos e serviços), caracterizada pelo fato de que o desembolso inicial ocorre com o pagamento à vista das compras, pela instituição financeira, diretamente ao fornecedor. Estão inclusas nessa modalidade as operações de Floor Plan, destinadas ao financiamento dos estoques das revendedoras de veículos.</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</si>
  <si>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Cartão de crédito – rotativo: operações de financiamento do saldo devedor remanescente após vencimento da fatura e operações de saque com pagamento à vista em dinheiro efetuadas na função crédito.</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</si>
  <si>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Cartão de crédito – parcelado: compreende o parcelamento de compras realizadas com cartão de crédito ou dos valores referentes à fatura do cartão, mediante a cobrança de juros. Inclui as operações de saques em dinheiro com pagamentos parcelados com o uso do cartão na função crédito.</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</si>
  <si>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Cartão de crédito – compras à vista: corresponde às compras à vista realizadas no cartão de crédito, e às compras parceladas pelos lojistas (afiliados), em que não há incidência de juros.</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</si>
  <si>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Cartão de crédito total.</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</si>
  <si>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Adiantamentos sobre contratos de câmbio (ACC): antecipação parcial ou total de recursos vinculados a contratos de exportação, com o objetivo de financiar a produção das mercadorias a serem exportadas. Inclui as operações de adiantamentos de cambiais entregues (ACE).</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</si>
  <si>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Financiamento à importação: financiamentos destinados à compra de bens ou serviços no exterior, vinculados a linhas de crédito externas.</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</si>
  <si>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Financiamento à exportação: financiamentos para a venda de bens e serviços ao exterior e que não ACC e ACE. Inclui export notes e operações com Cédulas de Crédito à Exportação (CCE) e Notas de Crédito à Exportação (NCE).</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</si>
  <si>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Repasse externo: linha de crédito com recursos captados no exterior por instituição financeira, com base na Resolução nº 3.844, de 23 de março de 2010, contratadas por pessoas jurídicas localizadas no país, e que não se enquadrem nas modalidades ACC, financiamento à importação e financiamento à exportação.</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</si>
  <si>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Outros créditos livres: referem-se às operações de crédito com recursos livres que não foram enquadradas nas modalidades anteriores, a exemplo de operações de desconto de notas promissórias, arrendamento mercantil operacional e renegociação de dívidas no segmento de pessoas jurídicas e as operações de penhor no segmento de pessoas físicas.</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</si>
  <si>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Total de concessões para pessoas físicas.</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</si>
  <si>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Total de concessões para pessoas jurídicas.</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</si>
  <si>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Total de concessões em crédito não rotativo.</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</si>
  <si>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Total de concessões em crédito rotativo.</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</si>
  <si>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Crédito pessoal não consignado: linha de crédito às pessoas físicas sem vinculação com aquisição de bem ou serviço, e sem retenção de parte do salário ou benefício do contratante para o pagamento das parcelas do empréstimo (desconto em folha de pagamento).</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</si>
  <si>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Crédito pessoal não consignado vinculado a renegociação de dívidas: operações de empréstimos a pessoas físicas associadas a composição de dívidas vencidas envolvendo modalidades distintas. As composições de dívidas entre operações de mesma modalidade estão registradas na modalidade de origem.</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</si>
  <si>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Crédito pessoal consignado para trabalhadores do setor privado: crédito destinado a empregados do setor privado, com retenção de parte do salário do contratante pelo empregador para o pagamento das parcelas do empréstimo – desconto em folha de pagamento.</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</si>
  <si>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Crédito pessoal consignado para trabalhadores do setor público: crédito destinado a servidores públicos federais, estaduais e municipais, ativos ou inativos, com retenção, por parte do órgão público ao qual o servidor está vinculado, de parte do salário ou rendimento de aposentadoria para o pagamento das parcelas do empréstimo – desconto em folha de pagamento.</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</si>
  <si>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Crédito pessoal consignado para aposentados e pensionistas do INSS: operações de crédito a aposentados e pensionistas do Instituto Nacional de Seguro Social (INSS), com retenção de parte do benefício do contratante pelo INSS para o pagamento das parcelas do empréstimo – desconto em folha de pagamento.</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</si>
  <si>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Crédito pessoal consignado total.</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</si>
  <si>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Crédito pessoal total.</t>
  </si>
  <si>
    <t>Concessões com recursos direcionados</t>
  </si>
  <si>
    <t>Valor das novas operações de crédito regulamentado pelo Conselho Monetário Nacional (CMN) ou vinculado a recursos orçamentários, contratadas no período de referência.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Total de concessões.</t>
  </si>
  <si>
    <t>Valor das novas operações de crédito regulamentado pelo Conselho Monetário Nacional (CMN) ou vinculado a recursos orçamentários, contratadas no período de referência.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Total de concessões para pessoas jurídicas.</t>
  </si>
  <si>
    <t>Valor das novas operações de crédito regulamentado pelo Conselho Monetário Nacional (CMN) ou vinculado a recursos orçamentários, contratadas no período de referência.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Crédito rural com taxas de mercado: operações realizadas em consonância com as diretrizes do direcionamento definidas pelo CMN, consolidadas no Manual de Crédito Rural (MCR), mas pactuadas com taxas de mercado, destinadas a produtores rurais pessoas físicas e jurídicas. Estão incluídas nessa modalidade as operações de crédito rural relacionadas com fundo constitucional.</t>
  </si>
  <si>
    <t>Valor das novas operações de crédito regulamentado pelo Conselho Monetário Nacional (CMN) ou vinculado a recursos orçamentários, contratadas no período de referência.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Crédito rural com taxas reguladas: operações realizadas em consonância com as diretrizes do direcionamento definidas pelo CMN (estabelece, entre outros parâmetros, o volume de financiamento e a taxa máxima de juros para cada produto), consolidadas no Manual de Crédito Rural (MCR), destinadas a produtores rurais pessoas físicas e jurídicas. Estão incluídas nessa modalidade as operações de crédito rural relacionadas com fundo constitucional.</t>
  </si>
  <si>
    <t>Valor das novas operações de crédito regulamentado pelo Conselho Monetário Nacional (CMN) ou vinculado a recursos orçamentários, contratadas no período de referência.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Crédito rural total.</t>
  </si>
  <si>
    <t>Valor das novas operações de crédito regulamentado pelo Conselho Monetário Nacional (CMN) ou vinculado a recursos orçamentários, contratadas no período de referência.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Financiamento imobiliário com taxas de mercado: compreendem as operações de financiamento imobiliário relacionadas com a exigibilidade de direcionamento a que se refere o art. 1º, inciso I, alínea “b” do regulamento anexo à Resolução nº 3.932, de 2010, assim como as operações relacionadas com outras fontes de recursos captados em mercado.</t>
  </si>
  <si>
    <t>Valor das novas operações de crédito regulamentado pelo Conselho Monetário Nacional (CMN) ou vinculado a recursos orçamentários, contratadas no período de referência.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Financiamento imobiliário com taxas reguladas: compreendem as operações de financiamento habitacional relacionadas com a exigibilidade de direcionamento a que se refere o art. 1º, inciso I, alínea “a” do regulamento anexo à Resolução nº 3.932, de 2010, assim como as relacionadas com recursos de origem orçamentária ou de fundos e/ou programas governamentais.</t>
  </si>
  <si>
    <t>Valor das novas operações de crédito regulamentado pelo Conselho Monetário Nacional (CMN) ou vinculado a recursos orçamentários, contratadas no período de referência.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Financiamento imobiliário total.</t>
  </si>
  <si>
    <t>Valor das novas operações de crédito regulamentado pelo Conselho Monetário Nacional (CMN) ou vinculado a recursos orçamentários, contratadas no período de referência.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Capital de giro com recursos do BNDES: operações de capital de giro e de financiamentos a exportações vinculadas a recursos do BNDES.</t>
  </si>
  <si>
    <t>Valor das novas operações de crédito regulamentado pelo Conselho Monetário Nacional (CMN) ou vinculado a recursos orçamentários, contratadas no período de referência.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Financiamento de investimentos com recursos do BNDES: financiamentos de investimentos vinculados a recursos do BNDES.</t>
  </si>
  <si>
    <t>Valor das novas operações de crédito regulamentado pelo Conselho Monetário Nacional (CMN) ou vinculado a recursos orçamentários, contratadas no período de referência.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Financiamento agroindustrial com recursos do BNDES: financiamentos agroindustriais vinculados a recursos do BNDES.</t>
  </si>
  <si>
    <t>Valor das novas operações de crédito regulamentado pelo Conselho Monetário Nacional (CMN) ou vinculado a recursos orçamentários, contratadas no período de referência.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Financiamento com recursos do BNDES total.</t>
  </si>
  <si>
    <t>Valor das novas operações de crédito regulamentado pelo Conselho Monetário Nacional (CMN) ou vinculado a recursos orçamentários, contratadas no período de referência.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Total de concessões para pessoas físicas.</t>
  </si>
  <si>
    <t>Valor das novas operações de crédito regulamentado pelo Conselho Monetário Nacional (CMN) ou vinculado a recursos orçamentários, contratadas no período de referência.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Microcrédito – consumo: operações de microcrédito destinadas ao consumo contratadas com recursos lastreados em depósitos a vista, nos termos definidos pela Resolução nº 3.422, de 30 de novembro de 2006.</t>
  </si>
  <si>
    <t>Valor das novas operações de crédito regulamentado pelo Conselho Monetário Nacional (CMN) ou vinculado a recursos orçamentários, contratadas no período de referência.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Microcrédito – microempreendedor: refere-se às operações de microcrédito destinadas a microempreendedores contratadas com recursos lastreados em depósitos a vista, nos termos definidos pela Resolução nº 3.422, de 2006. As operações de microcrédito para pessoas jurídicas, nos termos dos incisos II e IV, do art.2º dessa Resolução estão incluídas nessa modalidade.</t>
  </si>
  <si>
    <t>Valor das novas operações de crédito regulamentado pelo Conselho Monetário Nacional (CMN) ou vinculado a recursos orçamentários, contratadas no período de referência.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Microcrédito total.</t>
  </si>
  <si>
    <t>Valor das novas operações de crédito regulamentado pelo Conselho Monetário Nacional (CMN) ou vinculado a recursos orçamentários, contratadas no período de referência.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Outros créditos direcionados: referem-se às operações de crédito direcionado que não se enquadrem nas modalidades listadas anteriormente.</t>
  </si>
  <si>
    <t>Concessões sazonalmente ajustadas</t>
  </si>
  <si>
    <t>Valor das novas operações de crédito com recursos livres e direcionados. O método empregado no processo de ajuste sazonal é o X-13 Arima Seats. Antes de realizar os ajustes sazonais, são realizados testes de detecção de sazonalidade. Quando a sazonalidade não é significante, a série não é ajustada. Leva-se em conta a estrutura móvel do calendário, chamada efeito calendário. O número de dias úteis de cada mês pode mudar de ano para ano. Além disso, alguns feriados, como o Carnaval, são móveis, podendo cair em dias e meses diferentes de acordo com o ano.  As séries de crédito nominais são dessazonalizadas diretamente (Não é adotado o método de dessazonalização das séries componentes para se chegar à série agregada sazonalmente ajustada).</t>
  </si>
  <si>
    <t>Valor das novas operações de crédito contratadas no período de referência com taxas de juros livremente pactuadas entre mutuários e instituições financeiras. Não inclui operações referenciadas em taxas regulamentadas, operações vinculadas a recursos do Banco Nacional de Desenvolvimento Econômico e Social (BNDES) ou quaisquer outras lastreadas em recursos compulsórios ou governamentais.  O método empregado no processo de ajuste sazonal é o X-13 Arima Seats. Antes de realizar os ajustes sazonais, são realizados testes de detecção de sazonalidade. Quando a sazonalidade não é significante, a série não é ajustada. Leva-se em conta a estrutura móvel do calendário, chamada efeito calendário. O número de dias úteis de cada mês pode mudar de ano para ano. Além disso, alguns feriados, como o Carnaval, são móveis, podendo cair em dias e meses diferentes de acordo com o ano.  As séries de crédito nominais são dessazonalizadas diretamente (Não é adotado o método de dessazonalização das séries componentes para se chegar à série agregada sazonalmente ajustada).</t>
  </si>
  <si>
    <t>Valor das novas operações de crédito regulamentado pelo Conselho Monetário Nacional (CMN) ou vinculado a recursos orçamentários, contratadas no período de referência.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O método empregado no processo de ajuste sazonal é o X-13 Arima Seats. Antes de realizar os ajustes sazonais, são realizados testes de detecção de sazonalidade. Quando a sazonalidade não é significante, a série não é ajustada. Leva-se em conta a estrutura móvel do calendário, chamada efeito calendário. O número de dias úteis de cada mês pode mudar de ano para ano. Além disso, alguns feriados, como o Carnaval, são móveis, podendo cair em dias e meses diferentes de acordo com o ano.  As séries de crédito nominais são dessazonalizadas diretamente (Não é adotado o método de dessazonalização das séries componentes para se chegar à série agregada sazonalmente ajustada).</t>
  </si>
  <si>
    <t>Valor das novas operações de crédito contratadas no período de referência com taxas de juros livremente pactuadas entre mutuários e instituições financeiras. Série encadeada à série de crédito referencial apurada entre junho de 2000 e fevereiro de 2011. Não inclui operações de arrendamento mercantil, cartão de crédito à vista (sem incidência de juros), referenciadas em taxas regulamentadas, vinculadas a recursos do Banco Nacional de Desenvolvimento Econômico e Social (BNDES) e quaisquer outras lastreadas em recursos compulsórios ou governamentais.</t>
  </si>
  <si>
    <t>Concessões encadeadas</t>
  </si>
  <si>
    <t>% a.a.</t>
  </si>
  <si>
    <t>Indicadores de custo do crédito</t>
  </si>
  <si>
    <t>Custo médio das operações de crédito que integram a carteira de empréstimos, financiamentos e arrendamento mercantil das instituições financeiras integrantes do Sistema Financeiro Nacional. Inclui todas as operações em aberto classificadas no ativo circulante, independente da data de contratação do crédito.</t>
  </si>
  <si>
    <t>Indicadores de custo do crédito com recursos livres</t>
  </si>
  <si>
    <t>Custo médio das operações de crédito que integram a carteira de empréstimos, financiamentos e arrendamento mercantil das instituições financeiras integrantes do Sistema Financeiro Nacional. Inclui todas as operações de crédito com taxas de juros livremente pactuadas entre mutuários e instituições financeiras em aberto classificadas no ativo circulante, independente da data de contratação do crédito.</t>
  </si>
  <si>
    <t>Indicadores de custo do crédito com recursos direcionados</t>
  </si>
  <si>
    <t>Custo médio das operações de crédito que integram a carteira de empréstimos, financiamentos e arrendamento mercantil das instituições financeiras integrantes do Sistema Financeiro Nacional. Inclui todas as operações de crédito regulamentado pelo Conselho Monetário Nacional (CMN) ou vinculado a recursos orçamentários, contratadas no período de referência. Refere-se aos financiamentos com destinação específica, vinculados à comprovação da aplicação dos recursos voltados para a produção e investimento de médio e longo prazos, tendo como fonte de recursos parte das captações de depósitos à vista e de caderneta de poupança, e fundos e programas públicos, que estão em aberto e classificadas no ativo circulante, independente da data de contratação do crédito.</t>
  </si>
  <si>
    <t>p.p.</t>
  </si>
  <si>
    <t>Spread do ICC</t>
  </si>
  <si>
    <t>Spread do ICC com recursos livres</t>
  </si>
  <si>
    <t>Recursos livres - Total</t>
  </si>
  <si>
    <t>Recursos livres - Pessoas jurídicas - Total</t>
  </si>
  <si>
    <t>Recursos livres - Pessoas físicas - Total</t>
  </si>
  <si>
    <t>Crédito não rotativo - Total</t>
  </si>
  <si>
    <t>Crédito não rotativo - Pessoas jurídicas</t>
  </si>
  <si>
    <t>Crédito não rotativo - Pessoas físicas</t>
  </si>
  <si>
    <t>Crédito não rotativo - Recursos livres</t>
  </si>
  <si>
    <t>Crédito não rotativo - Recursos livres - Pessoas físicas</t>
  </si>
  <si>
    <t>Crédito não rotativo - Recursos livres - Pessoas jurídicas</t>
  </si>
  <si>
    <t>Crédito não rotativo - Pessoas jurídicas - Total</t>
  </si>
  <si>
    <t>Crédito não rotativo - Pessoas físicas - Total</t>
  </si>
  <si>
    <t>Pessoas jurídicas - Crédito não rotativo - Total</t>
  </si>
  <si>
    <t>Pessoas jurídicas - Desconto de Duplicatas e recebíveis</t>
  </si>
  <si>
    <t>Pessoas jurídicas - Desconto de Cheques</t>
  </si>
  <si>
    <t>Pessoas jurídicas - Antecipação de faturas de cartão</t>
  </si>
  <si>
    <t>Pessoas jurídicas - Adiantamentos sobre contratos de câmbio (ACC)</t>
  </si>
  <si>
    <t>Pessoas físicas - Crédito não rotativo - Total</t>
  </si>
  <si>
    <t>Pessoas físicas - Crédito não consignado</t>
  </si>
  <si>
    <t>Pessoas físicas - Desconto de Cheques</t>
  </si>
  <si>
    <t>Recursos direcionados - Total</t>
  </si>
  <si>
    <t>Recursos direcionados - Pessoas jurídicas - Total</t>
  </si>
  <si>
    <t>Pessoas jurídicas - Agroindustrial com recursos do BNDES</t>
  </si>
  <si>
    <t>Recursos direcionados - Pessoas físicas - Total</t>
  </si>
  <si>
    <t>Pessoas físicas - Agroindustrial com recursos do BNDES</t>
  </si>
  <si>
    <t>Pessoas físicas - Microcrédito</t>
  </si>
  <si>
    <t>Série encadeada ao crédito referencial - Total</t>
  </si>
  <si>
    <t>Série encadeada ao crédito referencial - Pessoas jurídicas - Total</t>
  </si>
  <si>
    <t>Série encadeada ao crédito referencial - Pessoas físicas - Total</t>
  </si>
  <si>
    <t>Recursos livres não rotativo - Pessoas jurídicas</t>
  </si>
  <si>
    <t>Recursos livres - Pessoas jurídicas - Capital de giro total</t>
  </si>
  <si>
    <t>Recursos livres não rotativo - Pessoas físicas</t>
  </si>
  <si>
    <t>Recursos livres - Pessoas físicas - Aquisição de veículos</t>
  </si>
  <si>
    <t>Recursos livres - Pessoas físicas - Cartão de crédito à vista</t>
  </si>
  <si>
    <t>Recursos direcionados - Crédito rural total</t>
  </si>
  <si>
    <t>Spread do ICC com recursos direcionados</t>
  </si>
  <si>
    <t>Taxa Preferencial Brasileira</t>
  </si>
  <si>
    <t>SCR</t>
  </si>
  <si>
    <t>Com o objetivo de estimular o crédito e reduzir os juros, pelo aumento da transparência e concorrência, desde 1999 o Banco Central do Brasil (BC) vem divulgando regularmente dados sobre as operações e os juros praticados nas operações de crédito livre do Sistema Financeiro Nacional (SFN). Em virtude dessa divulgação, diversas comparações entre as taxas brasileiras e as de outros países foram realizadas de forma equivocada, não considerando as peculiaridades das informações de cada país. Muitas das taxas de juros apresentadas pelo BC correspondem às taxas médias segundo o conceito de Custo Efetivo Total (CET) que engloba não apenas a taxa de juros, mas também tarifas, tributos, seguros e outras despesas cobradas do tomador. Além disto, são consideradas as operações livremente pactuadas no SFN independentemente do valor, ou seja, no cômputo das taxas também estão incluídas as de operações de baixo valor monetário e alto risco. Ainda assim, por vezes, essas taxas são comparadas às taxas prime de outros países, as quais correspondem às taxas de juros utilizadas em operações de elevado valor e relacionadas a clientes com baixo risco de inadimplência. No intuito de facilitar a comparação das taxas praticadas no Brasil com a de outros países, a taxa preferencial brasileira (TPB) apura a taxa média das operações pactuadas entre instituições financeiras e seus clientes preferenciais a partir dos dados provenientes do Sistema de Informações de Crédito do BC (SCR). Adicionalmente, sendo uma taxa correspondente ao custo do empréstimo para os clientes com menor risco, é possível utilizá-la como uma referência para a realização de operações de crédito, aumentando a transparência e incentivando a concorrência no mercado.</t>
  </si>
  <si>
    <t>% a.m.</t>
  </si>
  <si>
    <t>Spread médio - Total</t>
  </si>
  <si>
    <t>Spread médio - Pessoas jurídicas - Total</t>
  </si>
  <si>
    <t>Spread médio - Pessoas físicas - Total</t>
  </si>
  <si>
    <t>Spread</t>
  </si>
  <si>
    <t>Spread com recursos livres</t>
  </si>
  <si>
    <t>Spread com recursos direcionados</t>
  </si>
  <si>
    <t>Meses</t>
  </si>
  <si>
    <t>Prazos das concessões</t>
  </si>
  <si>
    <t>Prazos das concessões com recursos livres</t>
  </si>
  <si>
    <t>Prazos das concessões com recursos direcionados</t>
  </si>
  <si>
    <t>Prazos das carteiras</t>
  </si>
  <si>
    <t>Prazos das carteiras com recursos livres</t>
  </si>
  <si>
    <t>Prazos das carteiras com recursos direcionados</t>
  </si>
  <si>
    <t>Saldo em final de período das operações de crédito contratadas no Sistema Financeiro Nacional. Considera operações contratadas no segmento de crédito livre e no segmento de crédito direcionado.</t>
  </si>
  <si>
    <t>Saldo em final de período das operações de crédito contratadas no Sistema Financeiro Nacional, classificadas por setor de atividade econômica do tomador. Considera operações contratadas no segmento de crédito livre e no segmento de crédito direcionado. Agropecuária: É a exploração ordenada dos recursos naturais vegetais e animais em ambiente natural e protegido, o que abrange as atividades de cultivo agrícola, de criação e produção animal; de cultivo de espécies florestais para produção de madeira, celulose e para proteção ambiental; de extração de madeira em florestas nativas, de coleta de produtos vegetais e de exploração de animais silvestres em seus habitats naturais; a pesca extrativa de peixes, crustáceos e moluscos e a coleta de produtos aquáticos, assim como a aquicultura - criação e cultivo de animais e produtos do meio aquático. Abrange ainda o cultivo de produtos agrícolas e a criação de animais modificados geneticamente.</t>
  </si>
  <si>
    <t>Saldo em final de período das operações de crédito contratadas no Sistema Financeiro Nacional, classificadas por setor de atividade econômica do tomador. Considera operações contratadas no segmento de crédito livre e no segmento de crédito direcionado. Indústria: Compreende os diversos ramos de indústria extrativa, de transformação, serviços industriais de utilidade pública e construção.</t>
  </si>
  <si>
    <t>Saldo em final de período das operações de crédito contratadas no Sistema Financeiro Nacional, classificadas por setor de atividade econômica do tomador. Considera operações contratadas no segmento de crédito livre e no segmento de crédito direcionado. Serviços Industriais de Utilidade Pública (SIUP): Refere-se à geração, transmissão e distribuição de energia elétrica, o comércio atacadista de energia elétrica, as atividades de captação, tratamento e distribuição de água, a gestão de redes de esgoto e de resíduos de todos os tipos, as atividades de descontaminação do solo e de outras áreas, assim como operação de canais de irrigação.</t>
  </si>
  <si>
    <t>Saldo em final de período das operações de crédito contratadas no Sistema Financeiro Nacional, classificadas por setor de atividade econômica do tomador. Considera operações contratadas no segmento de crédito livre e no segmento de crédito direcionado. Construção: Refere-se à construção de edifícios de todos os tipos (residenciais, comerciais, industriais, agropecuários e públicos), a montagem de estruturas de casas, reformas e manutenções, excluindo obras de infraestrutura. Inclui fabricação de insumos para a construção.</t>
  </si>
  <si>
    <t>Saldo em final de período das operações de crédito contratadas no Sistema Financeiro Nacional, classificadas por setor de atividade econômica do tomador. Considera operações contratadas no segmento de crédito livre e no segmento de crédito direcionado. Alimentos: É o processamento e transformação de produtos da agricultura, pecuária e pesca em alimentos para uso humano e animal. Esta divisão está organizada por atividades que processam e transformam diferentes tipos de produtos como carnes, pescados, leite, frutas e legumes, gorduras e óleos, grãos e produtos de moagem, fabricação de bebidas de todos os tipos: alcoólicas (obtidas por fermentação ou destilação), não alcoólicas (refrigerantes e refrescos), as águas envasadas e a fabricação de xaropes para a fabricação de refrigerantes e refrescos, bem como a fabricação de cigarros, cigarrilhas e outros derivados do fumo. Não inclui a fabricação de açúcar.</t>
  </si>
  <si>
    <t>Saldo em final de período das operações de crédito contratadas no Sistema Financeiro Nacional, classificadas por setor de atividade econômica do tomador. Considera operações contratadas no segmento de crédito livre e no segmento de crédito direcionado. Açúcar: Refere-se à fabricação e refino do açúcar.</t>
  </si>
  <si>
    <t>Saldo em final de período das operações de crédito contratadas no Sistema Financeiro Nacional, classificadas por setor de atividade econômica do tomador. Considera operações contratadas no segmento de crédito livre e no segmento de crédito direcionado. Têxtil, vestuário, couro e calçados: São as atividades de preparação das fibras têxteis, a fiação e a tecelagem (plana ou não). As fibras têxteis podem ser naturais (algodão, seda, linho, lã, rami, juta, sisal, etc.) ou químicas (artificiais e sintéticas). A preparação das fibras têxteis naturais consiste em processos tais como: lavagem, carbonização, cardação, penteação, curtimento e outras preparações de couros e peles e a fabricação de artefatos de couro, a fabricação de substitutos do couro, a fabricação de bolsas e de artigos para viagem de qualquer material, bem como a confecção, por costura, de roupas para adultos e crianças, de qualquer material (tecidos planos e de malha, couros, etc.) e para qualquer uso (roupas íntimas, sociais, profissionais, etc.), confeccionadas em série ou sob medida.</t>
  </si>
  <si>
    <t>Saldo em final de período das operações de crédito contratadas no Sistema Financeiro Nacional, classificadas por setor de atividade econômica do tomador. Considera operações contratadas no segmento de crédito livre e no segmento de crédito direcionado. Papel e celulose: É a fabricação de polpa, papel, papel-cartão e papelão, absorventes e de produtos fabricados com papel, papel-cartão ou papelão ondulado, mesmo impressos, desde que a impressão de informação não seja a finalidade principal do produto.</t>
  </si>
  <si>
    <t>Saldo em final de período das operações de crédito contratadas no Sistema Financeiro Nacional, classificadas por setor de atividade econômica do tomador. Considera operações contratadas no segmento de crédito livre e no segmento de crédito direcionado. Petróleo, gás e álcool: Compreende a extração de petróleo e gás, a transformação de carvão mineral em coquerias independentes, o refino do petróleo, a fabricação de álcool para qualquer fim, a fabricação de biodiesel a partir da transesterificação de óleos vegetais ou gorduras animais e a fabricação de outros biocombustíveis.</t>
  </si>
  <si>
    <t>Saldo em final de período das operações de crédito contratadas no Sistema Financeiro Nacional, classificadas por setor de atividade econômica do tomador. Considera operações contratadas no segmento de crédito livre e no segmento de crédito direcionado. Metalurgia e siderurgia: É a conversão de minérios ferrosos e não ferrosos em produtos metalúrgicos por meios térmicos, eletrometalúrgicos ou não (fornos, convertedores, etc.), e outras técnicas metalúrgicas de processamento para obtenção de produtos intermediários do processamento de minérios metálicos, tais como gusa, aço líquido, alumina (calcinada ou não), mates metalúrgicos de cobre e níquel, etc., a produção de metais em formas primárias ou semi-acabados (lingotes, placas, tarugos, biletes, palanquilhas, etc.), a produção de laminados, relaminados, trefilados, retrefilados (chapas, bobinas, barras, perfis, trilhos, vergalhões, fio-máquina, etc.) e a produção de canos e tubos.</t>
  </si>
  <si>
    <t>Saldo em final de período das operações de crédito contratadas no Sistema Financeiro Nacional, classificadas por setor de atividade econômica do tomador. Considera operações contratadas no segmento de crédito livre e no segmento de crédito direcionado. Química e farmacêutica: É a transformação de matérias-primas orgânicas ou inorgânicas por processos químicos e a formulação de produtos e a produção de gases industriais, fertilizantes, resinas e fibras, defensivos agrícolas e desinfestantes domissanitários, produtos de limpeza e perfumaria, tintas, explosivos e outros produtos químicos, bem como a fabricação de produtos petroquímicos básicos e intermediários, fabricação de produtos farmoquímicos, a fabricação de medicamentos e de outros produtos farmacêuticos, tais como: curativos impregnados com qualquer substância, preparações anti-sépticas, etc.</t>
  </si>
  <si>
    <t>Saldo em final de período das operações de crédito contratadas no Sistema Financeiro Nacional, classificadas por setor de atividade econômica do tomador. Considera operações contratadas no segmento de crédito livre e no segmento de crédito direcionado. Bens de capital: É a fabricação, reparação, instalação e manutenção de máquinas e equipamentos, inclusive de informática, produtos eletrônicos, ópticos, elétricos, de equipamentos de transportes, como ônibus, caminhões, tratores, carrocerias, exceto, veículos e motocicletas.</t>
  </si>
  <si>
    <t>Saldo em final de período das operações de crédito contratadas no Sistema Financeiro Nacional, classificadas por setor de atividade econômica do tomador. Considera operações contratadas no segmento de crédito livre e no segmento de crédito direcionado. Automobilística: É a fabricação de veículos automotores para transporte de pessoas e mercadorias e a fabricação de cabines, carrocerias, reboques e semi-reboques para veículos automotores, bem como fabricação de peças e acessórios, de material elétrico e eletrônico, de bancos e estofados para os veículos automotores produzidos nesta divisão e a fabricação de contêineres.</t>
  </si>
  <si>
    <t>Saldo em final de período das operações de crédito contratadas no Sistema Financeiro Nacional, classificadas por setor de atividade econômica do tomador. Considera operações contratadas no segmento de crédito livre e no segmento de crédito direcionado. Mineração: São as atividades de extração de minerais em estado natural – sólidos, líquidos e gasosos - e as atividades complementares de beneficiamento associado à extração, desde que o beneficiamento não altere as características físicas ou químicas dos minerais. Não inclui a extração de petróleo e gás que está incluída em “Petróleo, gás e álcool”.</t>
  </si>
  <si>
    <t>Saldo em final de período das operações de crédito contratadas no Sistema Financeiro Nacional, classificadas por setor de atividade econômica do tomador. Considera operações contratadas no segmento de crédito livre e no segmento de crédito direcionado. Obras de infraestrutura: São obras de autoestradas, vias urbanas, pontes, túneis, ferrovias, metrôs, pistas de aeroportos, portos e projetos de abastecimento de água, sistemas de irrigação, sistemas de esgoto, instalações industriais, redes de transporte por dutos e linhas de eletricidade etc.</t>
  </si>
  <si>
    <t>Saldo em final de período das operações de crédito contratadas no Sistema Financeiro Nacional, classificadas por setor de atividade econômica do tomador. Considera operações contratadas no segmento de crédito livre e no segmento de crédito direcionado. Outros bens de consumo duráveis: Compreendem a fabricação, manutenção, reparação e instalação de outros equipamentos, aparelhos, máquinas e materiais elétricos, além da fabricação de móveis e produtos de madeiras.</t>
  </si>
  <si>
    <t>Saldo em final de período das operações de crédito contratadas no Sistema Financeiro Nacional, classificadas por setor de atividade econômica do tomador. Considera operações contratadas no segmento de crédito livre e no segmento de crédito direcionado. Embalagens: Refere-se basicamente à fabricação de embalagens de papel, vidro, metal e plástico.</t>
  </si>
  <si>
    <t>Saldo em final de período das operações de crédito contratadas no Sistema Financeiro Nacional, classificadas por setor de atividade econômica do tomador. Considera operações contratadas no segmento de crédito livre e no segmento de crédito direcionado. Serviços: Compreendem as atividades de transportes, comércio, administração pública, de serviços financeiros, imobiliários e outros serviços prestados às famílias e empresas.</t>
  </si>
  <si>
    <t>Saldo em final de período das operações de crédito contratadas no Sistema Financeiro Nacional, classificadas por setor de atividade econômica do tomador. Considera operações contratadas no segmento de crédito livre e no segmento de crédito direcionado. Transporte: Atividades de transporte de passageiros ou mercadorias, nas modalidades ferroviária, rodoviária, aquaviária, aérea e dutoviária; atividades de armazenamento, carga e descarga e atividades de correio, de malote e de entrega. São também incluídas as atividades auxiliares dos transportes, tais como a gestão e operação de terminais rodoviários, ferroviários, portuários e aeroportuários e atividades correlatas. Não inclui aluguel ou locação de transporte, entre outros, os quais estão classificados em serviços prestados às famílias e empresas.</t>
  </si>
  <si>
    <t>Saldo em final de período das operações de crédito contratadas no Sistema Financeiro Nacional, classificadas por setor de atividade econômica do tomador. Considera operações contratadas no segmento de crédito livre e no segmento de crédito direcionado. Via terrestre (carga e passageiro): Transporte de passageiros e carga por rodovias e ferrovias.</t>
  </si>
  <si>
    <t>Saldo em final de período das operações de crédito contratadas no Sistema Financeiro Nacional, classificadas por setor de atividade econômica do tomador. Considera operações contratadas no segmento de crédito livre e no segmento de crédito direcionado. Meios aquaviário e aéreo: Transporte aquaviário de pessoas e mercadorias. Esta divisão compreende também a operação de embarcações para fins turísticos; transporte aéreo de passageiros e carga, em linhas regulares ou não.</t>
  </si>
  <si>
    <t>Saldo em final de período das operações de crédito contratadas no Sistema Financeiro Nacional, classificadas por setor de atividade econômica do tomador. Considera operações contratadas no segmento de crédito livre e no segmento de crédito direcionado. Dutoviário: Transportes por meio de dutos (ex.: oleodutos, gasodutos).</t>
  </si>
  <si>
    <t>Saldo em final de período das operações de crédito contratadas no Sistema Financeiro Nacional, classificadas por setor de atividade econômica do tomador. Considera operações contratadas no segmento de crédito livre e no segmento de crédito direcionado. Comércio: Atividades de compra e venda de mercadorias, no atacado e varejo, sem transformação significativa, inclusive operações que são usualmente associadas ao comércio, tais como: montagem, mistura de produtos, engarrafamento, empacotamento, fracionamento etc., quando realizadas pela própria unidade comercial. Abrange a manutenção e reparação de veículos automotores.</t>
  </si>
  <si>
    <t>Saldo em final de período das operações de crédito contratadas no Sistema Financeiro Nacional, classificadas por setor de atividade econômica do tomador. Considera operações contratadas no segmento de crédito livre e no segmento de crédito direcionado. Varejo - bens não duráveis: Revenda (venda sem transformação significativa) de bens de consumo novos e usados para o público em geral, preponderantemente para o consumidor final. O comércio varejista é organizado para vender mercadorias em pequenas quantidades ao consumidor final, representando, portanto, o último elo da cadeia de distribuição. Não inclui o segmento de veículos automotores e motocicletas.</t>
  </si>
  <si>
    <t>Saldo em final de período das operações de crédito contratadas no Sistema Financeiro Nacional, classificadas por setor de atividade econômica do tomador. Considera operações contratadas no segmento de crédito livre e no segmento de crédito direcionado. Varejo - bens duráveis: Revenda (venda sem transformação significativa) de bens de consumo novos e usados para o público em geral, preponderantemente para o consumidor final. O comércio varejista é organizado para vender mercadorias em pequenas quantidades ao consumidor final, representando, portanto, o último elo da cadeia de distribuição.  Exceto de veículos automotores e motocicletas.</t>
  </si>
  <si>
    <t>Saldo em final de período das operações de crédito contratadas no Sistema Financeiro Nacional, classificadas por setor de atividade econômica do tomador. Considera operações contratadas no segmento de crédito livre e no segmento de crédito direcionado. Atacado - bens duráveis e não duráveis: Venda de mercadorias, exceto de veículos automotores e motocicletas, quer realizada por comerciante atacadista ou por representante ou agente do comércio. Em geral, essa venda é uma etapa intermediária da distribuição de mercadorias; e está organizada para vender mercadorias em grandes quantidades a varejistas, a empresas, estabelecimentos agropecuários, cooperativas e a uma clientela institucional. Não inclui o segmento de veículos automotores e motocicletas.</t>
  </si>
  <si>
    <t>Saldo em final de período das operações de crédito contratadas no Sistema Financeiro Nacional, classificadas por setor de atividade econômica do tomador. Considera operações contratadas no segmento de crédito livre e no segmento de crédito direcionado. Geral - Veículos automotores: Venda por atacado e a varejo de veículos automotores e motocicletas novos e usados e de peças e acessórios para esses veículos, inclui também as atividades de manutenção e reparação de veículos automotores e motocicletas.</t>
  </si>
  <si>
    <t>Saldo em final de período das operações de crédito contratadas no Sistema Financeiro Nacional, classificadas por setor de atividade econômica do tomador. Considera operações contratadas no segmento de crédito livre e no segmento de crédito direcionado. Geral - bens intermediários: Venda por atacado e a varejo de bens intermediários.</t>
  </si>
  <si>
    <t>Saldo em final de período das operações de crédito contratadas no Sistema Financeiro Nacional, classificadas por setor de atividade econômica do tomador. Considera operações contratadas no segmento de crédito livre e no segmento de crédito direcionado. Geral - bens de capital: Venda de máquinas, aparelhos, equipamentos, componentes eletrônicos, bombas e compressores.</t>
  </si>
  <si>
    <t>Saldo em final de período das operações de crédito contratadas no Sistema Financeiro Nacional, classificadas por setor de atividade econômica do tomador. Considera operações contratadas no segmento de crédito livre e no segmento de crédito direcionado. Administração pública:  Administração pública em geral, nos poderes executivo, legislativo e judiciário e em níveis dos governos federal, estadual, Distrito federal e municipal. Compreende ainda as atividades da seguridade social obrigatória.</t>
  </si>
  <si>
    <t>Saldo em final de período das operações de crédito contratadas no Sistema Financeiro Nacional, classificadas por setor de atividade econômica do tomador. Considera operações contratadas no segmento de crédito livre e no segmento de crédito direcionado. Serviços imobiliários: Atividades de gestores de propriedade imobiliária como as de proprietários de imóveis, agentes e corretores imobiliários que atuam nas atividades de compra, venda e aluguel de imóveis e outros serviços relacionados como a avaliação de imóveis para qualquer finalidade, bem como administração de condomínios, shopping centers e outros imóveis.</t>
  </si>
  <si>
    <t>Saldo em final de período das operações de crédito contratadas no Sistema Financeiro Nacional, classificadas por setor de atividade econômica do tomador. Considera operações contratadas no segmento de crédito livre e no segmento de crédito direcionado. Serviços de informação e comunicação: Criação e colocação de produtos com conteúdo de informação em mídias que possibilitam a sua disseminação; as atividades de transmissão desses produtos por sinais analógicos ou digitais (através de meios eletrônicos, sem fio, óticos ou outros meios); e as atividades de provisão dos serviços e/ou operação de infraestrutura que possibilitam a transmissão e o armazenamento desses produtos. Engloba ainda atividades de edição e de edição integrada à impressão, as atividades cinematográficas e as de gravação de som e edição de música, as atividades de rádio e de televisão, as atividades de telecomunicações, as atividades de tecnologia da informação e as outras atividades de prestação de serviços de informação.</t>
  </si>
  <si>
    <t>Saldo em final de período das operações de crédito contratadas no Sistema Financeiro Nacional, classificadas por setor de atividade econômica do tomador. Considera operações contratadas no segmento de crédito livre e no segmento de crédito direcionado. Demais serviços prestados às famílias: Compreendem as áreas de educação, saúde, alojamento, alimentação, serviços pessoais, etc.</t>
  </si>
  <si>
    <t>Saldo em final de período das operações de crédito contratadas no Sistema Financeiro Nacional, classificadas por setor de atividade econômica do tomador. Considera operações contratadas no segmento de crédito livre e no segmento de crédito direcionado. Demais serviços prestados às empresas: Compreendem as áreas de consultoria, serviços de escritório e apoio administrativo, gestão de ativos, vigilância e segurança, etc.</t>
  </si>
  <si>
    <t>Saldo em final de período das operações de crédito contratadas no Sistema Financeiro Nacional, classificadas por setor de atividade econômica do tomador. Considera operações contratadas no segmento de crédito livre e no segmento de crédito direcionado. Serviços financeiros: São unidades voltadas primordialmente à realização de transações financeiras, isto é, transações envolvendo a criação, liquidação e troca de propriedade de ativos financeiros. Também compreende atividades de seguros, capitalização, resseguros, previdência complementar, planos de saúde e as atividades de serviços de apoio às transações financeiras e às atividades de seguros. Excetuam-se operações de crédito rural celebradas com cooperativas de crédito rural, efetuadas com a finalidade de repasses a cooperados.</t>
  </si>
  <si>
    <t>Saldo em final de período das operações de crédito contratadas no Sistema Financeiro Nacional, classificadas por setor de atividade econômica do tomador. Considera operações contratadas no segmento de crédito livre e no segmento de crédito direcionado. Outros serviços: São os demais serviços prestados às empresas e famílias, indistintamente, não classificados nas categorias anteriores.</t>
  </si>
  <si>
    <t>Saldo em final de período das operações de crédito contratadas no Sistema Financeiro Nacional, classificadas por setor de atividade econômica do tomador. Considera operações contratadas no segmento de crédito livre e no segmento de crédito direcionado. Outros: Referem-se principalmente a operações realizadas por pessoas jurídicas com sede no exterior e a créditos não classificados nas categorias anteriormente apresentadas.</t>
  </si>
  <si>
    <t>Valor das novas operações de crédito contratadas no período de referência no Sistema Financeiro Nacional. Considera operações contratadas no segmento de crédito livre e no segmento de crédito direcionado.</t>
  </si>
  <si>
    <t>Diferença entre a taxa média de juros da carteira (Indicador de custo do crédito) e o custo de captação médio ponderado. Considera operações contratadas no segmento de crédito livre e no segmento de crédito direcionado.</t>
  </si>
  <si>
    <t>Diferença entre a taxa média de juros da carteira (Indicador de custo do crédito) e o custo de captação médio ponderado. Considera operações contratadas no segmento de crédito livre.</t>
  </si>
  <si>
    <t>Diferença entre a taxa média de juros da carteira (Indicador de custo do crédito) e o custo de captação médio ponderado. Considera operações contratadas no segmento de crédito direcionado.</t>
  </si>
  <si>
    <t>Taxa média de juros das novas operações de crédito contratadas no período de referência no Sistema Financeiro Nacional. Taxa ponderada pelo valor das concessões. Considera operações contratadas no segmento de crédito livre e no segmento de crédito direcionado.</t>
  </si>
  <si>
    <t>Taxa média de juros das novas operações de crédito contratadas no período de referência no Sistema Financeiro Nacional. Taxa ponderada pelo valor das concessões. Considera operações contratadas no segmento de crédito livre.</t>
  </si>
  <si>
    <t>Taxa média de juros das novas operações de crédito contratadas no período de referência no Sistema Financeiro Nacional. Taxa ponderada pelo valor das concessões. Considera operações contratadas no segmento de crédito direcionado.</t>
  </si>
  <si>
    <t>Diferença entre a taxa média de juros das novas operações de crédito contratadas no período de referência no Sistema Financeiro Nacional e o custo de captação referencial médio. Considera operações contratadas no segmento de crédito livre e no segmento de crédito direcionado.</t>
  </si>
  <si>
    <t>Diferença entre a taxa média de juros das novas operações de crédito contratadas no período de referência no Sistema Financeiro Nacional e o custo de captação referencial médio. Considera operações contratadas no segmento de crédito livre.</t>
  </si>
  <si>
    <t>Diferença entre a taxa média de juros das novas operações de crédito contratadas no período de referência no Sistema Financeiro Nacional e o custo de captação referencial médio. Considera operações contratadas no segmento de crédito direcionado.</t>
  </si>
  <si>
    <t>Prazo a decorrer médio das novas operações de crédito contratadas no período de referência no Sistema Financeiro Nacional. Considera operações contratadas no segmento de crédito livre e no segmento de crédito direcionado.</t>
  </si>
  <si>
    <t>Prazo a decorrer médio das novas operações de crédito contratadas no período de referência no Sistema Financeiro Nacional. Considera operações contratadas no segmento de crédito livre.</t>
  </si>
  <si>
    <t>Prazo a decorrer médio das novas operações de crédito contratadas no período de referência no Sistema Financeiro Nacional. Considera operações contratadas no segmento de crédito direcionado.</t>
  </si>
  <si>
    <t>Prazo médio da carteira de crédito. Reflete o prazo para vencimento de cada parcela dos financiamentos, ponderado pelo respectivo valor. Considera operações contratadas no segmento de crédito livre e no segmento de crédito direcionado.</t>
  </si>
  <si>
    <t>Prazo médio da carteira de crédito. Reflete o prazo para vencimento de cada parcela dos financiamentos, ponderado pelo respectivo valor. Considera operações contratadas no segmento de crédito livre.</t>
  </si>
  <si>
    <t>Prazo médio da carteira de crédito. Reflete o prazo para vencimento de cada parcela dos financiamentos, ponderado pelo respectivo valor. Considera operações contratadas no segmento de crédito direcionado.</t>
  </si>
  <si>
    <t>Atraso das operações de 15 a 90 dias</t>
  </si>
  <si>
    <t>Percentual da carteira de crédito do Sistema Financeiro Nacional com pelo menos uma parcela com atraso entre 15 e 90 dias. Inclui operações contratadas no segmento de crédito livre e no segmento de crédito direcionado.</t>
  </si>
  <si>
    <t>Atraso das operações com recursos livres de 15 a 90 dias</t>
  </si>
  <si>
    <t>Percentual da carteira de crédito livre do Sistema Financeiro Nacional com pelo menos uma parcela com atraso entre 15 e 90 dias. Considera operações contratadas no segmento de crédito livre.</t>
  </si>
  <si>
    <t>Atraso das operações com recursos direcionados de 15 a 90 dias</t>
  </si>
  <si>
    <t>Percentual da carteira de crédito livre do Sistema Financeiro Nacional com pelo menos uma parcela com atraso entre 15 e 90 dias. Considera operações contratadas no segmento de crédito direcionado.</t>
  </si>
  <si>
    <t>Inadimplência</t>
  </si>
  <si>
    <t>Percentual da carteira de crédito do Sistema Financeiro Nacional com pelo menos uma parcela com atraso superior a 90 dias. Inclui operações contratadas no segmento de crédito livre e no segmento de crédito direcionado.</t>
  </si>
  <si>
    <t>Inadimplência das operações com recursos livres</t>
  </si>
  <si>
    <t>Percentual da carteira de crédito do Sistema Financeiro Nacional com pelo menos uma parcela com atraso superior a 90 dias. Considera operações contratadas no segmento de crédito livre.</t>
  </si>
  <si>
    <t>Inadimplência das operações com recursos direcionados</t>
  </si>
  <si>
    <t>Percentual da carteira de crédito do Sistema Financeiro Nacional com pelo menos uma parcela com atraso superior a 90 dias. Considera operações contratadas no segmento de crédito direcionado.</t>
  </si>
  <si>
    <t>Inadimplência por porte da empresa - Grande</t>
  </si>
  <si>
    <t>Inadimplência por porte da empresa - Micro, Pequena e Média (MPMe)</t>
  </si>
  <si>
    <t>Maior risco da carteira - Pessoas jurídicas - Total</t>
  </si>
  <si>
    <t>Maior risco por porte da empresa - Grande</t>
  </si>
  <si>
    <t>Maior risco por porte da empresa - Micro, Pequena e Média (MPMe)</t>
  </si>
  <si>
    <t>Inadimplência e maior nível de risco por porte de empresa</t>
  </si>
  <si>
    <t>Percentual do saldo da carteira de crédito do Sistema Financeiro Nacional com pelo menos uma parcela com atraso superior a 90 dias, classificadas por porte da empresa.</t>
  </si>
  <si>
    <t>Percentual do saldo da carteira de crédito do Sistema Financeiro Nacional, nos níveis de risco E, F, G e H (segundo critério da Resolução 2.682 de 21 de dezembro de 1999), classificadas por porte da empresa.</t>
  </si>
  <si>
    <t>Inadimplência das instituições financeiras sob controle público - Total</t>
  </si>
  <si>
    <t>Inadimplência das instituições financeiras sob controle privado nacional - Total</t>
  </si>
  <si>
    <t>Inadimplência das instituições financeiras sob controle estrangeiro - Total</t>
  </si>
  <si>
    <t>Inadimplência das instituições financeiras sob controle privado - Total</t>
  </si>
  <si>
    <t>Inadimplência segundo controle de capital</t>
  </si>
  <si>
    <t>Refere-se ao saldo das operações de empréstimo, financiamento, adiantamento e arrendamento mercantil concedidas pelas instituições integrantes do sistema financeiro público, nas quais a União e os estados detenham a maioria do capital votante.</t>
  </si>
  <si>
    <t>Refere-se ao saldo das operações de empréstimo, financiamento, adiantamento e arrendamento mercantil concedidas pelas instituições integrantes do sistema financeiro privado nacional, nas quais pessoas físicas e jurídicas residentes no país detém a maioria do capital votante.</t>
  </si>
  <si>
    <t>Refere-se ao saldo das operações de empréstimo, financiamento, adiantamento e arrendamento mercantil concedidas pelas instituições integrantes do sistema financeiro estrangeiro, nas quais pessoas físicas e jurídicas residentes no exterior detém a maioria do capital votante. Inclui também as instituições constituídas ou sediadas no exterior com dependência ou filial no país.</t>
  </si>
  <si>
    <t xml:space="preserve">Refere-se ao saldo das operações de empréstimo, financiamento, adiantamento e arrendamento mercantil concedidas pelas instituições integrantes dos sistemas financeiros privado nacional e estrangeiro.  </t>
  </si>
  <si>
    <t>Percentual de provisões em relação à carteira de crédito do Sistema Financeiro Nacional</t>
  </si>
  <si>
    <t>Percentual de provisões em relação à carteira de crédito das instituições financeiras sob controle público</t>
  </si>
  <si>
    <t>Percentual de provisões em relação à carteira de crédito das instituições financeiras sob controle privado</t>
  </si>
  <si>
    <t>Percentual de provisões em relação à carteira de crédito das instituições financeiras sob controle privado nacional</t>
  </si>
  <si>
    <t>Percentual de provisões em relação à carteira de crédito das instituições financeiras sob controle estrangeiro</t>
  </si>
  <si>
    <t>Para as operações de crédito contratadas nas instituições financeiras e demais instituições autorizadas a funcionar pelo Banco Central do Brasil, a Resolução 2682 determina a constituição mensal de um montante para fazer face a perdas prováveis na realização dos créditos.</t>
  </si>
  <si>
    <t>Endividamento das famílias (RNDBF)</t>
  </si>
  <si>
    <t>Endividamento das famílias exceto crédito habitacional (RNDBF)</t>
  </si>
  <si>
    <t>Comprometimento de renda das famílias - Amortização - Com ajuste sazonal (RNDBF)</t>
  </si>
  <si>
    <t>Comprometimento de renda das famílias - Juros - Com ajuste sazonal (RNDBF)</t>
  </si>
  <si>
    <t>Comprometimento de renda das famílias - Serviço da dívida - Com ajuste sazonal (RNDBF)</t>
  </si>
  <si>
    <t>Comprometimento de renda das famílias - Serviço da dívida exceto crédito habitacional - Com ajuste sazonal (RNDBF)</t>
  </si>
  <si>
    <t>Comprometimento de renda das famílias - Amortização - Sem ajuste sazonal (RNDBF)</t>
  </si>
  <si>
    <t>Comprometimento de renda das famílias - Juros - Sem ajuste sazonal (RNDBF)</t>
  </si>
  <si>
    <t>Comprometimento de renda das famílias - Serviço da dívida - Sem ajuste sazonal (RNDBF)</t>
  </si>
  <si>
    <t>Comprometimento de renda das famílias - Serviço da dívida exceto crédito habitacional - Sem ajuste sazonal (RNDBF)</t>
  </si>
  <si>
    <t>Endividamento das famílias</t>
  </si>
  <si>
    <t>O comprometimento de renda é apurado com base na proporção entre os valores médios trimestrais a serem pagos mensalmente no serviço das dívidas (juros e amortização) das famílias com o Sistema Financeiro Nacional (SFN) e a renda média trimestral das famílias líquidas de impostos, expressa na Renda Disponível Bruta das Famílias restrita (RNDBF) publicada pelo IBGE.</t>
  </si>
  <si>
    <t>Endividamento das famílias com o Sistema Financeiro Nacional em relação à renda acumulada dos últimos doze meses (Renda Nacional Disponível Bruta das Famílias - RNDBF). Conceitualmente, a RNBF corresponde à renda total das famílias, que inclui os rendimentos obtidos pelo uso de fatores de produção (trabalho e capital) e as transferências recebidas descontados das transferências pagas, como impostos e contribuições sociais. Essa medida expressa a renda agregada das famílias disponível para consumo final e poupança. Mais especificamente, a RNDBF soma as seguintes parcelas de rendas das famílias, obtidas nas Contas Econômicas Integradas (CEI) do SCN,  remuneração do trabalho, que inclui os salários dos empregados e o rendimento misto bruto; excedente operacional bruto, que para o setor institucional famílias corresponde principalmente às rendas de aluguéis efetivo e imputado; rendas de propriedade, que incluem juros líquidos recebidos, rendas distribuídas das empresas para as famílias e rendas de investimentos, menos as rendas pagas pelo uso de recursos naturais; e benefícios sociais, que englobam benefícios de seguridade social, outros benefícios de seguro social e benefícios de assistência social. Desse total, são deduzidas as transferências das famílias para os demais setores institucionais e para o exterior, impostos sobre renda e patrimônio; contribuições sociais efetivas das famílias; outras transferências correntes líquidas realizadas pelas famílias.</t>
  </si>
  <si>
    <t>PTC - Grandes Empresas - Demanda esperada</t>
  </si>
  <si>
    <t>Pontos</t>
  </si>
  <si>
    <t>T</t>
  </si>
  <si>
    <t>3º Trim. 2024</t>
  </si>
  <si>
    <t>BCB-Depep</t>
  </si>
  <si>
    <t>PTC - Grandes Empresas - Demanda observada</t>
  </si>
  <si>
    <t>PTC - MPME - Demanda esperada</t>
  </si>
  <si>
    <t>PTC - MPME - Demanda observada</t>
  </si>
  <si>
    <t>PTC - Consumo - Demanda esperada</t>
  </si>
  <si>
    <t>PTC - Consumo - Demanda observada</t>
  </si>
  <si>
    <t>PTC - Habitacional - Demanda esperada</t>
  </si>
  <si>
    <t>PTC - Habitacional - Demanda observada</t>
  </si>
  <si>
    <t>Indicadores de demanda de crédito</t>
  </si>
  <si>
    <t>Indicador de tendência de demanda do mercado de crédito para pessoas jurídicas, segmento de grandes empresas, expresso em uma escala de pontos que varia entre -2 e 2 pontos, construído a partir da percepção das instituições financeiras participantes da Pesquisa Trimestral de Condições de Crédito, realizada pelo Banco Central do Brasil. Para maiores detalhes sobre a metodologia de cálculo, ver texto nº 245. Pesquisa Trimestral de Condições de Crédito no Brasil, publicado na internet em www.bcb.gov.br, seção Início » Economia e finanças » Trabalhos para discussão » Lista de trabalhos para discussão.</t>
  </si>
  <si>
    <t>PTC - Grandes Empresas - Oferta esperada</t>
  </si>
  <si>
    <t>PTC - Grandes Empresas - Oferta observada</t>
  </si>
  <si>
    <t>PTC - MPME - Oferta esperada</t>
  </si>
  <si>
    <t>PTC - MPME - Oferta observada</t>
  </si>
  <si>
    <t>PTC - Consumo - Oferta esperada</t>
  </si>
  <si>
    <t>PTC - Consumo - Oferta observada</t>
  </si>
  <si>
    <t>PTC - Habitacional - Oferta esperada</t>
  </si>
  <si>
    <t>PTC - Habitacional - Oferta observada</t>
  </si>
  <si>
    <t>Indicador de tendência de oferta do mercado de crédito para pessoas jurídicas, segmento de grandes empresas, expresso em uma escala de pontos que varia entre -2 e 2 pontos, construído a partir da percepção das instituições financeiras participantes da Pesquisa Trimestral de Condições de Crédito, realizada pelo Banco Central do Brasil.</t>
  </si>
  <si>
    <t>Indicadores de oferta de crédito</t>
  </si>
  <si>
    <t>Unidades</t>
  </si>
  <si>
    <t>CIP</t>
  </si>
  <si>
    <t>R$</t>
  </si>
  <si>
    <t>Portabilidade de Crédito</t>
  </si>
  <si>
    <t>Apresenta o total de pedidos de portabilidade de créditos das demais modalidades (que não estão disponíveis nas outras séries de portabilidade) registrados na Central de Transferência de Créditos (CTC), realizados na data-base (data de solicitação) e que foram efetivamente portados, ou seja, pedidos concluídos com a transferência do crédito da credora original para a instituição proponente.</t>
  </si>
  <si>
    <t>Apresenta o saldo total dos pedidos de portabilidade de créditos das demais modalidades (que não estão disponíveis nas outras séries de portabilidade) registrados na Central de Transferência de Créditos (CTC), realizados na data-base (data de solicitação) e que foram efetivamente portados, ou seja, pedidos concluídos com a transferência do crédito da credora original para a instituição proponente.</t>
  </si>
  <si>
    <t>Apresenta o total de pedidos de portabilidade de créditos das demais modalidades (que não estão disponíveis nas outras séries de portabilidade) registrados na Central de Transferência de Créditos (CTC) e realizados na data-base (data da solicitação), independentemente da situação dos pedidos.</t>
  </si>
  <si>
    <t>Apresenta o total de pedidos de portabilidade de créditos da modalidade Aquisição de bens – outros bens (modalidade 402 no layout do SCR/3040) registrados na Central de Transferência de Créditos (CTC), realizados na data-base (data de solicitação) e que foram efetivamente portados, ou seja, pedidos concluídos com a transferência do crédito da credora original para a instituição proponente.</t>
  </si>
  <si>
    <t>Apresenta o saldo total dos pedidos de portabilidade de créditos da modalidade Aquisição de bens – outros bens (modalidade 402 no layout do SCR/3040) registrados na Central de Transferência de Créditos (CTC), realizados na data-base (data de solicitação) e que foram efetivamente portados, ou seja, pedidos concluídos com a transferência do crédito da credora original para a instituição proponente.</t>
  </si>
  <si>
    <t>Apresenta o total de pedidos de portabilidade de créditos da modalidade Aquisição de bens – outros bens (modalidade 402 no layout do SCR/3040) registrados na Central de Transferência de Créditos (CTC) e realizados na data-base (data da solicitação), independentemente da situação dos pedidos.</t>
  </si>
  <si>
    <r>
      <t>Apresenta o </t>
    </r>
    <r>
      <rPr>
        <b/>
        <sz val="10"/>
        <color rgb="FF000000"/>
        <rFont val="Verdana"/>
        <family val="2"/>
      </rPr>
      <t>total de pedidos de portabilidade</t>
    </r>
    <r>
      <rPr>
        <sz val="10"/>
        <color rgb="FF000000"/>
        <rFont val="Verdana"/>
        <family val="2"/>
      </rPr>
      <t> de créditos da modalidade </t>
    </r>
    <r>
      <rPr>
        <b/>
        <sz val="10"/>
        <color rgb="FF000000"/>
        <rFont val="Verdana"/>
        <family val="2"/>
      </rPr>
      <t>Aquisição de bens – veículos automotores</t>
    </r>
    <r>
      <rPr>
        <sz val="10"/>
        <color rgb="FF000000"/>
        <rFont val="Verdana"/>
        <family val="2"/>
      </rPr>
      <t> (modalidade 401 no layout do SCR/3040) registrados na Central de Transferência de Créditos (CTC), realizados na data-base (data de solicitação) e </t>
    </r>
    <r>
      <rPr>
        <b/>
        <sz val="10"/>
        <color rgb="FF000000"/>
        <rFont val="Verdana"/>
        <family val="2"/>
      </rPr>
      <t>que foram efetivamente portados</t>
    </r>
    <r>
      <rPr>
        <sz val="10"/>
        <color rgb="FF000000"/>
        <rFont val="Verdana"/>
        <family val="2"/>
      </rPr>
      <t>, ou seja, pedidos concluídos com a transferência do crédito da credora original para a instituição proponente.</t>
    </r>
  </si>
  <si>
    <t>Apresenta o saldo total dos pedidos de portabilidade de créditos da modalidade Aquisição de bens – veículos automotores (modalidade 401 no layout do SCR/3040) registrados na Central de Transferência de Créditos (CTC), realizados na data-base (data de solicitação) e que foram efetivamente portados, ou seja, pedidos concluídos com a transferência do crédito da credora original para a instituição proponente.</t>
  </si>
  <si>
    <t>Apresenta o total de pedidos de portabilidade de créditos da modalidade Aquisição de bens – veículos automotores (modalidade 401 no layout do SCR/3040) registrados na Central de Transferência de Créditos (CTC) e realizados na data-base (data da solicitação), independentemente da situação dos pedidos.</t>
  </si>
  <si>
    <t>Apresenta o total de pedidos de portabilidade de créditos da modalidade Crédito Consignado (modalidade 202 no layout do SCR/3040) registrados na Central de Transferência de Créditos (CTC), realizados na data-base (data de solicitação) e que foram efetivamente portados, ou seja, pedidos concluídos com a transferência do crédito da credora original para a instituição proponente.</t>
  </si>
  <si>
    <t>Apresenta o saldo total dos pedidos de portabilidade de créditos da modalidade Crédito Consignado (modalidade 202 no layout do SCR/3040) registrados na Central de Transferência de Créditos (CTC), realizados na data-base (data de solicitação) e que foram efetivamente portados, ou seja, pedidos concluídos com a transferência do crédito da credora original para a instituição proponente.</t>
  </si>
  <si>
    <t>Apresenta o total de pedidos de portabilidade de créditos da modalidade Crédito Consignado (modalidade 202 no layout do SCR/3040) registrados na Central de Transferência de Créditos (CTC) e realizados na data-base (data da solicitação), independentemente da situação dos pedidos.</t>
  </si>
  <si>
    <t>Apresenta o total de pedidos de portabilidade de créditos da modalidade Crédito pessoal sem consignação (modalidade 203 no layout do SCR/3040) registrados na Central de Transferência de Créditos (CTC), realizados na data-base (data de solicitação) e que foram efetivamente portados, ou seja, pedidos concluídos com a transferência do crédito da credora original para a instituição proponente.</t>
  </si>
  <si>
    <t>Apresenta o saldo total dos pedidos de portabilidade de créditos da modalidade Crédito pessoal sem consignação (modalidade 203 no layout do SCR/3040) registrados na Central de Transferência de Créditos (CTC), realizados na data-base (data de solicitação) e que foram efetivamente portados, ou seja, pedidos concluídos com a transferência do crédito da credora original para a instituição proponente.</t>
  </si>
  <si>
    <t>Apresenta o total de pedidos de portabilidade de créditos da modalidade Crédito pessoal sem consignação (modalidade 203 no layout do SCR/3040) registrados na Central de Transferência de Créditos (CTC) e realizados na data-base (data da solicitação), independentemente da situação dos pedidos.</t>
  </si>
  <si>
    <t>Apresenta o total de pedidos de portabilidade de créditos da modalidade Home Equity (modalidade 211 no layout do SCR/3040) registrados na Central de Transferência de Créditos (CTC), realizados na data-base (data de solicitação) e que foram efetivamente portados, ou seja, pedidos concluídos com a transferência do crédito da credora original para a instituição proponente.</t>
  </si>
  <si>
    <t>Apresenta o saldo total dos pedidos de portabilidade de créditos da modalidade Home Equity (modalidade 211 no layout do SCR/3040) registrados na Central de Transferência de Créditos (CTC), realizados na data-base (data de solicitação) e que foram efetivamente portados, ou seja, pedidos concluídos com a transferência do crédito da credora original para a instituição proponente.</t>
  </si>
  <si>
    <t>Apresenta o total de pedidos de portabilidade de créditos da modalidade Home Equity (modalidade 211 no layout do SCR/3040) registrados na Central de Transferência de Créditos (CTC) e realizados na data-base (data da solicitação), independentemente da situação dos pedidos.</t>
  </si>
  <si>
    <t>Apresenta o total de pedidos de portabilidade de créditos da modalidade Financiamento imobiliário – empreendimento, exceto habitacional (modalidade 903 no layout do SCR/3040) registrados na Central de Transferência de Créditos (CTC), realizados na data-base (data de solicitação) e que foram efetivamente portados, ou seja, pedidos concluídos com a transferência do crédito da credora original para a instituição proponente.</t>
  </si>
  <si>
    <t>Apresenta o saldo total dos pedidos de portabilidade de créditos da modalidade Financiamento imobiliário – empreendimento, exceto habitacional (modalidade 903 no layout do SCR/3040) registrados na Central de Transferência de Créditos (CTC), realizados na data-base (data de solicitação) e que foram efetivamente portados, ou seja, pedidos concluídos com a transferência do crédito da credora original para a instituição proponente.</t>
  </si>
  <si>
    <t>Apresenta o total de pedidos de portabilidade de créditos da modalidade Financiamento imobiliário – empreendimento, exceto habitacional (modalidade 903 no layout do SCR/3040) registrados na Central de Transferência de Créditos (CTC) e realizados na data-base (data da solicitação), independentemente da situação dos pedidos.</t>
  </si>
  <si>
    <t>Apresenta o total de pedidos de portabilidade de créditos da modalidade Financiamento habitacional – SFH (modalidade 901 no layout do SCR/3040) registrados na Central de Transferência de Créditos (CTC), realizados na data-base (data de solicitação) e que foram efetivamente portados, ou seja, pedidos concluídos com a transferência do crédito da credora original para a instituição proponente.</t>
  </si>
  <si>
    <t>Apresenta o saldo total dos pedidos de portabilidade de créditos da modalidade Financiamento habitacional – SFH (modalidade 901 no layout do SCR/3040) registrados na Central de Transferência de Créditos (CTC), realizados na data-base (data de solicitação) e que foram efetivamente portados, ou seja, pedidos concluídos com a transferência do crédito da credora original para a instituição proponente.</t>
  </si>
  <si>
    <t>Apresenta o total de pedidos de portabilidade de créditos da modalidade Financiamento habitacional – SFH (modalidade 901 no layout do SCR/3040) registrados na Central de Transferência de Créditos (CTC) e realizados na data-base (data da solicitação), independentemente da situação dos pedidos.</t>
  </si>
  <si>
    <t>Apresenta o total de pedidos de portabilidade de créditos da modalidade Financiamento habitacional – exceto SFH (modalidade 902 no layout do SCR/3040) registrados na Central de Transferência de Créditos (CTC), realizados na data-base (data de solicitação) e que foram efetivamente portados, ou seja, pedidos concluídos com a transferência do crédito da credora original para a instituição proponente.</t>
  </si>
  <si>
    <t>Apresenta o saldo total dos pedidos de portabilidade de créditos da modalidade Financiamento habitacional – exceto SFH (modalidade 902 no layout do SCR/3040) registrados na Central de Transferência de Créditos (CTC), realizados na data-base (data de solicitação) e que foram efetivamente portados, ou seja, pedidos concluídos com a transferência do crédito da credora original para a instituição proponente.</t>
  </si>
  <si>
    <t>Apresenta o total de pedidos de portabilidade de créditos da modalidade Financiamento habitacional – exceto SFH (modalidade 902 no layout do SCR/3040) registrados na Central de Transferência de Créditos (CTC) e realizados na data-base (data da solicitação), independentemente da situação dos pedidos.</t>
  </si>
  <si>
    <t>Apresenta o total de pedidos de portabilidade de créditos (todas as modalidades) registrados na Central de Transferência de Créditos (CTC), realizados na data-base (data de solicitação) e que foram efetivamente portados, ou seja, pedidos concluídos com a transferência do crédito da credora original para a instituição proponente.</t>
  </si>
  <si>
    <t>Apresenta o saldo total dos pedidos de portabilidade de créditos (todas as modalidades) registrados na Central de Transferência de Créditos (CTC), realizados na data-base (data de solicitação) e que foram efetivamente portados, ou seja, pedidos concluídos com a transferência do crédito da credora original para a instituição proponente.</t>
  </si>
  <si>
    <t>Apresenta o total de pedidos de portabilidade de créditos (totas as modalidades) registrados na Central de Transferência de Créditos (CTC) e realizados na data-base (data da solicitação), independentemente da situação dos pedidos.</t>
  </si>
  <si>
    <t>Demais modalidades - Pedidos efetivados</t>
  </si>
  <si>
    <t>Demais modalidades - Saldo portado</t>
  </si>
  <si>
    <t>Demais modalidades - Total de pedidos</t>
  </si>
  <si>
    <t>Aquisição de outros bens - Pedidos efetivados</t>
  </si>
  <si>
    <t>Aquisição de outros bens - Saldo portado</t>
  </si>
  <si>
    <t>Aquisição de outros bens - Total de pedidos</t>
  </si>
  <si>
    <t>Aquisição de Veículos - Pedidos efetivados</t>
  </si>
  <si>
    <t>Aquisição de Veículos - Saldo portado</t>
  </si>
  <si>
    <t>Aquisição de Veículos - Total de pedidos</t>
  </si>
  <si>
    <t>Crédito pessoal consignado - Pedidos efetivados</t>
  </si>
  <si>
    <t>Crédito pessoal consignado - Saldo portado</t>
  </si>
  <si>
    <t>Crédito pessoal consignado - Total de pedidos</t>
  </si>
  <si>
    <t>Crédito pessoal sem consignação - Pedidos efetivados</t>
  </si>
  <si>
    <t>Crédito pessoal sem consignação - Saldo portado</t>
  </si>
  <si>
    <t>Crédito pessoal sem consignação - Total de pedidos</t>
  </si>
  <si>
    <t>Home Equity - Pedidos efetivados</t>
  </si>
  <si>
    <t>Home Equity - Saldo portado</t>
  </si>
  <si>
    <t>Home Equity - Total de pedidos</t>
  </si>
  <si>
    <t>Imobiliário - Empreendimentos, exceto habitacional - Pedidos efetivados</t>
  </si>
  <si>
    <t>Imobiliário - Empreendimentos, exceto habitacional - Saldo portado</t>
  </si>
  <si>
    <t>Imobiliário - Empreendimentos, exceto habitacional - Total de pedidos</t>
  </si>
  <si>
    <t>Imobiliário - Habitacional SFH - Pedidos efetivados</t>
  </si>
  <si>
    <t>Imobiliário - Habitacional SFH - Saldo portado</t>
  </si>
  <si>
    <t>Imobiliário - Habitacional SFH - Total de pedidos</t>
  </si>
  <si>
    <t>Imobiliário - Habitacional SFI - Pedidos efetivados</t>
  </si>
  <si>
    <t>Imobiliário - Habitacional SFI - Saldo portado</t>
  </si>
  <si>
    <t>Imobiliário - Habitacional SFI - Total de pedidos</t>
  </si>
  <si>
    <t>Todas modalidades - Pedidos efetivados</t>
  </si>
  <si>
    <t>Todas modalidades - Saldo portado</t>
  </si>
  <si>
    <t>Todas modalidades - Total de pedidos</t>
  </si>
  <si>
    <t>Saldo das operações de crédito - AC - Pessoas físicas</t>
  </si>
  <si>
    <t>BCB</t>
  </si>
  <si>
    <t>Saldo das operações de crédito - AC - Pessoas jurídicas</t>
  </si>
  <si>
    <t>Saldo das operações de crédito - AC - Total</t>
  </si>
  <si>
    <t>Inadimplência das operações de crédito - AC - Pessoas físicas</t>
  </si>
  <si>
    <t>Inadimplência das operações de crédito - AC - Pessoas jurídicas</t>
  </si>
  <si>
    <t>Inadimplência das operações de crédito - AC - Total</t>
  </si>
  <si>
    <t>Saldo em final de período das operações de empréstimo, financiamento, adiantamento e arrendamento mercantil, concedidas pelas instituições integrantes do Sistema Financeiro Nacional (SFN), desagregado em pessoas físicas e jurídicas, por unidades da federação.</t>
  </si>
  <si>
    <t>Taxa de inadimplência das operações de empréstimo, financiamento, adiantamento e arrendamento mercantil, concedidas pelas instituições integrantes do Sistema Financeiro Nacional (SFN), segregada em pessoas físicas e jurídicas, e por unidade da federação; medida pela razão entre o saldo dos contratos em que há pelo menos uma prestação, integral ou parcial, com atraso superior a noventa dias, e o saldo total das operações.</t>
  </si>
  <si>
    <t>Unidade da federação</t>
  </si>
  <si>
    <t>Acre</t>
  </si>
  <si>
    <t>Pessoas físicas</t>
  </si>
  <si>
    <t>Pessoas jurídicas</t>
  </si>
  <si>
    <t>Saldo das operações de crédito - AP - Pessoas físicas</t>
  </si>
  <si>
    <t>Saldo das operações de crédito - AP - Pessoas jurídicas</t>
  </si>
  <si>
    <t>Saldo das operações de crédito - AP - Total</t>
  </si>
  <si>
    <t>Inadimplência das operações de crédito - AP - Pessoas físicas</t>
  </si>
  <si>
    <t>Inadimplência das operações de crédito - AP - Pessoas jurídicas</t>
  </si>
  <si>
    <t>Inadimplência das operações de crédito - AP - Total</t>
  </si>
  <si>
    <t>Amapá</t>
  </si>
  <si>
    <t>Saldo das operações de crédito - AM - Pessoas físicas</t>
  </si>
  <si>
    <t>Saldo das operações de crédito - AM - Pessoas jurídicas</t>
  </si>
  <si>
    <t>Saldo das operações de crédito - AM - Total</t>
  </si>
  <si>
    <t>Inadimplência das operações de crédito - AM - Pessoas físicas</t>
  </si>
  <si>
    <t>Inadimplência das operações de crédito - AM - Pessoas jurídicas</t>
  </si>
  <si>
    <t>Inadimplência das operações de crédito - AM - Total</t>
  </si>
  <si>
    <t>Amazonas</t>
  </si>
  <si>
    <t>Saldo das operações de crédito - PA - Pessoas físicas</t>
  </si>
  <si>
    <t>Saldo das operações de crédito - PA - Pessoas jurídicas</t>
  </si>
  <si>
    <t>Saldo das operações de crédito - PA - Total</t>
  </si>
  <si>
    <t>Inadimplência das operações de crédito - PA - Pessoas físicas</t>
  </si>
  <si>
    <t>Inadimplência das operações de crédito - PA - Pessoas jurídicas</t>
  </si>
  <si>
    <t>Inadimplência das operações de crédito - PA - Total</t>
  </si>
  <si>
    <t>Pará</t>
  </si>
  <si>
    <t>Saldo das operações de crédito - RO - Pessoas físicas</t>
  </si>
  <si>
    <t>Saldo das operações de crédito - RO - Pessoas jurídicas</t>
  </si>
  <si>
    <t>Saldo das operações de crédito - RO - Total</t>
  </si>
  <si>
    <t>Inadimplência das operações de crédito - RO - Pessoas físicas</t>
  </si>
  <si>
    <t>Inadimplência das operações de crédito - RO - Pessoas jurídicas</t>
  </si>
  <si>
    <t>Inadimplência das operações de crédito - RO - Total</t>
  </si>
  <si>
    <t>Roraima</t>
  </si>
  <si>
    <t>Saldo das operações de crédito - RR - Pessoas físicas</t>
  </si>
  <si>
    <t>Saldo das operações de crédito - RR - Pessoas jurídicas</t>
  </si>
  <si>
    <t>Saldo das operações de crédito - RR - Total</t>
  </si>
  <si>
    <t>Inadimplência das operações de crédito - RR - Pessoas físicas</t>
  </si>
  <si>
    <t>Inadimplência das operações de crédito - RR - Pessoas jurídicas</t>
  </si>
  <si>
    <t>Inadimplência das operações de crédito - RR - Total</t>
  </si>
  <si>
    <t>Rondônia</t>
  </si>
  <si>
    <t>Saldo das operações de crédito - TO - Pessoas físicas</t>
  </si>
  <si>
    <t>Saldo das operações de crédito - TO - Pessoas jurídicas</t>
  </si>
  <si>
    <t>Saldo das operações de crédito - TO - Total</t>
  </si>
  <si>
    <t>Inadimplência das operações de crédito - TO - Pessoas físicas</t>
  </si>
  <si>
    <t>Inadimplência das operações de crédito - TO - Pessoas jurídicas</t>
  </si>
  <si>
    <t>Inadimplência das operações de crédito - TO - Total</t>
  </si>
  <si>
    <t>Tocantins</t>
  </si>
  <si>
    <t>Saldo das operações de crédito - N - Pessoas físicas</t>
  </si>
  <si>
    <t>Saldo das operações de crédito - N - Pessoas jurídicas</t>
  </si>
  <si>
    <t>Saldo das operações de crédito - N - Total</t>
  </si>
  <si>
    <t>Inadimplência das operações de crédito - N - Pessoas físicas</t>
  </si>
  <si>
    <t>Inadimplência das operações de crédito - N - Pessoas jurídicas</t>
  </si>
  <si>
    <t>Inadimplência das operações de crédito - N - Total</t>
  </si>
  <si>
    <t>Grande região</t>
  </si>
  <si>
    <t>Norte</t>
  </si>
  <si>
    <t>Saldo das operações de crédito - AL - Pessoas físicas</t>
  </si>
  <si>
    <t>Saldo das operações de crédito - AL - Pessoas jurídicas</t>
  </si>
  <si>
    <t>Saldo das operações de crédito - AL - Total</t>
  </si>
  <si>
    <t>Inadimplência das operações de crédito - AL - Pessoas físicas</t>
  </si>
  <si>
    <t>Inadimplência das operações de crédito - AL - Pessoas jurídicas</t>
  </si>
  <si>
    <t>Inadimplência das operações de crédito - AL - Total</t>
  </si>
  <si>
    <t>Alagoas</t>
  </si>
  <si>
    <t>Saldo das operações de crédito - BA - Pessoas físicas</t>
  </si>
  <si>
    <t>Saldo das operações de crédito - BA - Pessoas jurídicas</t>
  </si>
  <si>
    <t>Saldo das operações de crédito - BA - Total</t>
  </si>
  <si>
    <t>Inadimplência das operações de crédito - BA - Pessoas físicas</t>
  </si>
  <si>
    <t>Inadimplência das operações de crédito - BA - Pessoas jurídicas</t>
  </si>
  <si>
    <t>Inadimplência das operações de crédito - BA - Total</t>
  </si>
  <si>
    <t>Bahia</t>
  </si>
  <si>
    <t>Saldo das operações de crédito - CE - Pessoas físicas</t>
  </si>
  <si>
    <t>Saldo das operações de crédito - CE - Pessoas jurídicas</t>
  </si>
  <si>
    <t>Saldo das operações de crédito - CE - Total</t>
  </si>
  <si>
    <t>Inadimplência das operações de crédito - CE - Pessoas físicas</t>
  </si>
  <si>
    <t>Inadimplência das operações de crédito - CE - Pessoas jurídicas</t>
  </si>
  <si>
    <t>Inadimplência das operações de crédito - CE - Total</t>
  </si>
  <si>
    <t>Ceará</t>
  </si>
  <si>
    <t>Saldo das operações de crédito - MA - Pessoas físicas</t>
  </si>
  <si>
    <t>Saldo das operações de crédito - MA - Pessoas jurídicas</t>
  </si>
  <si>
    <t>Saldo das operações de crédito - MA - Total</t>
  </si>
  <si>
    <t>Inadimplência das operações de crédito - MA - Pessoas físicas</t>
  </si>
  <si>
    <t>Inadimplência das operações de crédito - MA - Pessoas jurídicas</t>
  </si>
  <si>
    <t>Inadimplência das operações de crédito - MA - Total</t>
  </si>
  <si>
    <t>Maranhão</t>
  </si>
  <si>
    <t>Saldo das operações de crédito - PB - Pessoas físicas</t>
  </si>
  <si>
    <t>Saldo das operações de crédito - PB - Pessoas jurídicas</t>
  </si>
  <si>
    <t>Saldo das operações de crédito - PB - Total</t>
  </si>
  <si>
    <t>Inadimplência das operações de crédito - PB - Pessoas físicas</t>
  </si>
  <si>
    <t>Inadimplência das operações de crédito - PB - Pessoas jurídicas</t>
  </si>
  <si>
    <t>Inadimplência das operações de crédito - PB - Total</t>
  </si>
  <si>
    <t>Paraíba</t>
  </si>
  <si>
    <t>Saldo das operações de crédito - PE - Pessoas físicas</t>
  </si>
  <si>
    <t>Saldo das operações de crédito - PE - Pessoas jurídicas</t>
  </si>
  <si>
    <t>Saldo das operações de crédito - PE - Total</t>
  </si>
  <si>
    <t>Inadimplência das operações de crédito - PE - Pessoas físicas</t>
  </si>
  <si>
    <t>Inadimplência das operações de crédito - PE - Pessoas jurídicas</t>
  </si>
  <si>
    <t>Inadimplência das operações de crédito - PE - Total</t>
  </si>
  <si>
    <t>Pernambuco</t>
  </si>
  <si>
    <t>Saldo das operações de crédito - PI - Pessoas físicas</t>
  </si>
  <si>
    <t>Saldo das operações de crédito - PI - Pessoas jurídicas</t>
  </si>
  <si>
    <t>Saldo das operações de crédito - PI - Total</t>
  </si>
  <si>
    <t>Inadimplência das operações de crédito - PI - Pessoas físicas</t>
  </si>
  <si>
    <t>Inadimplência das operações de crédito - PI - Pessoas jurídicas</t>
  </si>
  <si>
    <t>Inadimplência das operações de crédito - PI - Total</t>
  </si>
  <si>
    <t>Piauí</t>
  </si>
  <si>
    <t>Saldo das operações de crédito - RN - Pessoas físicas</t>
  </si>
  <si>
    <t>Saldo das operações de crédito - RN - Pessoas jurídicas</t>
  </si>
  <si>
    <t>Saldo das operações de crédito - RN - Total</t>
  </si>
  <si>
    <t>Inadimplência das operações de crédito - RN - Pessoas físicas</t>
  </si>
  <si>
    <t>Inadimplência das operações de crédito - RN - Pessoas jurídicas</t>
  </si>
  <si>
    <t>Inadimplência das operações de crédito - RN - Total</t>
  </si>
  <si>
    <t>Rio Grande do Norte</t>
  </si>
  <si>
    <t>Saldo das operações de crédito - SE - Pessoas físicas</t>
  </si>
  <si>
    <t>Saldo das operações de crédito - SE - Pessoas jurídicas</t>
  </si>
  <si>
    <t>Saldo das operações de crédito - SE - Total</t>
  </si>
  <si>
    <t>Inadimplência das operações de crédito - SE - Pessoas físicas</t>
  </si>
  <si>
    <t>Inadimplência das operações de crédito - SE - Pessoas jurídicas</t>
  </si>
  <si>
    <t>Inadimplência das operações de crédito - SE - Total</t>
  </si>
  <si>
    <t>Sergipe</t>
  </si>
  <si>
    <t>Saldo das operações de crédito - NE - Pessoas físicas</t>
  </si>
  <si>
    <t>Saldo das operações de crédito - NE - Pessoas jurídicas</t>
  </si>
  <si>
    <t>Saldo das operações de crédito - NE - Total</t>
  </si>
  <si>
    <t>Inadimplência das operações de crédito - NE - Pessoas físicas</t>
  </si>
  <si>
    <t>Inadimplência das operações de crédito - NE - Pessoas jurídicas</t>
  </si>
  <si>
    <t>Inadimplência das operações de crédito - NE - Total</t>
  </si>
  <si>
    <t>Nordeste</t>
  </si>
  <si>
    <t>Saldo das operações de crédito - GO - Pessoas físicas</t>
  </si>
  <si>
    <t>Saldo das operações de crédito - GO - Pessoas jurídicas</t>
  </si>
  <si>
    <t>Saldo das operações de crédito - GO - Total</t>
  </si>
  <si>
    <t>Inadimplência das operações de crédito - GO - Pessoas físicas</t>
  </si>
  <si>
    <t>Inadimplência das operações de crédito - GO - Pessoas jurídicas</t>
  </si>
  <si>
    <t>Inadimplência das operações de crédito - GO - Total</t>
  </si>
  <si>
    <t>Goiás</t>
  </si>
  <si>
    <t>Saldo das operações de crédito - DF - Pessoas físicas</t>
  </si>
  <si>
    <t>Saldo das operações de crédito - DF - Pessoas jurídicas</t>
  </si>
  <si>
    <t>Saldo das operações de crédito - DF - Total</t>
  </si>
  <si>
    <t>Inadimplência das operações de crédito - DF - Pessoas físicas</t>
  </si>
  <si>
    <t>Inadimplência das operações de crédito - DF - Pessoas jurídicas</t>
  </si>
  <si>
    <t>Inadimplência das operações de crédito - DF - Total</t>
  </si>
  <si>
    <t>Distrito Federal</t>
  </si>
  <si>
    <t>Saldo das operações de crédito - MT - Pessoas físicas</t>
  </si>
  <si>
    <t>Saldo das operações de crédito - MT - Pessoas jurídicas</t>
  </si>
  <si>
    <t>Saldo das operações de crédito - MT - Total</t>
  </si>
  <si>
    <t>Inadimplência das operações de crédito - MT - Pessoas físicas</t>
  </si>
  <si>
    <t>Inadimplência das operações de crédito - MT - Pessoas jurídicas</t>
  </si>
  <si>
    <t>Inadimplência das operações de crédito - MT - Total</t>
  </si>
  <si>
    <t>Mato Grosso</t>
  </si>
  <si>
    <t>Saldo das operações de crédito - MS - Pessoas físicas</t>
  </si>
  <si>
    <t>Saldo das operações de crédito - MS - Pessoas jurídicas</t>
  </si>
  <si>
    <t>Saldo das operações de crédito - MS - Total</t>
  </si>
  <si>
    <t>Inadimplência das operações de crédito - MS - Pessoas físicas</t>
  </si>
  <si>
    <t>Inadimplência das operações de crédito - MS - Pessoas jurídicas</t>
  </si>
  <si>
    <t>Inadimplência das operações de crédito - MS - Total</t>
  </si>
  <si>
    <t>Mato Grosso do Sul</t>
  </si>
  <si>
    <t>Saldo das operações de crédito - CO - Pessoas físicas</t>
  </si>
  <si>
    <t>Saldo das operações de crédito - CO - Pessoas jurídicas</t>
  </si>
  <si>
    <t>Saldo das operações de crédito - CO - Total</t>
  </si>
  <si>
    <t>Inadimplência das operações de crédito - CO - Pessoas físicas</t>
  </si>
  <si>
    <t>Inadimplência das operações de crédito - CO - Pessoas jurídicas</t>
  </si>
  <si>
    <t>Inadimplência das operações de crédito - CO - Total</t>
  </si>
  <si>
    <t>Centro-Oeste</t>
  </si>
  <si>
    <t>Saldo das operações de crédito - ES - Pessoas físicas</t>
  </si>
  <si>
    <t>Saldo das operações de crédito - ES - Pessoas jurídicas</t>
  </si>
  <si>
    <t>Saldo das operações de crédito - ES - Total</t>
  </si>
  <si>
    <t>Inadimplência das operações de crédito - ES - Pessoas físicas</t>
  </si>
  <si>
    <t>Inadimplência das operações de crédito - ES - Pessoas jurídicas</t>
  </si>
  <si>
    <t>Inadimplência das operações de crédito - ES - Total</t>
  </si>
  <si>
    <t>Espírito Santo</t>
  </si>
  <si>
    <t>Saldo das operações de crédito - MG - Pessoas físicas</t>
  </si>
  <si>
    <t>Saldo das operações de crédito - MG - Pessoas jurídicas</t>
  </si>
  <si>
    <t>Saldo das operações de crédito - MG - Total</t>
  </si>
  <si>
    <t>Inadimplência das operações de crédito - MG - Pessoas físicas</t>
  </si>
  <si>
    <t>Inadimplência das operações de crédito - MG - Pessoas jurídicas</t>
  </si>
  <si>
    <t>Inadimplência das operações de crédito - MG - Total</t>
  </si>
  <si>
    <t>Minas Gerais</t>
  </si>
  <si>
    <t>Saldo das operações de crédito - RJ - Pessoas físicas</t>
  </si>
  <si>
    <t>Saldo das operações de crédito - RJ - Pessoas jurídicas</t>
  </si>
  <si>
    <t>Saldo das operações de crédito - RJ - Total</t>
  </si>
  <si>
    <t>Inadimplência das operações de crédito - RJ - Pessoas físicas</t>
  </si>
  <si>
    <t>Inadimplência das operações de crédito - RJ - Pessoas jurídicas</t>
  </si>
  <si>
    <t>Inadimplência das operações de crédito - RJ - Total</t>
  </si>
  <si>
    <t>Rio de Janeiro</t>
  </si>
  <si>
    <t>Saldo das operações de crédito - SP - Pessoas físicas</t>
  </si>
  <si>
    <t>Saldo das operações de crédito - SP - Pessoas jurídicas</t>
  </si>
  <si>
    <t>Saldo das operações de crédito - SP - Total</t>
  </si>
  <si>
    <t>Inadimplência das operações de crédito - SP - Pessoas físicas</t>
  </si>
  <si>
    <t>Inadimplência das operações de crédito - SP - Pessoas jurídicas</t>
  </si>
  <si>
    <t>Inadimplência das operações de crédito - SP - Total</t>
  </si>
  <si>
    <t>São Paulo</t>
  </si>
  <si>
    <t>Sudeste</t>
  </si>
  <si>
    <t>Saldo das operações de crédito - SC - Pessoas físicas</t>
  </si>
  <si>
    <t>Saldo das operações de crédito - SC - Pessoas jurídicas</t>
  </si>
  <si>
    <t>Saldo das operações de crédito - SC - Total</t>
  </si>
  <si>
    <t>Inadimplência das operações de crédito - SC - Pessoas físicas</t>
  </si>
  <si>
    <t>Inadimplência das operações de crédito - SC - Pessoas jurídicas</t>
  </si>
  <si>
    <t>Inadimplência das operações de crédito - SC - Total</t>
  </si>
  <si>
    <t>Santa Catarina</t>
  </si>
  <si>
    <t>Saldo das operações de crédito - PR - Pessoas físicas</t>
  </si>
  <si>
    <t>Saldo das operações de crédito - PR - Pessoas jurídicas</t>
  </si>
  <si>
    <t>Saldo das operações de crédito - PR - Total</t>
  </si>
  <si>
    <t>Inadimplência das operações de crédito - PR - Pessoas físicas</t>
  </si>
  <si>
    <t>Inadimplência das operações de crédito - PR - Pessoas jurídicas</t>
  </si>
  <si>
    <t>Inadimplência das operações de crédito - PR - Total</t>
  </si>
  <si>
    <t>Paraná</t>
  </si>
  <si>
    <t>Saldo das operações de crédito - RS - Pessoas físicas</t>
  </si>
  <si>
    <t>Saldo das operações de crédito - RS - Pessoas jurídicas</t>
  </si>
  <si>
    <t>Saldo das operações de crédito - RS - Total</t>
  </si>
  <si>
    <t>Inadimplência das operações de crédito - RS - Pessoas físicas</t>
  </si>
  <si>
    <t>Inadimplência das operações de crédito - RS - Pessoas jurídicas</t>
  </si>
  <si>
    <t>Inadimplência das operações de crédito - RS - Total</t>
  </si>
  <si>
    <t>Rio Grande do Sul</t>
  </si>
  <si>
    <t>Saldo das operações de crédito - S - Pessoas físicas</t>
  </si>
  <si>
    <t>Saldo das operações de crédito - S - Pessoas jurídicas</t>
  </si>
  <si>
    <t>Saldo das operações de crédito - S - Total</t>
  </si>
  <si>
    <t>Inadimplência das operações de crédito - S - Pessoas físicas</t>
  </si>
  <si>
    <t>Inadimplência das operações de crédito - S - Pessoas jurídicas</t>
  </si>
  <si>
    <t>Inadimplência das operações de crédito - S - Total</t>
  </si>
  <si>
    <t>Sul</t>
  </si>
  <si>
    <t>% do saldo</t>
  </si>
  <si>
    <t>% da renda</t>
  </si>
  <si>
    <t>Pesquisa nacional de endividamento e inadimplência do consumidor - famílias com dívidas em atraso</t>
  </si>
  <si>
    <t>Pesquisa nacional de endividamento e inadimplência do consumidor</t>
  </si>
  <si>
    <t>A pesquisa nacional de endividamento e inadimplência do consumidor (Peic) é apurada mensalmente pela CNC desde janeiro de 2010. Os dados são coletados em todas as capitais dos estados e no Distrito Federal, com aproximadamente 18 mil consumidores. São apurados importantes indicadores de endividamento e inadimplência, que possibilitam traçar um perfil do endividamento, acompanhar o nível de comprometimento do consumidor com dívidas e a percepção em relação a sua capacidade de pagamento. Obs.: A categoria famílias com dívidas em atraso corresponde aos consumidores com dívidas atrasadas no mês.</t>
  </si>
  <si>
    <t>IPEADATA</t>
  </si>
  <si>
    <t>http://www.ipeadata.gov.br/api/odata4/ValoresSerie(SERCODIGO='CNC12_PEICA12')</t>
  </si>
  <si>
    <t>% dos consumidores</t>
  </si>
  <si>
    <t>Famílias com dívidas em atraso</t>
  </si>
  <si>
    <t>Pesquisa nacional de endividamento e inadimplência do consumidor - famílias sem condição de pagar dívidas em atraso</t>
  </si>
  <si>
    <t>A pesquisa nacional de endividamento e inadimplência do consumidor (Peic) é apurada mensalmente pela CNC desde janeiro de 2010. Os dados são coletados em todas as capitais dos estados e no Distrito Federal, com aproximadamente 18 mil consumidores. São apurados importantes indicadores de endividamento e inadimplência, que possibilitam traçar um perfil do endividamento, acompanhar o nível de comprometimento do consumidor com dívidas e a percepção em relação a sua capacidade de pagamento. Obs.: A categoria famílias sem condição de pagar dívidas em atraso corresponde ao percentual dos que afirmam que não terão condições de pagar as dívidas em atraso no próximo mês e, portanto, permanecerão inadimplentes.</t>
  </si>
  <si>
    <t>http://www.ipeadata.gov.br/api/odata4/ValoresSerie(SERCODIGO='CNC12_PEICSC12')</t>
  </si>
  <si>
    <t>Famílias sem condição de pagar dívidas em atraso</t>
  </si>
  <si>
    <t>Pesquisa nacional de endividamento e inadimplência do consumidor - renda comprometida com dívida</t>
  </si>
  <si>
    <t>A pesquisa nacional de endividamento e inadimplência do consumidor (Peic) é apurada mensalmente pela CNC desde janeiro de 2010. Os dados são coletados em todas as capitais dos estados e no Distrito Federal, com aproximadamente 18 mil consumidores. São apurados importantes indicadores de endividamento e inadimplência, que possibilitam traçar um perfil do endividamento, acompanhar o nível de comprometimento do consumidor com dívidas e a percepção em relação a sua capacidade de pagamento. Obs.: A categoria renda comprometida corresponde ao quanto da renda que deverá ser destinado a pagamento de juros e amortização de dívidas.</t>
  </si>
  <si>
    <t>http://www.ipeadata.gov.br/api/odata4/ValoresSerie(SERCODIGO='CNC12_PEICRC12')</t>
  </si>
  <si>
    <t>Renda comprometida com dívida</t>
  </si>
  <si>
    <t>Pesquisa nacional de endividamento e inadimplência do consumidor - total</t>
  </si>
  <si>
    <t xml:space="preserve">A pesquisa nacional de endividamento e inadimplência do consumidor (Peic) é apurada mensalmente pela CNC desde janeiro de 2010. Os dados são coletados em todas as capitais dos estados e no Distrito Federal, com aproximadamente 18 mil consumidores. São apurados importantes indicadores de endividamento e inadimplência, que possibilitam traçar um perfil do endividamento, acompanhar o nível de comprometimento do consumidor com dívidas e a percepção em relação a sua capacidade de pagamento. </t>
  </si>
  <si>
    <t>http://www.ipeadata.gov.br/api/odata4/ValoresSerie(SERCODIGO='CNC12_PEICT12')</t>
  </si>
  <si>
    <t>Dívida externa</t>
  </si>
  <si>
    <t>Empréstimos ao governo</t>
  </si>
  <si>
    <t>Títulos públicos emitidos no mercado externo</t>
  </si>
  <si>
    <t>Títulos públicos emitidos no mercado doméstico</t>
  </si>
  <si>
    <t>Para empresas</t>
  </si>
  <si>
    <t>Empréstimos do SFN</t>
  </si>
  <si>
    <t>Empréstimos de OSF</t>
  </si>
  <si>
    <t>Empréstimos a empresas</t>
  </si>
  <si>
    <t>Títulos emitidos por empresas no mercado externo</t>
  </si>
  <si>
    <t>Títulos emitidos por empresas no mercado doméstico</t>
  </si>
  <si>
    <t>Para famílias</t>
  </si>
  <si>
    <t>Empréstimos de fundos governamentais</t>
  </si>
  <si>
    <t>Instrumentos de securitização</t>
  </si>
  <si>
    <t>Devedores empresas</t>
  </si>
  <si>
    <t>Devedores famílias</t>
  </si>
  <si>
    <t>Empréstimos a famílias</t>
  </si>
  <si>
    <t>Não rotativo</t>
  </si>
  <si>
    <t>Rotativo</t>
  </si>
  <si>
    <t>Desconto de duplicatas e recebíveis</t>
  </si>
  <si>
    <t>Desconto de cheques</t>
  </si>
  <si>
    <t>Antecipação de faturas de cartão de crédito</t>
  </si>
  <si>
    <t>Capital de giro com prazo de até 365 dias</t>
  </si>
  <si>
    <t>Capital de giro com prazo superior a 365 dias</t>
  </si>
  <si>
    <t>Capital de giro rotativo</t>
  </si>
  <si>
    <t>Capital de giro total</t>
  </si>
  <si>
    <t>Conta garantida</t>
  </si>
  <si>
    <t>Cheque especial</t>
  </si>
  <si>
    <t>Aquisição de veículos</t>
  </si>
  <si>
    <t>Aquisição de outros bens</t>
  </si>
  <si>
    <t>Aquisição de bens total</t>
  </si>
  <si>
    <t>Arrendamento mercantil de veículos</t>
  </si>
  <si>
    <t>Arrendamento mercantil de outros bens</t>
  </si>
  <si>
    <t>Arrendamento mercantil total</t>
  </si>
  <si>
    <t>Vendor</t>
  </si>
  <si>
    <t>Compror</t>
  </si>
  <si>
    <t>Cartão de crédito rotativo</t>
  </si>
  <si>
    <t>Cartão de crédito parcelado</t>
  </si>
  <si>
    <t>Cartão de crédito à vista</t>
  </si>
  <si>
    <t>Cartão de crédito total</t>
  </si>
  <si>
    <t>Adiantamento sobre contratos de câmbio (ACC)</t>
  </si>
  <si>
    <t>Financiamento a importações</t>
  </si>
  <si>
    <t>Financiamento a exportações</t>
  </si>
  <si>
    <t>Repasse externo</t>
  </si>
  <si>
    <t>Outros créditos livres</t>
  </si>
  <si>
    <t>Crédito pessoal não consignado</t>
  </si>
  <si>
    <t>Crédito pessoal não consignado vinculado à composição de dívidas</t>
  </si>
  <si>
    <t>Crédito pessoal consignado para trabalhadores do setor privado</t>
  </si>
  <si>
    <t>Crédito pessoal consignado para trabalhadores do setor público</t>
  </si>
  <si>
    <t>Crédito pessoal consignado para aposentados e pensionistas do INSS</t>
  </si>
  <si>
    <t>Crédito pessoal consignado total</t>
  </si>
  <si>
    <t>Crédito pessoal total</t>
  </si>
  <si>
    <t>Crédito rural com taxas de mercado</t>
  </si>
  <si>
    <t>Crédito rural com taxas reguladas</t>
  </si>
  <si>
    <t>Crédito rural total</t>
  </si>
  <si>
    <t>Financiamento imobiliário com taxas de mercado</t>
  </si>
  <si>
    <t>Financiamento imobiliário com taxas reguladas</t>
  </si>
  <si>
    <t>Financiamento imobiliário total</t>
  </si>
  <si>
    <t>Capital de giro com recursos do BNDES</t>
  </si>
  <si>
    <t>Financiamento de investimentos com recursos do BNDES</t>
  </si>
  <si>
    <t>Financiamento agroindustrial com recursos do BNDES</t>
  </si>
  <si>
    <t>Financiamento com recursos do BNDES total</t>
  </si>
  <si>
    <t>Outros créditos direcionados</t>
  </si>
  <si>
    <t>Microcrédito destinado a consumo</t>
  </si>
  <si>
    <t>Microcrédito destinado a microempreendedores</t>
  </si>
  <si>
    <t>Microcrédito total</t>
  </si>
  <si>
    <t>Financiamento com recursos do BNDES - Carteira própria</t>
  </si>
  <si>
    <t>Financiamento com recursos do BNDES - Repasses</t>
  </si>
  <si>
    <t>Serviços industriais de utilidade pública (SIUP)</t>
  </si>
  <si>
    <t>Construção</t>
  </si>
  <si>
    <t>Alimentos</t>
  </si>
  <si>
    <t>Açúcar</t>
  </si>
  <si>
    <t>Têxtil, vestuário, couro e calçados</t>
  </si>
  <si>
    <t>Papel e celulose</t>
  </si>
  <si>
    <t>Petróleo, gás e álcool</t>
  </si>
  <si>
    <t>Metalurgia e siderurgia</t>
  </si>
  <si>
    <t>Química e farmacêutica</t>
  </si>
  <si>
    <t>Bens de capital</t>
  </si>
  <si>
    <t>Automobilística</t>
  </si>
  <si>
    <t>Mineração</t>
  </si>
  <si>
    <t>Obras de infraestrutura</t>
  </si>
  <si>
    <t>Outros bens de consumo duráveis</t>
  </si>
  <si>
    <t>Embalagens</t>
  </si>
  <si>
    <t>Bens de consumo não duráveis</t>
  </si>
  <si>
    <t>Setor industrial</t>
  </si>
  <si>
    <t>Transportes</t>
  </si>
  <si>
    <t>Via terrestre (carga e passageiro)</t>
  </si>
  <si>
    <t>Meios aquaviário e aéreo</t>
  </si>
  <si>
    <t>Dutoviário</t>
  </si>
  <si>
    <t>Comércio</t>
  </si>
  <si>
    <t>Varejo - bens não duráveis</t>
  </si>
  <si>
    <t>Varejo - bens duráveis</t>
  </si>
  <si>
    <t>Atacado - bens duráveis e não-duráveis</t>
  </si>
  <si>
    <t>Geral - veículos automotores</t>
  </si>
  <si>
    <t>Geral - bens intermediários</t>
  </si>
  <si>
    <t>Geral - bens de capital</t>
  </si>
  <si>
    <t>Administração pública</t>
  </si>
  <si>
    <t>Serviços imobiliários</t>
  </si>
  <si>
    <t>Serviços de informação e comunicação</t>
  </si>
  <si>
    <t>Demais serviços prestados às famílias</t>
  </si>
  <si>
    <t>Demais serviços prestados às empresas</t>
  </si>
  <si>
    <t>Serviços financeiros</t>
  </si>
  <si>
    <t>Outros serviços</t>
  </si>
  <si>
    <t>Setor de serviços</t>
  </si>
  <si>
    <t>Setor privado</t>
  </si>
  <si>
    <t>Setor público</t>
  </si>
  <si>
    <t>Governo federal</t>
  </si>
  <si>
    <t>Governos estuduais e municipais</t>
  </si>
  <si>
    <t>Controle público</t>
  </si>
  <si>
    <t>Controle privado</t>
  </si>
  <si>
    <t>Controle estrangeiro</t>
  </si>
  <si>
    <t>Crédito direcionado</t>
  </si>
  <si>
    <t>Nacional</t>
  </si>
  <si>
    <t>Recursos livres</t>
  </si>
  <si>
    <t>Recursos direcionados</t>
  </si>
  <si>
    <t>Série encadeada ao crédito referencial</t>
  </si>
  <si>
    <t>Crédito não rotativo</t>
  </si>
  <si>
    <t>Desconto de Duplicatas e recebíveis</t>
  </si>
  <si>
    <t>Desconto de Cheques</t>
  </si>
  <si>
    <t>Antecipação de faturas de cartão</t>
  </si>
  <si>
    <t>Adiantamentos sobre contratos de câmbio (ACC)</t>
  </si>
  <si>
    <t>Crédito não consignado</t>
  </si>
  <si>
    <t>Agroindustrial com recursos do BNDES</t>
  </si>
  <si>
    <t>Microcrédito</t>
  </si>
  <si>
    <t>Taxas média de juros</t>
  </si>
  <si>
    <t>Taxas média de juros com recursos livres</t>
  </si>
  <si>
    <t>Taxas média de juros com recursos direcionados</t>
  </si>
  <si>
    <t>Taxas de juros</t>
  </si>
  <si>
    <t>Taxas de juros com recursos livres</t>
  </si>
  <si>
    <t>Taxas de juros com recursos direcionados</t>
  </si>
  <si>
    <t>Inadimplência por porte da empresa</t>
  </si>
  <si>
    <t>Maior risco da carteira</t>
  </si>
  <si>
    <t>Grandes empresas</t>
  </si>
  <si>
    <t>Micro, Pequena e Média (MPMe) empresas</t>
  </si>
  <si>
    <t>Provisões segundo controle de capital</t>
  </si>
  <si>
    <t>Comprometimento de renda das família</t>
  </si>
  <si>
    <t>Exceto crédito habitacional</t>
  </si>
  <si>
    <t>Com ajuste sazonal</t>
  </si>
  <si>
    <t>Amortização</t>
  </si>
  <si>
    <t>Juros</t>
  </si>
  <si>
    <t>Serviço da dívida</t>
  </si>
  <si>
    <t>Serviço da dívida exceto crédito habitacional</t>
  </si>
  <si>
    <t>Sem ajuste sazonal</t>
  </si>
  <si>
    <t>Demanda esperada</t>
  </si>
  <si>
    <t>Grandes Empresas</t>
  </si>
  <si>
    <t>Demanda observada</t>
  </si>
  <si>
    <t>MPME</t>
  </si>
  <si>
    <t>Consumo</t>
  </si>
  <si>
    <t>Habitacional</t>
  </si>
  <si>
    <t>Oferta esperada</t>
  </si>
  <si>
    <t>Oferta observada</t>
  </si>
  <si>
    <t>Demais modalidades</t>
  </si>
  <si>
    <t>Pedidos efetivados</t>
  </si>
  <si>
    <t>Saldo portado</t>
  </si>
  <si>
    <t>Total de pedidos</t>
  </si>
  <si>
    <t>Aquisição de Veículos</t>
  </si>
  <si>
    <t>Crédito pessoal consignado</t>
  </si>
  <si>
    <t>Crédito pessoal sem consignação</t>
  </si>
  <si>
    <t>Home Equity</t>
  </si>
  <si>
    <t>Imobiliário - Empreendimentos, exceto habitacional</t>
  </si>
  <si>
    <t>Imobiliário - Habitacional SFH</t>
  </si>
  <si>
    <t>Imobiliário - Habitacional SFI</t>
  </si>
  <si>
    <t>Todas modalidades</t>
  </si>
  <si>
    <t>Crédito livre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</si>
</sst>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rgb="FF000000"/>
      <name val="Verdana"/>
      <family val="2"/>
    </font>
    <font>
      <sz val="8"/>
      <color rgb="FF000000"/>
      <name val="Verdana"/>
      <family val="2"/>
    </font>
    <font>
      <sz val="10"/>
      <color rgb="FF0036D7"/>
      <name val="Verdana"/>
      <family val="2"/>
    </font>
    <font>
      <b/>
      <sz val="10"/>
      <color rgb="FF000000"/>
      <name val="Verdana"/>
      <family val="2"/>
    </font>
  </fonts>
  <fills count="5">
    <fill>
      <patternFill patternType="none"/>
    </fill>
    <fill>
      <patternFill patternType="gray125"/>
    </fill>
    <fill>
      <patternFill patternType="solid">
        <fgColor rgb="FFF2F4F6"/>
        <bgColor indexed="64"/>
      </patternFill>
    </fill>
    <fill>
      <patternFill patternType="solid">
        <fgColor rgb="FFE5E9ED"/>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0" fontId="1" fillId="2" borderId="0" xfId="0" applyFont="1" applyFill="1" applyAlignment="1">
      <alignment horizontal="left" vertical="center"/>
    </xf>
    <xf numFmtId="0" fontId="2" fillId="2" borderId="0" xfId="0" applyFont="1" applyFill="1" applyAlignment="1">
      <alignment horizontal="center" vertical="center"/>
    </xf>
    <xf numFmtId="14" fontId="1" fillId="2" borderId="0" xfId="0" applyNumberFormat="1" applyFont="1" applyFill="1" applyAlignment="1">
      <alignment horizontal="center" vertical="center"/>
    </xf>
    <xf numFmtId="17" fontId="1" fillId="2" borderId="0" xfId="0" applyNumberFormat="1" applyFont="1" applyFill="1" applyAlignment="1">
      <alignment horizontal="center" vertical="center"/>
    </xf>
    <xf numFmtId="0" fontId="1" fillId="2" borderId="0" xfId="0" applyFont="1" applyFill="1" applyAlignment="1">
      <alignment vertical="center"/>
    </xf>
    <xf numFmtId="0" fontId="3" fillId="2" borderId="0" xfId="0" applyFont="1" applyFill="1" applyAlignment="1">
      <alignment horizontal="center" vertical="center"/>
    </xf>
    <xf numFmtId="0" fontId="1" fillId="3" borderId="0" xfId="0" applyFont="1" applyFill="1" applyAlignment="1">
      <alignment horizontal="center" vertical="center"/>
    </xf>
    <xf numFmtId="0" fontId="1" fillId="3" borderId="0" xfId="0" applyFont="1" applyFill="1" applyAlignment="1">
      <alignment horizontal="left" vertical="center"/>
    </xf>
    <xf numFmtId="0" fontId="2" fillId="3" borderId="0" xfId="0" applyFont="1" applyFill="1" applyAlignment="1">
      <alignment horizontal="center" vertical="center"/>
    </xf>
    <xf numFmtId="14" fontId="1" fillId="3" borderId="0" xfId="0" applyNumberFormat="1" applyFont="1" applyFill="1" applyAlignment="1">
      <alignment horizontal="center" vertical="center"/>
    </xf>
    <xf numFmtId="17" fontId="1" fillId="3" borderId="0" xfId="0" applyNumberFormat="1" applyFont="1" applyFill="1" applyAlignment="1">
      <alignment horizontal="center" vertical="center"/>
    </xf>
    <xf numFmtId="0" fontId="1" fillId="3" borderId="0" xfId="0" applyFont="1" applyFill="1" applyAlignment="1">
      <alignment vertical="center"/>
    </xf>
    <xf numFmtId="0" fontId="3" fillId="3" borderId="0" xfId="0" applyFont="1" applyFill="1" applyAlignment="1">
      <alignment horizontal="center" vertical="center"/>
    </xf>
    <xf numFmtId="0" fontId="1" fillId="0" borderId="0" xfId="0" applyFont="1" applyAlignment="1">
      <alignment horizontal="left" vertical="center"/>
    </xf>
    <xf numFmtId="0" fontId="2" fillId="4" borderId="0" xfId="0" applyFont="1" applyFill="1"/>
    <xf numFmtId="0" fontId="0" fillId="4" borderId="0" xfId="0"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8162E-A69F-41A1-A154-84AE35CF5DDF}">
  <sheetPr codeName="Planilha1"/>
  <dimension ref="A1:U1099"/>
  <sheetViews>
    <sheetView tabSelected="1" zoomScale="85" zoomScaleNormal="85" workbookViewId="0">
      <pane xSplit="3" ySplit="1" topLeftCell="I2" activePane="bottomRight" state="frozen"/>
      <selection pane="topRight" activeCell="D1" sqref="D1"/>
      <selection pane="bottomLeft" activeCell="A2" sqref="A2"/>
      <selection pane="bottomRight" activeCell="K3" sqref="K3"/>
    </sheetView>
  </sheetViews>
  <sheetFormatPr defaultRowHeight="15" x14ac:dyDescent="0.25"/>
  <cols>
    <col min="2" max="2" width="11.28515625" bestFit="1" customWidth="1"/>
    <col min="3" max="3" width="79.7109375" customWidth="1"/>
    <col min="4" max="4" width="38.28515625" bestFit="1" customWidth="1"/>
    <col min="6" max="6" width="11.85546875" bestFit="1" customWidth="1"/>
    <col min="7" max="7" width="17.7109375" customWidth="1"/>
    <col min="8" max="8" width="12" bestFit="1" customWidth="1"/>
    <col min="11" max="11" width="60.140625" customWidth="1"/>
    <col min="12" max="12" width="37.42578125" hidden="1" customWidth="1"/>
    <col min="13" max="13" width="21.5703125" hidden="1" customWidth="1"/>
    <col min="14" max="14" width="67.42578125" hidden="1" customWidth="1"/>
    <col min="15" max="15" width="9.85546875" hidden="1" customWidth="1"/>
    <col min="16" max="16" width="20.5703125" hidden="1" customWidth="1"/>
    <col min="17" max="17" width="19.28515625" hidden="1" customWidth="1"/>
    <col min="18" max="18" width="49.42578125" customWidth="1"/>
    <col min="19" max="19" width="61.5703125" customWidth="1"/>
    <col min="20" max="20" width="66.140625" bestFit="1" customWidth="1"/>
  </cols>
  <sheetData>
    <row r="1" spans="1:19" x14ac:dyDescent="0.25">
      <c r="A1" s="16" t="s">
        <v>3</v>
      </c>
      <c r="B1" s="17" t="s">
        <v>4</v>
      </c>
      <c r="C1" s="17" t="s">
        <v>11</v>
      </c>
      <c r="D1" s="17" t="s">
        <v>13</v>
      </c>
      <c r="E1" s="17" t="s">
        <v>6</v>
      </c>
      <c r="F1" s="17" t="s">
        <v>7</v>
      </c>
      <c r="G1" s="17" t="s">
        <v>8</v>
      </c>
      <c r="H1" s="17" t="s">
        <v>22</v>
      </c>
      <c r="I1" s="17" t="s">
        <v>9</v>
      </c>
      <c r="J1" s="17" t="s">
        <v>10</v>
      </c>
      <c r="K1" t="s">
        <v>5</v>
      </c>
      <c r="L1" t="s">
        <v>12</v>
      </c>
      <c r="M1" t="s">
        <v>14</v>
      </c>
      <c r="N1" t="s">
        <v>16</v>
      </c>
      <c r="O1" t="s">
        <v>17</v>
      </c>
      <c r="P1" t="s">
        <v>18</v>
      </c>
      <c r="Q1" t="s">
        <v>20</v>
      </c>
      <c r="R1" t="s">
        <v>21</v>
      </c>
      <c r="S1" t="s">
        <v>23</v>
      </c>
    </row>
    <row r="2" spans="1:19" x14ac:dyDescent="0.25">
      <c r="A2" s="8"/>
      <c r="B2" s="8">
        <v>28197</v>
      </c>
      <c r="C2" s="9" t="s">
        <v>201</v>
      </c>
      <c r="D2" s="1" t="s">
        <v>25</v>
      </c>
      <c r="E2" s="10" t="s">
        <v>0</v>
      </c>
      <c r="F2" s="11">
        <v>41275</v>
      </c>
      <c r="G2" s="12">
        <v>45597</v>
      </c>
      <c r="H2" s="13" t="s">
        <v>1</v>
      </c>
      <c r="I2" s="8" t="s">
        <v>2</v>
      </c>
      <c r="J2" s="14"/>
      <c r="K2" s="15" t="s">
        <v>34</v>
      </c>
      <c r="L2" t="s">
        <v>26</v>
      </c>
      <c r="M2" t="s">
        <v>15</v>
      </c>
      <c r="N2" t="str">
        <f t="shared" ref="N2:N6" si="0">_xlfn.CONCAT("https://api.bcb.gov.br/dados/serie/bcdata.sgs.",B2,"/dados?formato=json")</f>
        <v>https://api.bcb.gov.br/dados/serie/bcdata.sgs.28197/dados?formato=json</v>
      </c>
      <c r="O2">
        <v>6</v>
      </c>
      <c r="P2" t="s">
        <v>19</v>
      </c>
      <c r="Q2" t="s">
        <v>19</v>
      </c>
      <c r="R2" t="s">
        <v>118</v>
      </c>
      <c r="S2" t="s">
        <v>201</v>
      </c>
    </row>
    <row r="3" spans="1:19" x14ac:dyDescent="0.25">
      <c r="A3" s="1"/>
      <c r="B3" s="1">
        <v>28198</v>
      </c>
      <c r="C3" s="2" t="s">
        <v>202</v>
      </c>
      <c r="D3" s="1" t="s">
        <v>25</v>
      </c>
      <c r="E3" s="3" t="s">
        <v>0</v>
      </c>
      <c r="F3" s="4">
        <v>41275</v>
      </c>
      <c r="G3" s="5">
        <v>45597</v>
      </c>
      <c r="H3" s="6" t="s">
        <v>1</v>
      </c>
      <c r="I3" s="1" t="s">
        <v>2</v>
      </c>
      <c r="J3" s="7"/>
      <c r="K3" s="15" t="s">
        <v>34</v>
      </c>
      <c r="L3" t="s">
        <v>28</v>
      </c>
      <c r="M3" t="s">
        <v>15</v>
      </c>
      <c r="N3" t="str">
        <f t="shared" si="0"/>
        <v>https://api.bcb.gov.br/dados/serie/bcdata.sgs.28198/dados?formato=json</v>
      </c>
      <c r="O3">
        <v>6</v>
      </c>
      <c r="P3" t="s">
        <v>19</v>
      </c>
      <c r="Q3" t="s">
        <v>19</v>
      </c>
      <c r="R3" t="s">
        <v>118</v>
      </c>
      <c r="S3" t="s">
        <v>202</v>
      </c>
    </row>
    <row r="4" spans="1:19" x14ac:dyDescent="0.25">
      <c r="A4" s="1"/>
      <c r="B4" s="1">
        <v>28200</v>
      </c>
      <c r="C4" s="2" t="s">
        <v>203</v>
      </c>
      <c r="D4" s="1" t="s">
        <v>25</v>
      </c>
      <c r="E4" s="3" t="s">
        <v>0</v>
      </c>
      <c r="F4" s="4">
        <v>41275</v>
      </c>
      <c r="G4" s="5">
        <v>45597</v>
      </c>
      <c r="H4" s="6" t="s">
        <v>1</v>
      </c>
      <c r="I4" s="1" t="s">
        <v>2</v>
      </c>
      <c r="J4" s="7"/>
      <c r="K4" s="15" t="s">
        <v>34</v>
      </c>
      <c r="L4" t="s">
        <v>31</v>
      </c>
      <c r="M4" t="s">
        <v>15</v>
      </c>
      <c r="N4" t="str">
        <f t="shared" si="0"/>
        <v>https://api.bcb.gov.br/dados/serie/bcdata.sgs.28200/dados?formato=json</v>
      </c>
      <c r="O4">
        <v>6</v>
      </c>
      <c r="P4" t="s">
        <v>19</v>
      </c>
      <c r="Q4" t="s">
        <v>19</v>
      </c>
      <c r="R4" t="s">
        <v>856</v>
      </c>
      <c r="S4" t="s">
        <v>855</v>
      </c>
    </row>
    <row r="5" spans="1:19" x14ac:dyDescent="0.25">
      <c r="A5" s="8"/>
      <c r="B5" s="8">
        <v>28201</v>
      </c>
      <c r="C5" s="9" t="s">
        <v>204</v>
      </c>
      <c r="D5" s="1" t="s">
        <v>25</v>
      </c>
      <c r="E5" s="10" t="s">
        <v>0</v>
      </c>
      <c r="F5" s="11">
        <v>41275</v>
      </c>
      <c r="G5" s="12">
        <v>45597</v>
      </c>
      <c r="H5" s="13" t="s">
        <v>1</v>
      </c>
      <c r="I5" s="8" t="s">
        <v>2</v>
      </c>
      <c r="J5" s="14"/>
      <c r="K5" s="15" t="s">
        <v>34</v>
      </c>
      <c r="L5" t="s">
        <v>32</v>
      </c>
      <c r="M5" t="s">
        <v>15</v>
      </c>
      <c r="N5" t="str">
        <f t="shared" si="0"/>
        <v>https://api.bcb.gov.br/dados/serie/bcdata.sgs.28201/dados?formato=json</v>
      </c>
      <c r="O5">
        <v>6</v>
      </c>
      <c r="P5" t="s">
        <v>19</v>
      </c>
      <c r="Q5" t="s">
        <v>19</v>
      </c>
      <c r="R5" t="s">
        <v>857</v>
      </c>
      <c r="S5" t="s">
        <v>855</v>
      </c>
    </row>
    <row r="6" spans="1:19" x14ac:dyDescent="0.25">
      <c r="A6" s="1"/>
      <c r="B6" s="1">
        <v>28202</v>
      </c>
      <c r="C6" s="2" t="s">
        <v>205</v>
      </c>
      <c r="D6" s="1" t="s">
        <v>25</v>
      </c>
      <c r="E6" s="3" t="s">
        <v>0</v>
      </c>
      <c r="F6" s="4">
        <v>41275</v>
      </c>
      <c r="G6" s="5">
        <v>45597</v>
      </c>
      <c r="H6" s="6" t="s">
        <v>1</v>
      </c>
      <c r="I6" s="1" t="s">
        <v>2</v>
      </c>
      <c r="J6" s="7"/>
      <c r="K6" s="15" t="s">
        <v>34</v>
      </c>
      <c r="L6" t="s">
        <v>33</v>
      </c>
      <c r="M6" t="s">
        <v>15</v>
      </c>
      <c r="N6" t="str">
        <f t="shared" si="0"/>
        <v>https://api.bcb.gov.br/dados/serie/bcdata.sgs.28202/dados?formato=json</v>
      </c>
      <c r="O6">
        <v>6</v>
      </c>
      <c r="P6" t="s">
        <v>19</v>
      </c>
      <c r="Q6" t="s">
        <v>19</v>
      </c>
      <c r="R6" t="s">
        <v>858</v>
      </c>
      <c r="S6" t="s">
        <v>855</v>
      </c>
    </row>
    <row r="7" spans="1:19" x14ac:dyDescent="0.25">
      <c r="A7" s="1"/>
      <c r="B7" s="1">
        <v>28848</v>
      </c>
      <c r="C7" s="2" t="s">
        <v>206</v>
      </c>
      <c r="D7" s="1" t="s">
        <v>25</v>
      </c>
      <c r="E7" s="3" t="s">
        <v>0</v>
      </c>
      <c r="F7" s="4">
        <v>41275</v>
      </c>
      <c r="G7" s="5">
        <v>45597</v>
      </c>
      <c r="H7" s="6" t="s">
        <v>1</v>
      </c>
      <c r="I7" s="1" t="s">
        <v>2</v>
      </c>
      <c r="J7" s="7"/>
      <c r="K7" s="15" t="s">
        <v>35</v>
      </c>
      <c r="L7" t="s">
        <v>26</v>
      </c>
      <c r="M7" t="s">
        <v>15</v>
      </c>
      <c r="N7" t="str">
        <f t="shared" ref="N7:N20" si="1">_xlfn.CONCAT("https://api.bcb.gov.br/dados/serie/bcdata.sgs.",B7,"/dados?formato=json")</f>
        <v>https://api.bcb.gov.br/dados/serie/bcdata.sgs.28848/dados?formato=json</v>
      </c>
      <c r="O7">
        <v>6</v>
      </c>
      <c r="P7" t="s">
        <v>19</v>
      </c>
      <c r="Q7" t="s">
        <v>19</v>
      </c>
      <c r="R7" t="s">
        <v>859</v>
      </c>
      <c r="S7" t="s">
        <v>860</v>
      </c>
    </row>
    <row r="8" spans="1:19" x14ac:dyDescent="0.25">
      <c r="A8" s="8"/>
      <c r="B8" s="8">
        <v>28849</v>
      </c>
      <c r="C8" s="9" t="s">
        <v>207</v>
      </c>
      <c r="D8" s="1" t="s">
        <v>25</v>
      </c>
      <c r="E8" s="10" t="s">
        <v>0</v>
      </c>
      <c r="F8" s="11">
        <v>41275</v>
      </c>
      <c r="G8" s="12">
        <v>45597</v>
      </c>
      <c r="H8" s="13" t="s">
        <v>1</v>
      </c>
      <c r="I8" s="8" t="s">
        <v>2</v>
      </c>
      <c r="J8" s="14"/>
      <c r="K8" s="15" t="s">
        <v>35</v>
      </c>
      <c r="L8" t="s">
        <v>36</v>
      </c>
      <c r="M8" t="s">
        <v>15</v>
      </c>
      <c r="N8" t="str">
        <f t="shared" si="1"/>
        <v>https://api.bcb.gov.br/dados/serie/bcdata.sgs.28849/dados?formato=json</v>
      </c>
      <c r="O8">
        <v>6</v>
      </c>
      <c r="P8" t="s">
        <v>19</v>
      </c>
      <c r="Q8" t="s">
        <v>19</v>
      </c>
      <c r="R8" t="s">
        <v>859</v>
      </c>
      <c r="S8" t="s">
        <v>861</v>
      </c>
    </row>
    <row r="9" spans="1:19" x14ac:dyDescent="0.25">
      <c r="A9" s="1"/>
      <c r="B9" s="1">
        <v>28850</v>
      </c>
      <c r="C9" s="2" t="s">
        <v>208</v>
      </c>
      <c r="D9" s="1" t="s">
        <v>25</v>
      </c>
      <c r="E9" s="3" t="s">
        <v>0</v>
      </c>
      <c r="F9" s="4">
        <v>41275</v>
      </c>
      <c r="G9" s="5">
        <v>45597</v>
      </c>
      <c r="H9" s="6" t="s">
        <v>1</v>
      </c>
      <c r="I9" s="1" t="s">
        <v>2</v>
      </c>
      <c r="J9" s="7"/>
      <c r="K9" s="15" t="s">
        <v>35</v>
      </c>
      <c r="L9" t="s">
        <v>27</v>
      </c>
      <c r="M9" t="s">
        <v>15</v>
      </c>
      <c r="N9" t="str">
        <f t="shared" si="1"/>
        <v>https://api.bcb.gov.br/dados/serie/bcdata.sgs.28850/dados?formato=json</v>
      </c>
      <c r="O9">
        <v>6</v>
      </c>
      <c r="P9" t="s">
        <v>19</v>
      </c>
      <c r="Q9" t="s">
        <v>19</v>
      </c>
      <c r="R9" t="s">
        <v>859</v>
      </c>
      <c r="S9" t="s">
        <v>866</v>
      </c>
    </row>
    <row r="10" spans="1:19" x14ac:dyDescent="0.25">
      <c r="A10" s="1"/>
      <c r="B10" s="1">
        <v>28852</v>
      </c>
      <c r="C10" s="2" t="s">
        <v>209</v>
      </c>
      <c r="D10" s="1" t="s">
        <v>25</v>
      </c>
      <c r="E10" s="3" t="s">
        <v>0</v>
      </c>
      <c r="F10" s="4">
        <v>41275</v>
      </c>
      <c r="G10" s="5">
        <v>45597</v>
      </c>
      <c r="H10" s="6" t="s">
        <v>1</v>
      </c>
      <c r="I10" s="1" t="s">
        <v>2</v>
      </c>
      <c r="J10" s="7"/>
      <c r="K10" s="15" t="s">
        <v>35</v>
      </c>
      <c r="L10" t="s">
        <v>29</v>
      </c>
      <c r="M10" t="s">
        <v>15</v>
      </c>
      <c r="N10" t="str">
        <f t="shared" si="1"/>
        <v>https://api.bcb.gov.br/dados/serie/bcdata.sgs.28852/dados?formato=json</v>
      </c>
      <c r="O10">
        <v>6</v>
      </c>
      <c r="P10" t="s">
        <v>19</v>
      </c>
      <c r="Q10" t="s">
        <v>19</v>
      </c>
      <c r="R10" t="s">
        <v>118</v>
      </c>
      <c r="S10" t="s">
        <v>209</v>
      </c>
    </row>
    <row r="11" spans="1:19" x14ac:dyDescent="0.25">
      <c r="A11" s="8"/>
      <c r="B11" s="8">
        <v>28853</v>
      </c>
      <c r="C11" s="9" t="s">
        <v>210</v>
      </c>
      <c r="D11" s="1" t="s">
        <v>25</v>
      </c>
      <c r="E11" s="10" t="s">
        <v>0</v>
      </c>
      <c r="F11" s="11">
        <v>41275</v>
      </c>
      <c r="G11" s="12">
        <v>45597</v>
      </c>
      <c r="H11" s="13" t="s">
        <v>1</v>
      </c>
      <c r="I11" s="8" t="s">
        <v>2</v>
      </c>
      <c r="J11" s="14"/>
      <c r="K11" s="15" t="s">
        <v>35</v>
      </c>
      <c r="L11" t="s">
        <v>30</v>
      </c>
      <c r="M11" t="s">
        <v>15</v>
      </c>
      <c r="N11" t="str">
        <f t="shared" si="1"/>
        <v>https://api.bcb.gov.br/dados/serie/bcdata.sgs.28853/dados?formato=json</v>
      </c>
      <c r="O11">
        <v>6</v>
      </c>
      <c r="P11" t="s">
        <v>19</v>
      </c>
      <c r="Q11" t="s">
        <v>19</v>
      </c>
      <c r="R11" t="s">
        <v>868</v>
      </c>
      <c r="S11" t="s">
        <v>867</v>
      </c>
    </row>
    <row r="12" spans="1:19" x14ac:dyDescent="0.25">
      <c r="A12" s="8"/>
      <c r="B12" s="8">
        <v>28855</v>
      </c>
      <c r="C12" s="9" t="s">
        <v>211</v>
      </c>
      <c r="D12" s="1" t="s">
        <v>25</v>
      </c>
      <c r="E12" s="10" t="s">
        <v>0</v>
      </c>
      <c r="F12" s="11">
        <v>41275</v>
      </c>
      <c r="G12" s="12">
        <v>45597</v>
      </c>
      <c r="H12" s="13" t="s">
        <v>1</v>
      </c>
      <c r="I12" s="8" t="s">
        <v>2</v>
      </c>
      <c r="J12" s="14"/>
      <c r="K12" s="15" t="s">
        <v>35</v>
      </c>
      <c r="L12" t="s">
        <v>31</v>
      </c>
      <c r="M12" t="s">
        <v>15</v>
      </c>
      <c r="N12" t="str">
        <f t="shared" si="1"/>
        <v>https://api.bcb.gov.br/dados/serie/bcdata.sgs.28855/dados?formato=json</v>
      </c>
      <c r="O12">
        <v>6</v>
      </c>
      <c r="P12" t="s">
        <v>19</v>
      </c>
      <c r="Q12" t="s">
        <v>19</v>
      </c>
      <c r="R12" t="s">
        <v>862</v>
      </c>
      <c r="S12" t="s">
        <v>855</v>
      </c>
    </row>
    <row r="13" spans="1:19" x14ac:dyDescent="0.25">
      <c r="A13" s="1"/>
      <c r="B13" s="1">
        <v>28856</v>
      </c>
      <c r="C13" s="2" t="s">
        <v>212</v>
      </c>
      <c r="D13" s="1" t="s">
        <v>25</v>
      </c>
      <c r="E13" s="3" t="s">
        <v>0</v>
      </c>
      <c r="F13" s="4">
        <v>41275</v>
      </c>
      <c r="G13" s="5">
        <v>45597</v>
      </c>
      <c r="H13" s="6" t="s">
        <v>1</v>
      </c>
      <c r="I13" s="1" t="s">
        <v>2</v>
      </c>
      <c r="J13" s="7"/>
      <c r="K13" s="15" t="s">
        <v>35</v>
      </c>
      <c r="L13" t="s">
        <v>32</v>
      </c>
      <c r="M13" t="s">
        <v>15</v>
      </c>
      <c r="N13" t="str">
        <f t="shared" si="1"/>
        <v>https://api.bcb.gov.br/dados/serie/bcdata.sgs.28856/dados?formato=json</v>
      </c>
      <c r="O13">
        <v>6</v>
      </c>
      <c r="P13" t="s">
        <v>19</v>
      </c>
      <c r="Q13" t="s">
        <v>19</v>
      </c>
      <c r="R13" t="s">
        <v>863</v>
      </c>
      <c r="S13" t="s">
        <v>855</v>
      </c>
    </row>
    <row r="14" spans="1:19" x14ac:dyDescent="0.25">
      <c r="A14" s="8"/>
      <c r="B14" s="8">
        <v>28857</v>
      </c>
      <c r="C14" s="9" t="s">
        <v>213</v>
      </c>
      <c r="D14" s="1" t="s">
        <v>25</v>
      </c>
      <c r="E14" s="10" t="s">
        <v>0</v>
      </c>
      <c r="F14" s="11">
        <v>41275</v>
      </c>
      <c r="G14" s="12">
        <v>45597</v>
      </c>
      <c r="H14" s="13" t="s">
        <v>1</v>
      </c>
      <c r="I14" s="8" t="s">
        <v>2</v>
      </c>
      <c r="J14" s="14"/>
      <c r="K14" s="15" t="s">
        <v>35</v>
      </c>
      <c r="L14" t="s">
        <v>33</v>
      </c>
      <c r="M14" t="s">
        <v>15</v>
      </c>
      <c r="N14" t="str">
        <f t="shared" si="1"/>
        <v>https://api.bcb.gov.br/dados/serie/bcdata.sgs.28857/dados?formato=json</v>
      </c>
      <c r="O14">
        <v>6</v>
      </c>
      <c r="P14" t="s">
        <v>19</v>
      </c>
      <c r="Q14" t="s">
        <v>19</v>
      </c>
      <c r="R14" t="s">
        <v>864</v>
      </c>
      <c r="S14" t="s">
        <v>855</v>
      </c>
    </row>
    <row r="15" spans="1:19" x14ac:dyDescent="0.25">
      <c r="A15" s="1"/>
      <c r="B15" s="1">
        <v>28860</v>
      </c>
      <c r="C15" s="2" t="s">
        <v>214</v>
      </c>
      <c r="D15" s="1" t="s">
        <v>25</v>
      </c>
      <c r="E15" s="3" t="s">
        <v>0</v>
      </c>
      <c r="F15" s="4">
        <v>41275</v>
      </c>
      <c r="G15" s="5">
        <v>45597</v>
      </c>
      <c r="H15" s="6" t="s">
        <v>1</v>
      </c>
      <c r="I15" s="1" t="s">
        <v>2</v>
      </c>
      <c r="J15" s="7"/>
      <c r="K15" s="15" t="s">
        <v>35</v>
      </c>
      <c r="L15" t="s">
        <v>26</v>
      </c>
      <c r="M15" t="s">
        <v>15</v>
      </c>
      <c r="N15" t="str">
        <f t="shared" si="1"/>
        <v>https://api.bcb.gov.br/dados/serie/bcdata.sgs.28860/dados?formato=json</v>
      </c>
      <c r="O15">
        <v>6</v>
      </c>
      <c r="P15" t="s">
        <v>19</v>
      </c>
      <c r="Q15" t="s">
        <v>19</v>
      </c>
      <c r="R15" t="s">
        <v>865</v>
      </c>
      <c r="S15" t="s">
        <v>860</v>
      </c>
    </row>
    <row r="16" spans="1:19" x14ac:dyDescent="0.25">
      <c r="A16" s="8"/>
      <c r="B16" s="8">
        <v>28861</v>
      </c>
      <c r="C16" s="9" t="s">
        <v>215</v>
      </c>
      <c r="D16" s="1" t="s">
        <v>25</v>
      </c>
      <c r="E16" s="10" t="s">
        <v>0</v>
      </c>
      <c r="F16" s="11">
        <v>41275</v>
      </c>
      <c r="G16" s="12">
        <v>45597</v>
      </c>
      <c r="H16" s="13" t="s">
        <v>1</v>
      </c>
      <c r="I16" s="8" t="s">
        <v>2</v>
      </c>
      <c r="J16" s="14"/>
      <c r="K16" s="15" t="s">
        <v>35</v>
      </c>
      <c r="L16" t="s">
        <v>36</v>
      </c>
      <c r="M16" t="s">
        <v>15</v>
      </c>
      <c r="N16" t="str">
        <f t="shared" si="1"/>
        <v>https://api.bcb.gov.br/dados/serie/bcdata.sgs.28861/dados?formato=json</v>
      </c>
      <c r="O16">
        <v>6</v>
      </c>
      <c r="P16" t="s">
        <v>19</v>
      </c>
      <c r="Q16" t="s">
        <v>19</v>
      </c>
      <c r="R16" t="s">
        <v>865</v>
      </c>
      <c r="S16" t="s">
        <v>861</v>
      </c>
    </row>
    <row r="17" spans="1:21" x14ac:dyDescent="0.25">
      <c r="A17" s="1"/>
      <c r="B17" s="1">
        <v>28862</v>
      </c>
      <c r="C17" s="2" t="s">
        <v>216</v>
      </c>
      <c r="D17" s="1" t="s">
        <v>25</v>
      </c>
      <c r="E17" s="3" t="s">
        <v>0</v>
      </c>
      <c r="F17" s="4">
        <v>41275</v>
      </c>
      <c r="G17" s="5">
        <v>45597</v>
      </c>
      <c r="H17" s="6" t="s">
        <v>1</v>
      </c>
      <c r="I17" s="1" t="s">
        <v>2</v>
      </c>
      <c r="J17" s="7"/>
      <c r="K17" s="15" t="s">
        <v>35</v>
      </c>
      <c r="L17" t="s">
        <v>27</v>
      </c>
      <c r="M17" t="s">
        <v>15</v>
      </c>
      <c r="N17" t="str">
        <f t="shared" si="1"/>
        <v>https://api.bcb.gov.br/dados/serie/bcdata.sgs.28862/dados?formato=json</v>
      </c>
      <c r="O17">
        <v>6</v>
      </c>
      <c r="P17" t="s">
        <v>19</v>
      </c>
      <c r="Q17" t="s">
        <v>19</v>
      </c>
      <c r="R17" t="s">
        <v>865</v>
      </c>
      <c r="S17" t="s">
        <v>866</v>
      </c>
    </row>
    <row r="18" spans="1:21" x14ac:dyDescent="0.25">
      <c r="A18" s="8"/>
      <c r="B18" s="8">
        <v>28863</v>
      </c>
      <c r="C18" s="9" t="s">
        <v>217</v>
      </c>
      <c r="D18" s="1" t="s">
        <v>25</v>
      </c>
      <c r="E18" s="10" t="s">
        <v>0</v>
      </c>
      <c r="F18" s="11">
        <v>41275</v>
      </c>
      <c r="G18" s="12">
        <v>45597</v>
      </c>
      <c r="H18" s="13" t="s">
        <v>1</v>
      </c>
      <c r="I18" s="8" t="s">
        <v>2</v>
      </c>
      <c r="J18" s="14"/>
      <c r="K18" s="15" t="s">
        <v>35</v>
      </c>
      <c r="L18" t="s">
        <v>30</v>
      </c>
      <c r="M18" t="s">
        <v>15</v>
      </c>
      <c r="N18" t="str">
        <f t="shared" si="1"/>
        <v>https://api.bcb.gov.br/dados/serie/bcdata.sgs.28863/dados?formato=json</v>
      </c>
      <c r="O18">
        <v>6</v>
      </c>
      <c r="P18" t="s">
        <v>19</v>
      </c>
      <c r="Q18" t="s">
        <v>19</v>
      </c>
      <c r="R18" t="s">
        <v>869</v>
      </c>
      <c r="S18" t="s">
        <v>867</v>
      </c>
    </row>
    <row r="19" spans="1:21" x14ac:dyDescent="0.25">
      <c r="A19" s="8"/>
      <c r="B19" s="8">
        <v>28865</v>
      </c>
      <c r="C19" s="9" t="s">
        <v>218</v>
      </c>
      <c r="D19" s="1" t="s">
        <v>25</v>
      </c>
      <c r="E19" s="10" t="s">
        <v>0</v>
      </c>
      <c r="F19" s="11">
        <v>41275</v>
      </c>
      <c r="G19" s="12">
        <v>45597</v>
      </c>
      <c r="H19" s="13" t="s">
        <v>1</v>
      </c>
      <c r="I19" s="8" t="s">
        <v>2</v>
      </c>
      <c r="J19" s="14"/>
      <c r="K19" s="15" t="s">
        <v>35</v>
      </c>
      <c r="L19" t="s">
        <v>31</v>
      </c>
      <c r="M19" t="s">
        <v>15</v>
      </c>
      <c r="N19" t="str">
        <f t="shared" si="1"/>
        <v>https://api.bcb.gov.br/dados/serie/bcdata.sgs.28865/dados?formato=json</v>
      </c>
      <c r="O19">
        <v>6</v>
      </c>
      <c r="P19" t="s">
        <v>19</v>
      </c>
      <c r="Q19" t="s">
        <v>19</v>
      </c>
      <c r="R19" t="s">
        <v>870</v>
      </c>
      <c r="S19" t="s">
        <v>855</v>
      </c>
    </row>
    <row r="20" spans="1:21" x14ac:dyDescent="0.25">
      <c r="A20" s="1"/>
      <c r="B20" s="1">
        <v>28866</v>
      </c>
      <c r="C20" s="2" t="s">
        <v>219</v>
      </c>
      <c r="D20" s="1" t="s">
        <v>25</v>
      </c>
      <c r="E20" s="3" t="s">
        <v>0</v>
      </c>
      <c r="F20" s="4">
        <v>41275</v>
      </c>
      <c r="G20" s="5">
        <v>45597</v>
      </c>
      <c r="H20" s="6" t="s">
        <v>1</v>
      </c>
      <c r="I20" s="1" t="s">
        <v>2</v>
      </c>
      <c r="J20" s="7"/>
      <c r="K20" s="15" t="s">
        <v>35</v>
      </c>
      <c r="L20" t="s">
        <v>37</v>
      </c>
      <c r="M20" t="s">
        <v>15</v>
      </c>
      <c r="N20" t="str">
        <f t="shared" si="1"/>
        <v>https://api.bcb.gov.br/dados/serie/bcdata.sgs.28866/dados?formato=json</v>
      </c>
      <c r="O20">
        <v>6</v>
      </c>
      <c r="P20" t="s">
        <v>19</v>
      </c>
      <c r="Q20" t="s">
        <v>19</v>
      </c>
      <c r="R20" t="s">
        <v>37</v>
      </c>
      <c r="S20" t="s">
        <v>855</v>
      </c>
    </row>
    <row r="21" spans="1:21" x14ac:dyDescent="0.25">
      <c r="A21" s="1"/>
      <c r="B21" s="1">
        <v>20539</v>
      </c>
      <c r="C21" s="2" t="s">
        <v>118</v>
      </c>
      <c r="D21" s="1" t="s">
        <v>25</v>
      </c>
      <c r="E21" s="3" t="s">
        <v>0</v>
      </c>
      <c r="F21" s="4">
        <v>32295</v>
      </c>
      <c r="G21" s="5">
        <v>45597</v>
      </c>
      <c r="H21" s="6" t="s">
        <v>1</v>
      </c>
      <c r="I21" s="1" t="s">
        <v>2</v>
      </c>
      <c r="J21" s="7"/>
      <c r="K21" s="15" t="s">
        <v>24</v>
      </c>
      <c r="L21" t="s">
        <v>420</v>
      </c>
      <c r="M21" t="s">
        <v>15</v>
      </c>
      <c r="N21" t="str">
        <f t="shared" ref="N21:N23" si="2">_xlfn.CONCAT("https://api.bcb.gov.br/dados/serie/bcdata.sgs.",B21,"/dados?formato=json")</f>
        <v>https://api.bcb.gov.br/dados/serie/bcdata.sgs.20539/dados?formato=json</v>
      </c>
      <c r="O21">
        <v>6</v>
      </c>
      <c r="P21" t="s">
        <v>19</v>
      </c>
      <c r="Q21" t="s">
        <v>19</v>
      </c>
      <c r="R21" t="s">
        <v>118</v>
      </c>
      <c r="S21" t="s">
        <v>118</v>
      </c>
    </row>
    <row r="22" spans="1:21" x14ac:dyDescent="0.25">
      <c r="A22" s="8"/>
      <c r="B22" s="8">
        <v>20540</v>
      </c>
      <c r="C22" s="9" t="s">
        <v>119</v>
      </c>
      <c r="D22" s="1" t="s">
        <v>25</v>
      </c>
      <c r="E22" s="10" t="s">
        <v>0</v>
      </c>
      <c r="F22" s="11">
        <v>39142</v>
      </c>
      <c r="G22" s="12">
        <v>45597</v>
      </c>
      <c r="H22" s="13" t="s">
        <v>1</v>
      </c>
      <c r="I22" s="8" t="s">
        <v>2</v>
      </c>
      <c r="J22" s="14"/>
      <c r="K22" s="15" t="s">
        <v>24</v>
      </c>
      <c r="L22" t="s">
        <v>420</v>
      </c>
      <c r="M22" t="s">
        <v>15</v>
      </c>
      <c r="N22" t="str">
        <f t="shared" si="2"/>
        <v>https://api.bcb.gov.br/dados/serie/bcdata.sgs.20540/dados?formato=json</v>
      </c>
      <c r="O22">
        <v>6</v>
      </c>
      <c r="P22" t="s">
        <v>19</v>
      </c>
      <c r="Q22" t="s">
        <v>19</v>
      </c>
      <c r="R22" t="s">
        <v>118</v>
      </c>
      <c r="S22" t="s">
        <v>622</v>
      </c>
    </row>
    <row r="23" spans="1:21" x14ac:dyDescent="0.25">
      <c r="A23" s="1"/>
      <c r="B23" s="1">
        <v>20541</v>
      </c>
      <c r="C23" s="2" t="s">
        <v>120</v>
      </c>
      <c r="D23" s="1" t="s">
        <v>25</v>
      </c>
      <c r="E23" s="3" t="s">
        <v>0</v>
      </c>
      <c r="F23" s="4">
        <v>39142</v>
      </c>
      <c r="G23" s="5">
        <v>45597</v>
      </c>
      <c r="H23" s="6" t="s">
        <v>1</v>
      </c>
      <c r="I23" s="1" t="s">
        <v>2</v>
      </c>
      <c r="J23" s="7"/>
      <c r="K23" s="15" t="s">
        <v>24</v>
      </c>
      <c r="L23" t="s">
        <v>420</v>
      </c>
      <c r="M23" t="s">
        <v>15</v>
      </c>
      <c r="N23" t="str">
        <f t="shared" si="2"/>
        <v>https://api.bcb.gov.br/dados/serie/bcdata.sgs.20541/dados?formato=json</v>
      </c>
      <c r="O23">
        <v>6</v>
      </c>
      <c r="P23" t="s">
        <v>19</v>
      </c>
      <c r="Q23" t="s">
        <v>19</v>
      </c>
      <c r="R23" t="s">
        <v>118</v>
      </c>
      <c r="S23" t="s">
        <v>621</v>
      </c>
    </row>
    <row r="24" spans="1:21" x14ac:dyDescent="0.25">
      <c r="A24" s="1"/>
      <c r="B24" s="1">
        <v>20542</v>
      </c>
      <c r="C24" s="2" t="s">
        <v>118</v>
      </c>
      <c r="D24" s="1" t="s">
        <v>25</v>
      </c>
      <c r="E24" s="3" t="s">
        <v>0</v>
      </c>
      <c r="F24" s="4">
        <v>39142</v>
      </c>
      <c r="G24" s="5">
        <v>45597</v>
      </c>
      <c r="H24" s="6" t="s">
        <v>1</v>
      </c>
      <c r="I24" s="1" t="s">
        <v>2</v>
      </c>
      <c r="J24" s="7"/>
      <c r="K24" s="15" t="s">
        <v>38</v>
      </c>
      <c r="L24" t="s">
        <v>39</v>
      </c>
      <c r="M24" t="s">
        <v>15</v>
      </c>
      <c r="N24" t="str">
        <f t="shared" ref="N24:N42" si="3">_xlfn.CONCAT("https://api.bcb.gov.br/dados/serie/bcdata.sgs.",B24,"/dados?formato=json")</f>
        <v>https://api.bcb.gov.br/dados/serie/bcdata.sgs.20542/dados?formato=json</v>
      </c>
      <c r="O24">
        <v>6</v>
      </c>
      <c r="P24" t="s">
        <v>19</v>
      </c>
      <c r="Q24" t="s">
        <v>19</v>
      </c>
      <c r="R24" t="s">
        <v>118</v>
      </c>
      <c r="S24" t="s">
        <v>118</v>
      </c>
    </row>
    <row r="25" spans="1:21" x14ac:dyDescent="0.25">
      <c r="A25" s="8"/>
      <c r="B25" s="8">
        <v>20543</v>
      </c>
      <c r="C25" s="9" t="s">
        <v>119</v>
      </c>
      <c r="D25" s="1" t="s">
        <v>25</v>
      </c>
      <c r="E25" s="10" t="s">
        <v>0</v>
      </c>
      <c r="F25" s="11">
        <v>39142</v>
      </c>
      <c r="G25" s="12">
        <v>45597</v>
      </c>
      <c r="H25" s="13" t="s">
        <v>1</v>
      </c>
      <c r="I25" s="8" t="s">
        <v>2</v>
      </c>
      <c r="J25" s="14"/>
      <c r="K25" s="15" t="s">
        <v>38</v>
      </c>
      <c r="L25" t="s">
        <v>47</v>
      </c>
      <c r="M25" t="s">
        <v>15</v>
      </c>
      <c r="N25" t="str">
        <f t="shared" si="3"/>
        <v>https://api.bcb.gov.br/dados/serie/bcdata.sgs.20543/dados?formato=json</v>
      </c>
      <c r="O25">
        <v>6</v>
      </c>
      <c r="P25" t="s">
        <v>19</v>
      </c>
      <c r="Q25" t="s">
        <v>19</v>
      </c>
      <c r="R25" t="s">
        <v>118</v>
      </c>
      <c r="S25" t="s">
        <v>622</v>
      </c>
    </row>
    <row r="26" spans="1:21" x14ac:dyDescent="0.25">
      <c r="A26" s="1"/>
      <c r="B26" s="1">
        <v>28165</v>
      </c>
      <c r="C26" s="2" t="s">
        <v>121</v>
      </c>
      <c r="D26" s="1" t="s">
        <v>25</v>
      </c>
      <c r="E26" s="3" t="s">
        <v>0</v>
      </c>
      <c r="F26" s="4">
        <v>39142</v>
      </c>
      <c r="G26" s="5">
        <v>45597</v>
      </c>
      <c r="H26" s="6" t="s">
        <v>1</v>
      </c>
      <c r="I26" s="1" t="s">
        <v>2</v>
      </c>
      <c r="J26" s="7"/>
      <c r="K26" s="15" t="s">
        <v>38</v>
      </c>
      <c r="L26" t="s">
        <v>48</v>
      </c>
      <c r="M26" t="s">
        <v>15</v>
      </c>
      <c r="N26" t="str">
        <f t="shared" si="3"/>
        <v>https://api.bcb.gov.br/dados/serie/bcdata.sgs.28165/dados?formato=json</v>
      </c>
      <c r="O26">
        <v>6</v>
      </c>
      <c r="P26" t="s">
        <v>19</v>
      </c>
      <c r="Q26" t="s">
        <v>19</v>
      </c>
      <c r="R26" t="s">
        <v>871</v>
      </c>
      <c r="S26" t="s">
        <v>622</v>
      </c>
      <c r="T26" t="e">
        <f>RIGHT(S26,LEN(S26)-U26)</f>
        <v>#VALUE!</v>
      </c>
      <c r="U26">
        <f>LEN("Pessoas jurídicas - ")</f>
        <v>20</v>
      </c>
    </row>
    <row r="27" spans="1:21" x14ac:dyDescent="0.25">
      <c r="A27" s="8"/>
      <c r="B27" s="8">
        <v>28166</v>
      </c>
      <c r="C27" s="9" t="s">
        <v>122</v>
      </c>
      <c r="D27" s="1" t="s">
        <v>25</v>
      </c>
      <c r="E27" s="10" t="s">
        <v>0</v>
      </c>
      <c r="F27" s="11">
        <v>39142</v>
      </c>
      <c r="G27" s="12">
        <v>45597</v>
      </c>
      <c r="H27" s="13" t="s">
        <v>1</v>
      </c>
      <c r="I27" s="8" t="s">
        <v>2</v>
      </c>
      <c r="J27" s="14"/>
      <c r="K27" s="15" t="s">
        <v>38</v>
      </c>
      <c r="L27" t="s">
        <v>49</v>
      </c>
      <c r="M27" t="s">
        <v>15</v>
      </c>
      <c r="N27" t="str">
        <f t="shared" si="3"/>
        <v>https://api.bcb.gov.br/dados/serie/bcdata.sgs.28166/dados?formato=json</v>
      </c>
      <c r="O27">
        <v>6</v>
      </c>
      <c r="P27" t="s">
        <v>19</v>
      </c>
      <c r="Q27" t="s">
        <v>19</v>
      </c>
      <c r="R27" t="s">
        <v>872</v>
      </c>
      <c r="S27" t="s">
        <v>622</v>
      </c>
      <c r="T27" t="e">
        <f t="shared" ref="T27:T76" si="4">RIGHT(S27,LEN(S27)-U27)</f>
        <v>#VALUE!</v>
      </c>
      <c r="U27">
        <f t="shared" ref="U27:U53" si="5">LEN("Pessoas jurídicas - ")</f>
        <v>20</v>
      </c>
    </row>
    <row r="28" spans="1:21" x14ac:dyDescent="0.25">
      <c r="A28" s="1"/>
      <c r="B28" s="1">
        <v>20544</v>
      </c>
      <c r="C28" s="2" t="s">
        <v>123</v>
      </c>
      <c r="D28" s="1" t="s">
        <v>25</v>
      </c>
      <c r="E28" s="3" t="s">
        <v>0</v>
      </c>
      <c r="F28" s="4">
        <v>39142</v>
      </c>
      <c r="G28" s="5">
        <v>45597</v>
      </c>
      <c r="H28" s="6" t="s">
        <v>1</v>
      </c>
      <c r="I28" s="1" t="s">
        <v>2</v>
      </c>
      <c r="J28" s="7"/>
      <c r="K28" s="15" t="s">
        <v>38</v>
      </c>
      <c r="L28" t="s">
        <v>40</v>
      </c>
      <c r="M28" t="s">
        <v>15</v>
      </c>
      <c r="N28" t="str">
        <f t="shared" si="3"/>
        <v>https://api.bcb.gov.br/dados/serie/bcdata.sgs.20544/dados?formato=json</v>
      </c>
      <c r="O28">
        <v>6</v>
      </c>
      <c r="P28" t="s">
        <v>19</v>
      </c>
      <c r="Q28" t="s">
        <v>19</v>
      </c>
      <c r="R28" t="s">
        <v>873</v>
      </c>
      <c r="S28" t="s">
        <v>622</v>
      </c>
      <c r="T28" t="e">
        <f t="shared" si="4"/>
        <v>#VALUE!</v>
      </c>
      <c r="U28">
        <f t="shared" si="5"/>
        <v>20</v>
      </c>
    </row>
    <row r="29" spans="1:21" x14ac:dyDescent="0.25">
      <c r="A29" s="8"/>
      <c r="B29" s="8">
        <v>20545</v>
      </c>
      <c r="C29" s="9" t="s">
        <v>124</v>
      </c>
      <c r="D29" s="1" t="s">
        <v>25</v>
      </c>
      <c r="E29" s="10" t="s">
        <v>0</v>
      </c>
      <c r="F29" s="11">
        <v>39142</v>
      </c>
      <c r="G29" s="12">
        <v>45597</v>
      </c>
      <c r="H29" s="13" t="s">
        <v>1</v>
      </c>
      <c r="I29" s="8" t="s">
        <v>2</v>
      </c>
      <c r="J29" s="14"/>
      <c r="K29" s="15" t="s">
        <v>38</v>
      </c>
      <c r="L29" t="s">
        <v>41</v>
      </c>
      <c r="M29" t="s">
        <v>15</v>
      </c>
      <c r="N29" t="str">
        <f t="shared" si="3"/>
        <v>https://api.bcb.gov.br/dados/serie/bcdata.sgs.20545/dados?formato=json</v>
      </c>
      <c r="O29">
        <v>6</v>
      </c>
      <c r="P29" t="s">
        <v>19</v>
      </c>
      <c r="Q29" t="s">
        <v>19</v>
      </c>
      <c r="R29" t="s">
        <v>874</v>
      </c>
      <c r="S29" t="s">
        <v>622</v>
      </c>
      <c r="T29" t="e">
        <f t="shared" si="4"/>
        <v>#VALUE!</v>
      </c>
      <c r="U29">
        <f t="shared" si="5"/>
        <v>20</v>
      </c>
    </row>
    <row r="30" spans="1:21" x14ac:dyDescent="0.25">
      <c r="A30" s="1"/>
      <c r="B30" s="1">
        <v>20546</v>
      </c>
      <c r="C30" s="2" t="s">
        <v>125</v>
      </c>
      <c r="D30" s="1" t="s">
        <v>25</v>
      </c>
      <c r="E30" s="3" t="s">
        <v>0</v>
      </c>
      <c r="F30" s="4">
        <v>39142</v>
      </c>
      <c r="G30" s="5">
        <v>45597</v>
      </c>
      <c r="H30" s="6" t="s">
        <v>1</v>
      </c>
      <c r="I30" s="1" t="s">
        <v>2</v>
      </c>
      <c r="J30" s="7"/>
      <c r="K30" s="15" t="s">
        <v>38</v>
      </c>
      <c r="L30" t="s">
        <v>42</v>
      </c>
      <c r="M30" t="s">
        <v>15</v>
      </c>
      <c r="N30" t="str">
        <f t="shared" si="3"/>
        <v>https://api.bcb.gov.br/dados/serie/bcdata.sgs.20546/dados?formato=json</v>
      </c>
      <c r="O30">
        <v>6</v>
      </c>
      <c r="P30" t="s">
        <v>19</v>
      </c>
      <c r="Q30" t="s">
        <v>19</v>
      </c>
      <c r="R30" t="s">
        <v>875</v>
      </c>
      <c r="S30" t="s">
        <v>622</v>
      </c>
      <c r="T30" t="e">
        <f t="shared" si="4"/>
        <v>#VALUE!</v>
      </c>
      <c r="U30">
        <f t="shared" si="5"/>
        <v>20</v>
      </c>
    </row>
    <row r="31" spans="1:21" x14ac:dyDescent="0.25">
      <c r="A31" s="8"/>
      <c r="B31" s="8">
        <v>20547</v>
      </c>
      <c r="C31" s="9" t="s">
        <v>126</v>
      </c>
      <c r="D31" s="1" t="s">
        <v>25</v>
      </c>
      <c r="E31" s="10" t="s">
        <v>0</v>
      </c>
      <c r="F31" s="11">
        <v>40603</v>
      </c>
      <c r="G31" s="12">
        <v>45597</v>
      </c>
      <c r="H31" s="13" t="s">
        <v>1</v>
      </c>
      <c r="I31" s="8" t="s">
        <v>2</v>
      </c>
      <c r="J31" s="14"/>
      <c r="K31" s="15" t="s">
        <v>38</v>
      </c>
      <c r="L31" t="s">
        <v>43</v>
      </c>
      <c r="M31" t="s">
        <v>15</v>
      </c>
      <c r="N31" t="str">
        <f t="shared" si="3"/>
        <v>https://api.bcb.gov.br/dados/serie/bcdata.sgs.20547/dados?formato=json</v>
      </c>
      <c r="O31">
        <v>6</v>
      </c>
      <c r="P31" t="s">
        <v>19</v>
      </c>
      <c r="Q31" t="s">
        <v>19</v>
      </c>
      <c r="R31" t="s">
        <v>876</v>
      </c>
      <c r="S31" t="s">
        <v>622</v>
      </c>
      <c r="T31" t="e">
        <f t="shared" si="4"/>
        <v>#VALUE!</v>
      </c>
      <c r="U31">
        <f t="shared" si="5"/>
        <v>20</v>
      </c>
    </row>
    <row r="32" spans="1:21" x14ac:dyDescent="0.25">
      <c r="A32" s="1"/>
      <c r="B32" s="1">
        <v>20548</v>
      </c>
      <c r="C32" s="2" t="s">
        <v>127</v>
      </c>
      <c r="D32" s="1" t="s">
        <v>25</v>
      </c>
      <c r="E32" s="3" t="s">
        <v>0</v>
      </c>
      <c r="F32" s="4">
        <v>40603</v>
      </c>
      <c r="G32" s="5">
        <v>45597</v>
      </c>
      <c r="H32" s="6" t="s">
        <v>1</v>
      </c>
      <c r="I32" s="1" t="s">
        <v>2</v>
      </c>
      <c r="J32" s="7"/>
      <c r="K32" s="15" t="s">
        <v>38</v>
      </c>
      <c r="L32" t="s">
        <v>44</v>
      </c>
      <c r="M32" t="s">
        <v>15</v>
      </c>
      <c r="N32" t="str">
        <f t="shared" si="3"/>
        <v>https://api.bcb.gov.br/dados/serie/bcdata.sgs.20548/dados?formato=json</v>
      </c>
      <c r="O32">
        <v>6</v>
      </c>
      <c r="P32" t="s">
        <v>19</v>
      </c>
      <c r="Q32" t="s">
        <v>19</v>
      </c>
      <c r="R32" t="s">
        <v>877</v>
      </c>
      <c r="S32" t="s">
        <v>622</v>
      </c>
      <c r="T32" t="e">
        <f t="shared" si="4"/>
        <v>#VALUE!</v>
      </c>
      <c r="U32">
        <f t="shared" si="5"/>
        <v>20</v>
      </c>
    </row>
    <row r="33" spans="1:21" x14ac:dyDescent="0.25">
      <c r="A33" s="8"/>
      <c r="B33" s="8">
        <v>20549</v>
      </c>
      <c r="C33" s="9" t="s">
        <v>128</v>
      </c>
      <c r="D33" s="1" t="s">
        <v>25</v>
      </c>
      <c r="E33" s="10" t="s">
        <v>0</v>
      </c>
      <c r="F33" s="11">
        <v>40603</v>
      </c>
      <c r="G33" s="12">
        <v>45597</v>
      </c>
      <c r="H33" s="13" t="s">
        <v>1</v>
      </c>
      <c r="I33" s="8" t="s">
        <v>2</v>
      </c>
      <c r="J33" s="14"/>
      <c r="K33" s="15" t="s">
        <v>38</v>
      </c>
      <c r="L33" t="s">
        <v>45</v>
      </c>
      <c r="M33" t="s">
        <v>15</v>
      </c>
      <c r="N33" t="str">
        <f t="shared" si="3"/>
        <v>https://api.bcb.gov.br/dados/serie/bcdata.sgs.20549/dados?formato=json</v>
      </c>
      <c r="O33">
        <v>6</v>
      </c>
      <c r="P33" t="s">
        <v>19</v>
      </c>
      <c r="Q33" t="s">
        <v>19</v>
      </c>
      <c r="R33" t="s">
        <v>878</v>
      </c>
      <c r="S33" t="s">
        <v>622</v>
      </c>
      <c r="T33" t="e">
        <f t="shared" si="4"/>
        <v>#VALUE!</v>
      </c>
      <c r="U33">
        <f t="shared" si="5"/>
        <v>20</v>
      </c>
    </row>
    <row r="34" spans="1:21" x14ac:dyDescent="0.25">
      <c r="A34" s="1"/>
      <c r="B34" s="1">
        <v>20550</v>
      </c>
      <c r="C34" s="2" t="s">
        <v>129</v>
      </c>
      <c r="D34" s="1" t="s">
        <v>25</v>
      </c>
      <c r="E34" s="3" t="s">
        <v>0</v>
      </c>
      <c r="F34" s="4">
        <v>39142</v>
      </c>
      <c r="G34" s="5">
        <v>45597</v>
      </c>
      <c r="H34" s="6" t="s">
        <v>1</v>
      </c>
      <c r="I34" s="1" t="s">
        <v>2</v>
      </c>
      <c r="J34" s="7"/>
      <c r="K34" s="15" t="s">
        <v>38</v>
      </c>
      <c r="L34" t="s">
        <v>46</v>
      </c>
      <c r="M34" t="s">
        <v>15</v>
      </c>
      <c r="N34" t="str">
        <f t="shared" si="3"/>
        <v>https://api.bcb.gov.br/dados/serie/bcdata.sgs.20550/dados?formato=json</v>
      </c>
      <c r="O34">
        <v>6</v>
      </c>
      <c r="P34" t="s">
        <v>19</v>
      </c>
      <c r="Q34" t="s">
        <v>19</v>
      </c>
      <c r="R34" t="s">
        <v>879</v>
      </c>
      <c r="S34" t="s">
        <v>622</v>
      </c>
      <c r="T34" t="e">
        <f t="shared" si="4"/>
        <v>#VALUE!</v>
      </c>
      <c r="U34">
        <f t="shared" si="5"/>
        <v>20</v>
      </c>
    </row>
    <row r="35" spans="1:21" x14ac:dyDescent="0.25">
      <c r="A35" s="8"/>
      <c r="B35" s="8">
        <v>20551</v>
      </c>
      <c r="C35" s="9" t="s">
        <v>130</v>
      </c>
      <c r="D35" s="1" t="s">
        <v>25</v>
      </c>
      <c r="E35" s="10" t="s">
        <v>0</v>
      </c>
      <c r="F35" s="11">
        <v>39142</v>
      </c>
      <c r="G35" s="12">
        <v>45597</v>
      </c>
      <c r="H35" s="13" t="s">
        <v>1</v>
      </c>
      <c r="I35" s="8" t="s">
        <v>2</v>
      </c>
      <c r="J35" s="14"/>
      <c r="K35" s="15" t="s">
        <v>38</v>
      </c>
      <c r="L35" t="s">
        <v>50</v>
      </c>
      <c r="M35" t="s">
        <v>15</v>
      </c>
      <c r="N35" t="str">
        <f t="shared" si="3"/>
        <v>https://api.bcb.gov.br/dados/serie/bcdata.sgs.20551/dados?formato=json</v>
      </c>
      <c r="O35">
        <v>6</v>
      </c>
      <c r="P35" t="s">
        <v>19</v>
      </c>
      <c r="Q35" t="s">
        <v>19</v>
      </c>
      <c r="R35" t="s">
        <v>880</v>
      </c>
      <c r="S35" t="s">
        <v>622</v>
      </c>
      <c r="T35" t="e">
        <f t="shared" si="4"/>
        <v>#VALUE!</v>
      </c>
      <c r="U35">
        <f t="shared" si="5"/>
        <v>20</v>
      </c>
    </row>
    <row r="36" spans="1:21" x14ac:dyDescent="0.25">
      <c r="A36" s="1"/>
      <c r="B36" s="1">
        <v>20552</v>
      </c>
      <c r="C36" s="2" t="s">
        <v>131</v>
      </c>
      <c r="D36" s="1" t="s">
        <v>25</v>
      </c>
      <c r="E36" s="3" t="s">
        <v>0</v>
      </c>
      <c r="F36" s="4">
        <v>39142</v>
      </c>
      <c r="G36" s="5">
        <v>45597</v>
      </c>
      <c r="H36" s="6" t="s">
        <v>1</v>
      </c>
      <c r="I36" s="1" t="s">
        <v>2</v>
      </c>
      <c r="J36" s="7"/>
      <c r="K36" s="15" t="s">
        <v>38</v>
      </c>
      <c r="L36" t="s">
        <v>51</v>
      </c>
      <c r="M36" t="s">
        <v>15</v>
      </c>
      <c r="N36" t="str">
        <f t="shared" si="3"/>
        <v>https://api.bcb.gov.br/dados/serie/bcdata.sgs.20552/dados?formato=json</v>
      </c>
      <c r="O36">
        <v>6</v>
      </c>
      <c r="P36" t="s">
        <v>19</v>
      </c>
      <c r="Q36" t="s">
        <v>19</v>
      </c>
      <c r="R36" t="s">
        <v>881</v>
      </c>
      <c r="S36" t="s">
        <v>622</v>
      </c>
      <c r="T36" t="e">
        <f t="shared" si="4"/>
        <v>#VALUE!</v>
      </c>
      <c r="U36">
        <f t="shared" si="5"/>
        <v>20</v>
      </c>
    </row>
    <row r="37" spans="1:21" x14ac:dyDescent="0.25">
      <c r="A37" s="8"/>
      <c r="B37" s="8">
        <v>20553</v>
      </c>
      <c r="C37" s="9" t="s">
        <v>132</v>
      </c>
      <c r="D37" s="1" t="s">
        <v>25</v>
      </c>
      <c r="E37" s="10" t="s">
        <v>0</v>
      </c>
      <c r="F37" s="11">
        <v>39142</v>
      </c>
      <c r="G37" s="12">
        <v>45597</v>
      </c>
      <c r="H37" s="13" t="s">
        <v>1</v>
      </c>
      <c r="I37" s="8" t="s">
        <v>2</v>
      </c>
      <c r="J37" s="14"/>
      <c r="K37" s="15" t="s">
        <v>38</v>
      </c>
      <c r="L37" t="s">
        <v>52</v>
      </c>
      <c r="M37" t="s">
        <v>15</v>
      </c>
      <c r="N37" t="str">
        <f t="shared" si="3"/>
        <v>https://api.bcb.gov.br/dados/serie/bcdata.sgs.20553/dados?formato=json</v>
      </c>
      <c r="O37">
        <v>6</v>
      </c>
      <c r="P37" t="s">
        <v>19</v>
      </c>
      <c r="Q37" t="s">
        <v>19</v>
      </c>
      <c r="R37" t="s">
        <v>882</v>
      </c>
      <c r="S37" t="s">
        <v>622</v>
      </c>
      <c r="T37" t="e">
        <f t="shared" si="4"/>
        <v>#VALUE!</v>
      </c>
      <c r="U37">
        <f t="shared" si="5"/>
        <v>20</v>
      </c>
    </row>
    <row r="38" spans="1:21" x14ac:dyDescent="0.25">
      <c r="A38" s="1"/>
      <c r="B38" s="1">
        <v>20554</v>
      </c>
      <c r="C38" s="2" t="s">
        <v>133</v>
      </c>
      <c r="D38" s="1" t="s">
        <v>25</v>
      </c>
      <c r="E38" s="3" t="s">
        <v>0</v>
      </c>
      <c r="F38" s="4">
        <v>39142</v>
      </c>
      <c r="G38" s="5">
        <v>45597</v>
      </c>
      <c r="H38" s="6" t="s">
        <v>1</v>
      </c>
      <c r="I38" s="1" t="s">
        <v>2</v>
      </c>
      <c r="J38" s="7"/>
      <c r="K38" s="15" t="s">
        <v>38</v>
      </c>
      <c r="L38" t="s">
        <v>52</v>
      </c>
      <c r="M38" t="s">
        <v>15</v>
      </c>
      <c r="N38" t="str">
        <f t="shared" si="3"/>
        <v>https://api.bcb.gov.br/dados/serie/bcdata.sgs.20554/dados?formato=json</v>
      </c>
      <c r="O38">
        <v>6</v>
      </c>
      <c r="P38" t="s">
        <v>19</v>
      </c>
      <c r="Q38" t="s">
        <v>19</v>
      </c>
      <c r="R38" t="s">
        <v>883</v>
      </c>
      <c r="S38" t="s">
        <v>622</v>
      </c>
      <c r="T38" t="e">
        <f t="shared" si="4"/>
        <v>#VALUE!</v>
      </c>
      <c r="U38">
        <f t="shared" si="5"/>
        <v>20</v>
      </c>
    </row>
    <row r="39" spans="1:21" x14ac:dyDescent="0.25">
      <c r="A39" s="8"/>
      <c r="B39" s="8">
        <v>20555</v>
      </c>
      <c r="C39" s="9" t="s">
        <v>134</v>
      </c>
      <c r="D39" s="1" t="s">
        <v>25</v>
      </c>
      <c r="E39" s="10" t="s">
        <v>0</v>
      </c>
      <c r="F39" s="11">
        <v>39142</v>
      </c>
      <c r="G39" s="12">
        <v>45597</v>
      </c>
      <c r="H39" s="13" t="s">
        <v>1</v>
      </c>
      <c r="I39" s="8" t="s">
        <v>2</v>
      </c>
      <c r="J39" s="14"/>
      <c r="K39" s="15" t="s">
        <v>38</v>
      </c>
      <c r="L39" t="s">
        <v>52</v>
      </c>
      <c r="M39" t="s">
        <v>15</v>
      </c>
      <c r="N39" t="str">
        <f t="shared" si="3"/>
        <v>https://api.bcb.gov.br/dados/serie/bcdata.sgs.20555/dados?formato=json</v>
      </c>
      <c r="O39">
        <v>6</v>
      </c>
      <c r="P39" t="s">
        <v>19</v>
      </c>
      <c r="Q39" t="s">
        <v>19</v>
      </c>
      <c r="R39" t="s">
        <v>884</v>
      </c>
      <c r="S39" t="s">
        <v>622</v>
      </c>
      <c r="T39" t="e">
        <f t="shared" si="4"/>
        <v>#VALUE!</v>
      </c>
      <c r="U39">
        <f t="shared" si="5"/>
        <v>20</v>
      </c>
    </row>
    <row r="40" spans="1:21" x14ac:dyDescent="0.25">
      <c r="A40" s="1"/>
      <c r="B40" s="1">
        <v>20556</v>
      </c>
      <c r="C40" s="2" t="s">
        <v>135</v>
      </c>
      <c r="D40" s="1" t="s">
        <v>25</v>
      </c>
      <c r="E40" s="3" t="s">
        <v>0</v>
      </c>
      <c r="F40" s="4">
        <v>40603</v>
      </c>
      <c r="G40" s="5">
        <v>45597</v>
      </c>
      <c r="H40" s="6" t="s">
        <v>1</v>
      </c>
      <c r="I40" s="1" t="s">
        <v>2</v>
      </c>
      <c r="J40" s="7"/>
      <c r="K40" s="15" t="s">
        <v>38</v>
      </c>
      <c r="L40" t="s">
        <v>53</v>
      </c>
      <c r="M40" t="s">
        <v>15</v>
      </c>
      <c r="N40" t="str">
        <f t="shared" si="3"/>
        <v>https://api.bcb.gov.br/dados/serie/bcdata.sgs.20556/dados?formato=json</v>
      </c>
      <c r="O40">
        <v>6</v>
      </c>
      <c r="P40" t="s">
        <v>19</v>
      </c>
      <c r="Q40" t="s">
        <v>19</v>
      </c>
      <c r="R40" t="s">
        <v>885</v>
      </c>
      <c r="S40" t="s">
        <v>622</v>
      </c>
      <c r="T40" t="e">
        <f t="shared" si="4"/>
        <v>#VALUE!</v>
      </c>
      <c r="U40">
        <f t="shared" si="5"/>
        <v>20</v>
      </c>
    </row>
    <row r="41" spans="1:21" x14ac:dyDescent="0.25">
      <c r="A41" s="8"/>
      <c r="B41" s="8">
        <v>20557</v>
      </c>
      <c r="C41" s="9" t="s">
        <v>136</v>
      </c>
      <c r="D41" s="1" t="s">
        <v>25</v>
      </c>
      <c r="E41" s="10" t="s">
        <v>0</v>
      </c>
      <c r="F41" s="11">
        <v>40603</v>
      </c>
      <c r="G41" s="12">
        <v>45597</v>
      </c>
      <c r="H41" s="13" t="s">
        <v>1</v>
      </c>
      <c r="I41" s="8" t="s">
        <v>2</v>
      </c>
      <c r="J41" s="14"/>
      <c r="K41" s="15" t="s">
        <v>38</v>
      </c>
      <c r="L41" t="s">
        <v>53</v>
      </c>
      <c r="M41" t="s">
        <v>15</v>
      </c>
      <c r="N41" t="str">
        <f t="shared" si="3"/>
        <v>https://api.bcb.gov.br/dados/serie/bcdata.sgs.20557/dados?formato=json</v>
      </c>
      <c r="O41">
        <v>6</v>
      </c>
      <c r="P41" t="s">
        <v>19</v>
      </c>
      <c r="Q41" t="s">
        <v>19</v>
      </c>
      <c r="R41" t="s">
        <v>886</v>
      </c>
      <c r="S41" t="s">
        <v>622</v>
      </c>
      <c r="T41" t="e">
        <f t="shared" si="4"/>
        <v>#VALUE!</v>
      </c>
      <c r="U41">
        <f t="shared" si="5"/>
        <v>20</v>
      </c>
    </row>
    <row r="42" spans="1:21" x14ac:dyDescent="0.25">
      <c r="A42" s="1"/>
      <c r="B42" s="1">
        <v>20558</v>
      </c>
      <c r="C42" s="2" t="s">
        <v>137</v>
      </c>
      <c r="D42" s="1" t="s">
        <v>25</v>
      </c>
      <c r="E42" s="3" t="s">
        <v>0</v>
      </c>
      <c r="F42" s="4">
        <v>39142</v>
      </c>
      <c r="G42" s="5">
        <v>45597</v>
      </c>
      <c r="H42" s="6" t="s">
        <v>1</v>
      </c>
      <c r="I42" s="1" t="s">
        <v>2</v>
      </c>
      <c r="J42" s="7"/>
      <c r="K42" s="15" t="s">
        <v>38</v>
      </c>
      <c r="L42" t="s">
        <v>53</v>
      </c>
      <c r="M42" t="s">
        <v>15</v>
      </c>
      <c r="N42" t="str">
        <f t="shared" si="3"/>
        <v>https://api.bcb.gov.br/dados/serie/bcdata.sgs.20558/dados?formato=json</v>
      </c>
      <c r="O42">
        <v>6</v>
      </c>
      <c r="P42" t="s">
        <v>19</v>
      </c>
      <c r="Q42" t="s">
        <v>19</v>
      </c>
      <c r="R42" t="s">
        <v>887</v>
      </c>
      <c r="S42" t="s">
        <v>622</v>
      </c>
      <c r="T42" t="e">
        <f t="shared" si="4"/>
        <v>#VALUE!</v>
      </c>
      <c r="U42">
        <f t="shared" si="5"/>
        <v>20</v>
      </c>
    </row>
    <row r="43" spans="1:21" x14ac:dyDescent="0.25">
      <c r="A43" s="8"/>
      <c r="B43" s="8">
        <v>20559</v>
      </c>
      <c r="C43" s="9" t="s">
        <v>138</v>
      </c>
      <c r="D43" s="1" t="s">
        <v>25</v>
      </c>
      <c r="E43" s="10" t="s">
        <v>0</v>
      </c>
      <c r="F43" s="11">
        <v>39142</v>
      </c>
      <c r="G43" s="12">
        <v>45597</v>
      </c>
      <c r="H43" s="13" t="s">
        <v>1</v>
      </c>
      <c r="I43" s="8" t="s">
        <v>2</v>
      </c>
      <c r="J43" s="14"/>
      <c r="K43" s="15" t="s">
        <v>38</v>
      </c>
      <c r="L43" t="s">
        <v>54</v>
      </c>
      <c r="M43" t="s">
        <v>15</v>
      </c>
      <c r="N43" t="str">
        <f t="shared" ref="N43:N76" si="6">_xlfn.CONCAT("https://api.bcb.gov.br/dados/serie/bcdata.sgs.",B43,"/dados?formato=json")</f>
        <v>https://api.bcb.gov.br/dados/serie/bcdata.sgs.20559/dados?formato=json</v>
      </c>
      <c r="O43">
        <v>6</v>
      </c>
      <c r="P43" t="s">
        <v>19</v>
      </c>
      <c r="Q43" t="s">
        <v>19</v>
      </c>
      <c r="R43" t="s">
        <v>888</v>
      </c>
      <c r="S43" t="s">
        <v>622</v>
      </c>
      <c r="T43" t="e">
        <f t="shared" si="4"/>
        <v>#VALUE!</v>
      </c>
      <c r="U43">
        <f t="shared" si="5"/>
        <v>20</v>
      </c>
    </row>
    <row r="44" spans="1:21" x14ac:dyDescent="0.25">
      <c r="A44" s="1"/>
      <c r="B44" s="1">
        <v>20560</v>
      </c>
      <c r="C44" s="2" t="s">
        <v>139</v>
      </c>
      <c r="D44" s="1" t="s">
        <v>25</v>
      </c>
      <c r="E44" s="3" t="s">
        <v>0</v>
      </c>
      <c r="F44" s="4">
        <v>39142</v>
      </c>
      <c r="G44" s="5">
        <v>45597</v>
      </c>
      <c r="H44" s="6" t="s">
        <v>1</v>
      </c>
      <c r="I44" s="1" t="s">
        <v>2</v>
      </c>
      <c r="J44" s="7"/>
      <c r="K44" s="15" t="s">
        <v>38</v>
      </c>
      <c r="L44" t="s">
        <v>55</v>
      </c>
      <c r="M44" t="s">
        <v>15</v>
      </c>
      <c r="N44" t="str">
        <f t="shared" si="6"/>
        <v>https://api.bcb.gov.br/dados/serie/bcdata.sgs.20560/dados?formato=json</v>
      </c>
      <c r="O44">
        <v>6</v>
      </c>
      <c r="P44" t="s">
        <v>19</v>
      </c>
      <c r="Q44" t="s">
        <v>19</v>
      </c>
      <c r="R44" t="s">
        <v>889</v>
      </c>
      <c r="S44" t="s">
        <v>622</v>
      </c>
      <c r="T44" t="e">
        <f t="shared" si="4"/>
        <v>#VALUE!</v>
      </c>
      <c r="U44">
        <f t="shared" si="5"/>
        <v>20</v>
      </c>
    </row>
    <row r="45" spans="1:21" x14ac:dyDescent="0.25">
      <c r="A45" s="8"/>
      <c r="B45" s="8">
        <v>20561</v>
      </c>
      <c r="C45" s="9" t="s">
        <v>140</v>
      </c>
      <c r="D45" s="1" t="s">
        <v>25</v>
      </c>
      <c r="E45" s="10" t="s">
        <v>0</v>
      </c>
      <c r="F45" s="11">
        <v>39142</v>
      </c>
      <c r="G45" s="12">
        <v>45597</v>
      </c>
      <c r="H45" s="13" t="s">
        <v>1</v>
      </c>
      <c r="I45" s="8" t="s">
        <v>2</v>
      </c>
      <c r="J45" s="14"/>
      <c r="K45" s="15" t="s">
        <v>38</v>
      </c>
      <c r="L45" t="s">
        <v>56</v>
      </c>
      <c r="M45" t="s">
        <v>15</v>
      </c>
      <c r="N45" t="str">
        <f t="shared" si="6"/>
        <v>https://api.bcb.gov.br/dados/serie/bcdata.sgs.20561/dados?formato=json</v>
      </c>
      <c r="O45">
        <v>6</v>
      </c>
      <c r="P45" t="s">
        <v>19</v>
      </c>
      <c r="Q45" t="s">
        <v>19</v>
      </c>
      <c r="R45" t="s">
        <v>890</v>
      </c>
      <c r="S45" t="s">
        <v>622</v>
      </c>
      <c r="T45" t="e">
        <f t="shared" si="4"/>
        <v>#VALUE!</v>
      </c>
      <c r="U45">
        <f t="shared" si="5"/>
        <v>20</v>
      </c>
    </row>
    <row r="46" spans="1:21" x14ac:dyDescent="0.25">
      <c r="A46" s="1"/>
      <c r="B46" s="1">
        <v>20562</v>
      </c>
      <c r="C46" s="2" t="s">
        <v>141</v>
      </c>
      <c r="D46" s="1" t="s">
        <v>25</v>
      </c>
      <c r="E46" s="3" t="s">
        <v>0</v>
      </c>
      <c r="F46" s="4">
        <v>39142</v>
      </c>
      <c r="G46" s="5">
        <v>45597</v>
      </c>
      <c r="H46" s="6" t="s">
        <v>1</v>
      </c>
      <c r="I46" s="1" t="s">
        <v>2</v>
      </c>
      <c r="J46" s="7"/>
      <c r="K46" s="15" t="s">
        <v>38</v>
      </c>
      <c r="L46" t="s">
        <v>57</v>
      </c>
      <c r="M46" t="s">
        <v>15</v>
      </c>
      <c r="N46" t="str">
        <f t="shared" si="6"/>
        <v>https://api.bcb.gov.br/dados/serie/bcdata.sgs.20562/dados?formato=json</v>
      </c>
      <c r="O46">
        <v>6</v>
      </c>
      <c r="P46" t="s">
        <v>19</v>
      </c>
      <c r="Q46" t="s">
        <v>19</v>
      </c>
      <c r="R46" t="s">
        <v>891</v>
      </c>
      <c r="S46" t="s">
        <v>622</v>
      </c>
      <c r="T46" t="e">
        <f t="shared" si="4"/>
        <v>#VALUE!</v>
      </c>
      <c r="U46">
        <f t="shared" si="5"/>
        <v>20</v>
      </c>
    </row>
    <row r="47" spans="1:21" x14ac:dyDescent="0.25">
      <c r="A47" s="8"/>
      <c r="B47" s="8">
        <v>20563</v>
      </c>
      <c r="C47" s="9" t="s">
        <v>142</v>
      </c>
      <c r="D47" s="1" t="s">
        <v>25</v>
      </c>
      <c r="E47" s="10" t="s">
        <v>0</v>
      </c>
      <c r="F47" s="11">
        <v>39142</v>
      </c>
      <c r="G47" s="12">
        <v>45597</v>
      </c>
      <c r="H47" s="13" t="s">
        <v>1</v>
      </c>
      <c r="I47" s="8" t="s">
        <v>2</v>
      </c>
      <c r="J47" s="14"/>
      <c r="K47" s="15" t="s">
        <v>38</v>
      </c>
      <c r="L47" t="s">
        <v>58</v>
      </c>
      <c r="M47" t="s">
        <v>15</v>
      </c>
      <c r="N47" t="str">
        <f t="shared" si="6"/>
        <v>https://api.bcb.gov.br/dados/serie/bcdata.sgs.20563/dados?formato=json</v>
      </c>
      <c r="O47">
        <v>6</v>
      </c>
      <c r="P47" t="s">
        <v>19</v>
      </c>
      <c r="Q47" t="s">
        <v>19</v>
      </c>
      <c r="R47" t="s">
        <v>892</v>
      </c>
      <c r="S47" t="s">
        <v>622</v>
      </c>
      <c r="T47" t="e">
        <f t="shared" si="4"/>
        <v>#VALUE!</v>
      </c>
      <c r="U47">
        <f t="shared" si="5"/>
        <v>20</v>
      </c>
    </row>
    <row r="48" spans="1:21" x14ac:dyDescent="0.25">
      <c r="A48" s="1"/>
      <c r="B48" s="1">
        <v>20564</v>
      </c>
      <c r="C48" s="2" t="s">
        <v>143</v>
      </c>
      <c r="D48" s="1" t="s">
        <v>25</v>
      </c>
      <c r="E48" s="3" t="s">
        <v>0</v>
      </c>
      <c r="F48" s="4">
        <v>39142</v>
      </c>
      <c r="G48" s="5">
        <v>45597</v>
      </c>
      <c r="H48" s="6" t="s">
        <v>1</v>
      </c>
      <c r="I48" s="1" t="s">
        <v>2</v>
      </c>
      <c r="J48" s="7"/>
      <c r="K48" s="15" t="s">
        <v>38</v>
      </c>
      <c r="L48" t="s">
        <v>59</v>
      </c>
      <c r="M48" t="s">
        <v>15</v>
      </c>
      <c r="N48" t="str">
        <f t="shared" si="6"/>
        <v>https://api.bcb.gov.br/dados/serie/bcdata.sgs.20564/dados?formato=json</v>
      </c>
      <c r="O48">
        <v>6</v>
      </c>
      <c r="P48" t="s">
        <v>19</v>
      </c>
      <c r="Q48" t="s">
        <v>19</v>
      </c>
      <c r="R48" t="s">
        <v>893</v>
      </c>
      <c r="S48" t="s">
        <v>622</v>
      </c>
      <c r="T48" t="e">
        <f t="shared" si="4"/>
        <v>#VALUE!</v>
      </c>
      <c r="U48">
        <f t="shared" si="5"/>
        <v>20</v>
      </c>
    </row>
    <row r="49" spans="1:21" x14ac:dyDescent="0.25">
      <c r="A49" s="8"/>
      <c r="B49" s="8">
        <v>20565</v>
      </c>
      <c r="C49" s="9" t="s">
        <v>144</v>
      </c>
      <c r="D49" s="1" t="s">
        <v>25</v>
      </c>
      <c r="E49" s="10" t="s">
        <v>0</v>
      </c>
      <c r="F49" s="11">
        <v>39142</v>
      </c>
      <c r="G49" s="12">
        <v>45597</v>
      </c>
      <c r="H49" s="13" t="s">
        <v>1</v>
      </c>
      <c r="I49" s="8" t="s">
        <v>2</v>
      </c>
      <c r="J49" s="14"/>
      <c r="K49" s="15" t="s">
        <v>38</v>
      </c>
      <c r="L49" t="s">
        <v>60</v>
      </c>
      <c r="M49" t="s">
        <v>15</v>
      </c>
      <c r="N49" t="str">
        <f t="shared" si="6"/>
        <v>https://api.bcb.gov.br/dados/serie/bcdata.sgs.20565/dados?formato=json</v>
      </c>
      <c r="O49">
        <v>6</v>
      </c>
      <c r="P49" t="s">
        <v>19</v>
      </c>
      <c r="Q49" t="s">
        <v>19</v>
      </c>
      <c r="R49" t="s">
        <v>894</v>
      </c>
      <c r="S49" t="s">
        <v>622</v>
      </c>
      <c r="T49" t="e">
        <f t="shared" si="4"/>
        <v>#VALUE!</v>
      </c>
      <c r="U49">
        <f t="shared" si="5"/>
        <v>20</v>
      </c>
    </row>
    <row r="50" spans="1:21" x14ac:dyDescent="0.25">
      <c r="A50" s="1"/>
      <c r="B50" s="1">
        <v>20566</v>
      </c>
      <c r="C50" s="2" t="s">
        <v>145</v>
      </c>
      <c r="D50" s="1" t="s">
        <v>25</v>
      </c>
      <c r="E50" s="3" t="s">
        <v>0</v>
      </c>
      <c r="F50" s="4">
        <v>39142</v>
      </c>
      <c r="G50" s="5">
        <v>45597</v>
      </c>
      <c r="H50" s="6" t="s">
        <v>1</v>
      </c>
      <c r="I50" s="1" t="s">
        <v>2</v>
      </c>
      <c r="J50" s="7"/>
      <c r="K50" s="15" t="s">
        <v>38</v>
      </c>
      <c r="L50" t="s">
        <v>61</v>
      </c>
      <c r="M50" t="s">
        <v>15</v>
      </c>
      <c r="N50" t="str">
        <f t="shared" si="6"/>
        <v>https://api.bcb.gov.br/dados/serie/bcdata.sgs.20566/dados?formato=json</v>
      </c>
      <c r="O50">
        <v>6</v>
      </c>
      <c r="P50" t="s">
        <v>19</v>
      </c>
      <c r="Q50" t="s">
        <v>19</v>
      </c>
      <c r="R50" t="s">
        <v>895</v>
      </c>
      <c r="S50" t="s">
        <v>622</v>
      </c>
      <c r="T50" t="e">
        <f t="shared" si="4"/>
        <v>#VALUE!</v>
      </c>
      <c r="U50">
        <f t="shared" si="5"/>
        <v>20</v>
      </c>
    </row>
    <row r="51" spans="1:21" x14ac:dyDescent="0.25">
      <c r="A51" s="8"/>
      <c r="B51" s="8">
        <v>20567</v>
      </c>
      <c r="C51" s="9" t="s">
        <v>146</v>
      </c>
      <c r="D51" s="1" t="s">
        <v>25</v>
      </c>
      <c r="E51" s="10" t="s">
        <v>0</v>
      </c>
      <c r="F51" s="11">
        <v>39142</v>
      </c>
      <c r="G51" s="12">
        <v>45597</v>
      </c>
      <c r="H51" s="13" t="s">
        <v>1</v>
      </c>
      <c r="I51" s="8" t="s">
        <v>2</v>
      </c>
      <c r="J51" s="14"/>
      <c r="K51" s="15" t="s">
        <v>38</v>
      </c>
      <c r="L51" t="s">
        <v>62</v>
      </c>
      <c r="M51" t="s">
        <v>15</v>
      </c>
      <c r="N51" t="str">
        <f t="shared" si="6"/>
        <v>https://api.bcb.gov.br/dados/serie/bcdata.sgs.20567/dados?formato=json</v>
      </c>
      <c r="O51">
        <v>6</v>
      </c>
      <c r="P51" t="s">
        <v>19</v>
      </c>
      <c r="Q51" t="s">
        <v>19</v>
      </c>
      <c r="R51" t="s">
        <v>896</v>
      </c>
      <c r="S51" t="s">
        <v>622</v>
      </c>
      <c r="T51" t="e">
        <f t="shared" si="4"/>
        <v>#VALUE!</v>
      </c>
      <c r="U51">
        <f t="shared" si="5"/>
        <v>20</v>
      </c>
    </row>
    <row r="52" spans="1:21" x14ac:dyDescent="0.25">
      <c r="A52" s="1"/>
      <c r="B52" s="1">
        <v>20568</v>
      </c>
      <c r="C52" s="2" t="s">
        <v>147</v>
      </c>
      <c r="D52" s="1" t="s">
        <v>25</v>
      </c>
      <c r="E52" s="3" t="s">
        <v>0</v>
      </c>
      <c r="F52" s="4">
        <v>39142</v>
      </c>
      <c r="G52" s="5">
        <v>45597</v>
      </c>
      <c r="H52" s="6" t="s">
        <v>1</v>
      </c>
      <c r="I52" s="1" t="s">
        <v>2</v>
      </c>
      <c r="J52" s="7"/>
      <c r="K52" s="15" t="s">
        <v>38</v>
      </c>
      <c r="L52" t="s">
        <v>63</v>
      </c>
      <c r="M52" t="s">
        <v>15</v>
      </c>
      <c r="N52" t="str">
        <f t="shared" si="6"/>
        <v>https://api.bcb.gov.br/dados/serie/bcdata.sgs.20568/dados?formato=json</v>
      </c>
      <c r="O52">
        <v>6</v>
      </c>
      <c r="P52" t="s">
        <v>19</v>
      </c>
      <c r="Q52" t="s">
        <v>19</v>
      </c>
      <c r="R52" t="s">
        <v>897</v>
      </c>
      <c r="S52" t="s">
        <v>622</v>
      </c>
      <c r="T52" t="e">
        <f t="shared" si="4"/>
        <v>#VALUE!</v>
      </c>
      <c r="U52">
        <f t="shared" si="5"/>
        <v>20</v>
      </c>
    </row>
    <row r="53" spans="1:21" x14ac:dyDescent="0.25">
      <c r="A53" s="8"/>
      <c r="B53" s="8">
        <v>20569</v>
      </c>
      <c r="C53" s="9" t="s">
        <v>148</v>
      </c>
      <c r="D53" s="1" t="s">
        <v>25</v>
      </c>
      <c r="E53" s="10" t="s">
        <v>0</v>
      </c>
      <c r="F53" s="11">
        <v>39142</v>
      </c>
      <c r="G53" s="12">
        <v>45597</v>
      </c>
      <c r="H53" s="13" t="s">
        <v>1</v>
      </c>
      <c r="I53" s="8" t="s">
        <v>2</v>
      </c>
      <c r="J53" s="14"/>
      <c r="K53" s="15" t="s">
        <v>38</v>
      </c>
      <c r="L53" t="s">
        <v>64</v>
      </c>
      <c r="M53" t="s">
        <v>15</v>
      </c>
      <c r="N53" t="str">
        <f t="shared" si="6"/>
        <v>https://api.bcb.gov.br/dados/serie/bcdata.sgs.20569/dados?formato=json</v>
      </c>
      <c r="O53">
        <v>6</v>
      </c>
      <c r="P53" t="s">
        <v>19</v>
      </c>
      <c r="Q53" t="s">
        <v>19</v>
      </c>
      <c r="R53" t="s">
        <v>898</v>
      </c>
      <c r="S53" t="s">
        <v>622</v>
      </c>
      <c r="T53" t="e">
        <f t="shared" si="4"/>
        <v>#VALUE!</v>
      </c>
      <c r="U53">
        <f t="shared" si="5"/>
        <v>20</v>
      </c>
    </row>
    <row r="54" spans="1:21" x14ac:dyDescent="0.25">
      <c r="A54" s="1"/>
      <c r="B54" s="1">
        <v>20570</v>
      </c>
      <c r="C54" s="2" t="s">
        <v>120</v>
      </c>
      <c r="D54" s="1" t="s">
        <v>25</v>
      </c>
      <c r="E54" s="3" t="s">
        <v>0</v>
      </c>
      <c r="F54" s="4">
        <v>39142</v>
      </c>
      <c r="G54" s="5">
        <v>45597</v>
      </c>
      <c r="H54" s="6" t="s">
        <v>1</v>
      </c>
      <c r="I54" s="1" t="s">
        <v>2</v>
      </c>
      <c r="J54" s="7"/>
      <c r="K54" s="15" t="s">
        <v>38</v>
      </c>
      <c r="L54" t="s">
        <v>65</v>
      </c>
      <c r="M54" t="s">
        <v>15</v>
      </c>
      <c r="N54" t="str">
        <f t="shared" si="6"/>
        <v>https://api.bcb.gov.br/dados/serie/bcdata.sgs.20570/dados?formato=json</v>
      </c>
      <c r="O54">
        <v>6</v>
      </c>
      <c r="P54" t="s">
        <v>19</v>
      </c>
      <c r="Q54" t="s">
        <v>19</v>
      </c>
      <c r="R54" t="s">
        <v>118</v>
      </c>
      <c r="S54" t="s">
        <v>621</v>
      </c>
      <c r="T54" t="e">
        <f t="shared" si="4"/>
        <v>#VALUE!</v>
      </c>
      <c r="U54">
        <f>LEN("Pessoas físicas - ")</f>
        <v>18</v>
      </c>
    </row>
    <row r="55" spans="1:21" x14ac:dyDescent="0.25">
      <c r="A55" s="8"/>
      <c r="B55" s="8">
        <v>20571</v>
      </c>
      <c r="C55" s="9" t="s">
        <v>149</v>
      </c>
      <c r="D55" s="1" t="s">
        <v>25</v>
      </c>
      <c r="E55" s="10" t="s">
        <v>0</v>
      </c>
      <c r="F55" s="11">
        <v>39142</v>
      </c>
      <c r="G55" s="12">
        <v>45597</v>
      </c>
      <c r="H55" s="13" t="s">
        <v>1</v>
      </c>
      <c r="I55" s="8" t="s">
        <v>2</v>
      </c>
      <c r="J55" s="14"/>
      <c r="K55" s="15" t="s">
        <v>38</v>
      </c>
      <c r="L55" t="s">
        <v>66</v>
      </c>
      <c r="M55" t="s">
        <v>15</v>
      </c>
      <c r="N55" t="str">
        <f t="shared" si="6"/>
        <v>https://api.bcb.gov.br/dados/serie/bcdata.sgs.20571/dados?formato=json</v>
      </c>
      <c r="O55">
        <v>6</v>
      </c>
      <c r="P55" t="s">
        <v>19</v>
      </c>
      <c r="Q55" t="s">
        <v>19</v>
      </c>
      <c r="R55" t="s">
        <v>871</v>
      </c>
      <c r="S55" t="s">
        <v>621</v>
      </c>
      <c r="T55" t="e">
        <f t="shared" si="4"/>
        <v>#VALUE!</v>
      </c>
      <c r="U55">
        <f t="shared" ref="U55:U76" si="7">LEN("Pessoas físicas - ")</f>
        <v>18</v>
      </c>
    </row>
    <row r="56" spans="1:21" x14ac:dyDescent="0.25">
      <c r="A56" s="1"/>
      <c r="B56" s="1">
        <v>20572</v>
      </c>
      <c r="C56" s="2" t="s">
        <v>150</v>
      </c>
      <c r="D56" s="1" t="s">
        <v>25</v>
      </c>
      <c r="E56" s="3" t="s">
        <v>0</v>
      </c>
      <c r="F56" s="4">
        <v>39142</v>
      </c>
      <c r="G56" s="5">
        <v>45597</v>
      </c>
      <c r="H56" s="6" t="s">
        <v>1</v>
      </c>
      <c r="I56" s="1" t="s">
        <v>2</v>
      </c>
      <c r="J56" s="7"/>
      <c r="K56" s="15" t="s">
        <v>38</v>
      </c>
      <c r="L56" t="s">
        <v>67</v>
      </c>
      <c r="M56" t="s">
        <v>15</v>
      </c>
      <c r="N56" t="str">
        <f t="shared" si="6"/>
        <v>https://api.bcb.gov.br/dados/serie/bcdata.sgs.20572/dados?formato=json</v>
      </c>
      <c r="O56">
        <v>6</v>
      </c>
      <c r="P56" t="s">
        <v>19</v>
      </c>
      <c r="Q56" t="s">
        <v>19</v>
      </c>
      <c r="R56" t="s">
        <v>872</v>
      </c>
      <c r="S56" t="s">
        <v>621</v>
      </c>
      <c r="T56" t="e">
        <f t="shared" si="4"/>
        <v>#VALUE!</v>
      </c>
      <c r="U56">
        <f t="shared" si="7"/>
        <v>18</v>
      </c>
    </row>
    <row r="57" spans="1:21" x14ac:dyDescent="0.25">
      <c r="A57" s="8"/>
      <c r="B57" s="8">
        <v>20573</v>
      </c>
      <c r="C57" s="9" t="s">
        <v>151</v>
      </c>
      <c r="D57" s="1" t="s">
        <v>25</v>
      </c>
      <c r="E57" s="10" t="s">
        <v>0</v>
      </c>
      <c r="F57" s="11">
        <v>39142</v>
      </c>
      <c r="G57" s="12">
        <v>45597</v>
      </c>
      <c r="H57" s="13" t="s">
        <v>1</v>
      </c>
      <c r="I57" s="8" t="s">
        <v>2</v>
      </c>
      <c r="J57" s="14"/>
      <c r="K57" s="15" t="s">
        <v>38</v>
      </c>
      <c r="L57" t="s">
        <v>68</v>
      </c>
      <c r="M57" t="s">
        <v>15</v>
      </c>
      <c r="N57" t="str">
        <f t="shared" si="6"/>
        <v>https://api.bcb.gov.br/dados/serie/bcdata.sgs.20573/dados?formato=json</v>
      </c>
      <c r="O57">
        <v>6</v>
      </c>
      <c r="P57" t="s">
        <v>19</v>
      </c>
      <c r="Q57" t="s">
        <v>19</v>
      </c>
      <c r="R57" t="s">
        <v>881</v>
      </c>
      <c r="S57" t="s">
        <v>621</v>
      </c>
      <c r="T57" t="e">
        <f t="shared" si="4"/>
        <v>#VALUE!</v>
      </c>
      <c r="U57">
        <f t="shared" si="7"/>
        <v>18</v>
      </c>
    </row>
    <row r="58" spans="1:21" x14ac:dyDescent="0.25">
      <c r="A58" s="1"/>
      <c r="B58" s="1">
        <v>20574</v>
      </c>
      <c r="C58" s="2" t="s">
        <v>152</v>
      </c>
      <c r="D58" s="1" t="s">
        <v>25</v>
      </c>
      <c r="E58" s="3" t="s">
        <v>0</v>
      </c>
      <c r="F58" s="4">
        <v>39142</v>
      </c>
      <c r="G58" s="5">
        <v>45597</v>
      </c>
      <c r="H58" s="6" t="s">
        <v>1</v>
      </c>
      <c r="I58" s="1" t="s">
        <v>2</v>
      </c>
      <c r="J58" s="7"/>
      <c r="K58" s="15" t="s">
        <v>38</v>
      </c>
      <c r="L58" t="s">
        <v>69</v>
      </c>
      <c r="M58" t="s">
        <v>15</v>
      </c>
      <c r="N58" t="str">
        <f t="shared" si="6"/>
        <v>https://api.bcb.gov.br/dados/serie/bcdata.sgs.20574/dados?formato=json</v>
      </c>
      <c r="O58">
        <v>6</v>
      </c>
      <c r="P58" t="s">
        <v>19</v>
      </c>
      <c r="Q58" t="s">
        <v>19</v>
      </c>
      <c r="R58" t="s">
        <v>899</v>
      </c>
      <c r="S58" t="s">
        <v>621</v>
      </c>
      <c r="T58" t="e">
        <f t="shared" si="4"/>
        <v>#VALUE!</v>
      </c>
      <c r="U58">
        <f t="shared" si="7"/>
        <v>18</v>
      </c>
    </row>
    <row r="59" spans="1:21" x14ac:dyDescent="0.25">
      <c r="A59" s="8"/>
      <c r="B59" s="8">
        <v>20575</v>
      </c>
      <c r="C59" s="9" t="s">
        <v>153</v>
      </c>
      <c r="D59" s="1" t="s">
        <v>25</v>
      </c>
      <c r="E59" s="10" t="s">
        <v>0</v>
      </c>
      <c r="F59" s="11">
        <v>39142</v>
      </c>
      <c r="G59" s="12">
        <v>45597</v>
      </c>
      <c r="H59" s="13" t="s">
        <v>1</v>
      </c>
      <c r="I59" s="8" t="s">
        <v>2</v>
      </c>
      <c r="J59" s="14"/>
      <c r="K59" s="15" t="s">
        <v>38</v>
      </c>
      <c r="L59" t="s">
        <v>70</v>
      </c>
      <c r="M59" t="s">
        <v>15</v>
      </c>
      <c r="N59" t="str">
        <f t="shared" si="6"/>
        <v>https://api.bcb.gov.br/dados/serie/bcdata.sgs.20575/dados?formato=json</v>
      </c>
      <c r="O59">
        <v>6</v>
      </c>
      <c r="P59" t="s">
        <v>19</v>
      </c>
      <c r="Q59" t="s">
        <v>19</v>
      </c>
      <c r="R59" t="s">
        <v>900</v>
      </c>
      <c r="S59" t="s">
        <v>621</v>
      </c>
      <c r="T59" t="e">
        <f t="shared" si="4"/>
        <v>#VALUE!</v>
      </c>
      <c r="U59">
        <f t="shared" si="7"/>
        <v>18</v>
      </c>
    </row>
    <row r="60" spans="1:21" x14ac:dyDescent="0.25">
      <c r="A60" s="1"/>
      <c r="B60" s="1">
        <v>20576</v>
      </c>
      <c r="C60" s="2" t="s">
        <v>154</v>
      </c>
      <c r="D60" s="1" t="s">
        <v>25</v>
      </c>
      <c r="E60" s="3" t="s">
        <v>0</v>
      </c>
      <c r="F60" s="4">
        <v>39142</v>
      </c>
      <c r="G60" s="5">
        <v>45597</v>
      </c>
      <c r="H60" s="6" t="s">
        <v>1</v>
      </c>
      <c r="I60" s="1" t="s">
        <v>2</v>
      </c>
      <c r="J60" s="7"/>
      <c r="K60" s="15" t="s">
        <v>38</v>
      </c>
      <c r="L60" t="s">
        <v>71</v>
      </c>
      <c r="M60" t="s">
        <v>15</v>
      </c>
      <c r="N60" t="str">
        <f t="shared" si="6"/>
        <v>https://api.bcb.gov.br/dados/serie/bcdata.sgs.20576/dados?formato=json</v>
      </c>
      <c r="O60">
        <v>6</v>
      </c>
      <c r="P60" t="s">
        <v>19</v>
      </c>
      <c r="Q60" t="s">
        <v>19</v>
      </c>
      <c r="R60" t="s">
        <v>901</v>
      </c>
      <c r="S60" t="s">
        <v>621</v>
      </c>
      <c r="T60" t="e">
        <f t="shared" si="4"/>
        <v>#VALUE!</v>
      </c>
      <c r="U60">
        <f t="shared" si="7"/>
        <v>18</v>
      </c>
    </row>
    <row r="61" spans="1:21" x14ac:dyDescent="0.25">
      <c r="A61" s="8"/>
      <c r="B61" s="8">
        <v>20577</v>
      </c>
      <c r="C61" s="9" t="s">
        <v>155</v>
      </c>
      <c r="D61" s="1" t="s">
        <v>25</v>
      </c>
      <c r="E61" s="10" t="s">
        <v>0</v>
      </c>
      <c r="F61" s="11">
        <v>39142</v>
      </c>
      <c r="G61" s="12">
        <v>45597</v>
      </c>
      <c r="H61" s="13" t="s">
        <v>1</v>
      </c>
      <c r="I61" s="8" t="s">
        <v>2</v>
      </c>
      <c r="J61" s="14"/>
      <c r="K61" s="15" t="s">
        <v>38</v>
      </c>
      <c r="L61" t="s">
        <v>72</v>
      </c>
      <c r="M61" t="s">
        <v>15</v>
      </c>
      <c r="N61" t="str">
        <f t="shared" si="6"/>
        <v>https://api.bcb.gov.br/dados/serie/bcdata.sgs.20577/dados?formato=json</v>
      </c>
      <c r="O61">
        <v>6</v>
      </c>
      <c r="P61" t="s">
        <v>19</v>
      </c>
      <c r="Q61" t="s">
        <v>19</v>
      </c>
      <c r="R61" t="s">
        <v>902</v>
      </c>
      <c r="S61" t="s">
        <v>621</v>
      </c>
      <c r="T61" t="e">
        <f t="shared" si="4"/>
        <v>#VALUE!</v>
      </c>
      <c r="U61">
        <f t="shared" si="7"/>
        <v>18</v>
      </c>
    </row>
    <row r="62" spans="1:21" x14ac:dyDescent="0.25">
      <c r="A62" s="1"/>
      <c r="B62" s="1">
        <v>20578</v>
      </c>
      <c r="C62" s="2" t="s">
        <v>156</v>
      </c>
      <c r="D62" s="1" t="s">
        <v>25</v>
      </c>
      <c r="E62" s="3" t="s">
        <v>0</v>
      </c>
      <c r="F62" s="4">
        <v>39142</v>
      </c>
      <c r="G62" s="5">
        <v>45597</v>
      </c>
      <c r="H62" s="6" t="s">
        <v>1</v>
      </c>
      <c r="I62" s="1" t="s">
        <v>2</v>
      </c>
      <c r="J62" s="7"/>
      <c r="K62" s="15" t="s">
        <v>38</v>
      </c>
      <c r="L62" t="s">
        <v>73</v>
      </c>
      <c r="M62" t="s">
        <v>15</v>
      </c>
      <c r="N62" t="str">
        <f t="shared" si="6"/>
        <v>https://api.bcb.gov.br/dados/serie/bcdata.sgs.20578/dados?formato=json</v>
      </c>
      <c r="O62">
        <v>6</v>
      </c>
      <c r="P62" t="s">
        <v>19</v>
      </c>
      <c r="Q62" t="s">
        <v>19</v>
      </c>
      <c r="R62" t="s">
        <v>903</v>
      </c>
      <c r="S62" t="s">
        <v>621</v>
      </c>
      <c r="T62" t="e">
        <f t="shared" si="4"/>
        <v>#VALUE!</v>
      </c>
      <c r="U62">
        <f t="shared" si="7"/>
        <v>18</v>
      </c>
    </row>
    <row r="63" spans="1:21" x14ac:dyDescent="0.25">
      <c r="A63" s="8"/>
      <c r="B63" s="8">
        <v>20579</v>
      </c>
      <c r="C63" s="9" t="s">
        <v>157</v>
      </c>
      <c r="D63" s="1" t="s">
        <v>25</v>
      </c>
      <c r="E63" s="10" t="s">
        <v>0</v>
      </c>
      <c r="F63" s="11">
        <v>39142</v>
      </c>
      <c r="G63" s="12">
        <v>45597</v>
      </c>
      <c r="H63" s="13" t="s">
        <v>1</v>
      </c>
      <c r="I63" s="8" t="s">
        <v>2</v>
      </c>
      <c r="J63" s="14"/>
      <c r="K63" s="15" t="s">
        <v>38</v>
      </c>
      <c r="L63" t="s">
        <v>74</v>
      </c>
      <c r="M63" t="s">
        <v>15</v>
      </c>
      <c r="N63" t="str">
        <f t="shared" si="6"/>
        <v>https://api.bcb.gov.br/dados/serie/bcdata.sgs.20579/dados?formato=json</v>
      </c>
      <c r="O63">
        <v>6</v>
      </c>
      <c r="P63" t="s">
        <v>19</v>
      </c>
      <c r="Q63" t="s">
        <v>19</v>
      </c>
      <c r="R63" t="s">
        <v>904</v>
      </c>
      <c r="S63" t="s">
        <v>621</v>
      </c>
      <c r="T63" t="e">
        <f t="shared" si="4"/>
        <v>#VALUE!</v>
      </c>
      <c r="U63">
        <f t="shared" si="7"/>
        <v>18</v>
      </c>
    </row>
    <row r="64" spans="1:21" x14ac:dyDescent="0.25">
      <c r="A64" s="1"/>
      <c r="B64" s="1">
        <v>20580</v>
      </c>
      <c r="C64" s="2" t="s">
        <v>158</v>
      </c>
      <c r="D64" s="1" t="s">
        <v>25</v>
      </c>
      <c r="E64" s="3" t="s">
        <v>0</v>
      </c>
      <c r="F64" s="4">
        <v>39142</v>
      </c>
      <c r="G64" s="5">
        <v>45597</v>
      </c>
      <c r="H64" s="6" t="s">
        <v>1</v>
      </c>
      <c r="I64" s="1" t="s">
        <v>2</v>
      </c>
      <c r="J64" s="7"/>
      <c r="K64" s="15" t="s">
        <v>38</v>
      </c>
      <c r="L64" t="s">
        <v>75</v>
      </c>
      <c r="M64" t="s">
        <v>15</v>
      </c>
      <c r="N64" t="str">
        <f t="shared" si="6"/>
        <v>https://api.bcb.gov.br/dados/serie/bcdata.sgs.20580/dados?formato=json</v>
      </c>
      <c r="O64">
        <v>6</v>
      </c>
      <c r="P64" t="s">
        <v>19</v>
      </c>
      <c r="Q64" t="s">
        <v>19</v>
      </c>
      <c r="R64" t="s">
        <v>905</v>
      </c>
      <c r="S64" t="s">
        <v>621</v>
      </c>
      <c r="T64" t="e">
        <f t="shared" si="4"/>
        <v>#VALUE!</v>
      </c>
      <c r="U64">
        <f t="shared" si="7"/>
        <v>18</v>
      </c>
    </row>
    <row r="65" spans="1:21" x14ac:dyDescent="0.25">
      <c r="A65" s="8"/>
      <c r="B65" s="8">
        <v>20581</v>
      </c>
      <c r="C65" s="9" t="s">
        <v>159</v>
      </c>
      <c r="D65" s="1" t="s">
        <v>25</v>
      </c>
      <c r="E65" s="10" t="s">
        <v>0</v>
      </c>
      <c r="F65" s="11">
        <v>39142</v>
      </c>
      <c r="G65" s="12">
        <v>45597</v>
      </c>
      <c r="H65" s="13" t="s">
        <v>1</v>
      </c>
      <c r="I65" s="8" t="s">
        <v>2</v>
      </c>
      <c r="J65" s="14"/>
      <c r="K65" s="15" t="s">
        <v>38</v>
      </c>
      <c r="L65" t="s">
        <v>76</v>
      </c>
      <c r="M65" t="s">
        <v>15</v>
      </c>
      <c r="N65" t="str">
        <f t="shared" si="6"/>
        <v>https://api.bcb.gov.br/dados/serie/bcdata.sgs.20581/dados?formato=json</v>
      </c>
      <c r="O65">
        <v>6</v>
      </c>
      <c r="P65" t="s">
        <v>19</v>
      </c>
      <c r="Q65" t="s">
        <v>19</v>
      </c>
      <c r="R65" t="s">
        <v>882</v>
      </c>
      <c r="S65" t="s">
        <v>621</v>
      </c>
      <c r="T65" t="e">
        <f t="shared" si="4"/>
        <v>#VALUE!</v>
      </c>
      <c r="U65">
        <f t="shared" si="7"/>
        <v>18</v>
      </c>
    </row>
    <row r="66" spans="1:21" x14ac:dyDescent="0.25">
      <c r="A66" s="1"/>
      <c r="B66" s="1">
        <v>20582</v>
      </c>
      <c r="C66" s="2" t="s">
        <v>160</v>
      </c>
      <c r="D66" s="1" t="s">
        <v>25</v>
      </c>
      <c r="E66" s="3" t="s">
        <v>0</v>
      </c>
      <c r="F66" s="4">
        <v>39142</v>
      </c>
      <c r="G66" s="5">
        <v>45597</v>
      </c>
      <c r="H66" s="6" t="s">
        <v>1</v>
      </c>
      <c r="I66" s="1" t="s">
        <v>2</v>
      </c>
      <c r="J66" s="7"/>
      <c r="K66" s="15" t="s">
        <v>38</v>
      </c>
      <c r="L66" t="s">
        <v>76</v>
      </c>
      <c r="M66" t="s">
        <v>15</v>
      </c>
      <c r="N66" t="str">
        <f t="shared" si="6"/>
        <v>https://api.bcb.gov.br/dados/serie/bcdata.sgs.20582/dados?formato=json</v>
      </c>
      <c r="O66">
        <v>6</v>
      </c>
      <c r="P66" t="s">
        <v>19</v>
      </c>
      <c r="Q66" t="s">
        <v>19</v>
      </c>
      <c r="R66" t="s">
        <v>883</v>
      </c>
      <c r="S66" t="s">
        <v>621</v>
      </c>
      <c r="T66" t="e">
        <f t="shared" si="4"/>
        <v>#VALUE!</v>
      </c>
      <c r="U66">
        <f t="shared" si="7"/>
        <v>18</v>
      </c>
    </row>
    <row r="67" spans="1:21" x14ac:dyDescent="0.25">
      <c r="A67" s="8"/>
      <c r="B67" s="8">
        <v>20583</v>
      </c>
      <c r="C67" s="9" t="s">
        <v>161</v>
      </c>
      <c r="D67" s="1" t="s">
        <v>25</v>
      </c>
      <c r="E67" s="10" t="s">
        <v>0</v>
      </c>
      <c r="F67" s="11">
        <v>39142</v>
      </c>
      <c r="G67" s="12">
        <v>45597</v>
      </c>
      <c r="H67" s="13" t="s">
        <v>1</v>
      </c>
      <c r="I67" s="8" t="s">
        <v>2</v>
      </c>
      <c r="J67" s="14"/>
      <c r="K67" s="15" t="s">
        <v>38</v>
      </c>
      <c r="L67" t="s">
        <v>76</v>
      </c>
      <c r="M67" t="s">
        <v>15</v>
      </c>
      <c r="N67" t="str">
        <f t="shared" si="6"/>
        <v>https://api.bcb.gov.br/dados/serie/bcdata.sgs.20583/dados?formato=json</v>
      </c>
      <c r="O67">
        <v>6</v>
      </c>
      <c r="P67" t="s">
        <v>19</v>
      </c>
      <c r="Q67" t="s">
        <v>19</v>
      </c>
      <c r="R67" t="s">
        <v>884</v>
      </c>
      <c r="S67" t="s">
        <v>621</v>
      </c>
      <c r="T67" t="e">
        <f t="shared" si="4"/>
        <v>#VALUE!</v>
      </c>
      <c r="U67">
        <f t="shared" si="7"/>
        <v>18</v>
      </c>
    </row>
    <row r="68" spans="1:21" x14ac:dyDescent="0.25">
      <c r="A68" s="1"/>
      <c r="B68" s="1">
        <v>20584</v>
      </c>
      <c r="C68" s="2" t="s">
        <v>162</v>
      </c>
      <c r="D68" s="1" t="s">
        <v>25</v>
      </c>
      <c r="E68" s="3" t="s">
        <v>0</v>
      </c>
      <c r="F68" s="4">
        <v>40603</v>
      </c>
      <c r="G68" s="5">
        <v>45597</v>
      </c>
      <c r="H68" s="6" t="s">
        <v>1</v>
      </c>
      <c r="I68" s="1" t="s">
        <v>2</v>
      </c>
      <c r="J68" s="7"/>
      <c r="K68" s="15" t="s">
        <v>38</v>
      </c>
      <c r="L68" t="s">
        <v>77</v>
      </c>
      <c r="M68" t="s">
        <v>15</v>
      </c>
      <c r="N68" t="str">
        <f t="shared" si="6"/>
        <v>https://api.bcb.gov.br/dados/serie/bcdata.sgs.20584/dados?formato=json</v>
      </c>
      <c r="O68">
        <v>6</v>
      </c>
      <c r="P68" t="s">
        <v>19</v>
      </c>
      <c r="Q68" t="s">
        <v>19</v>
      </c>
      <c r="R68" t="s">
        <v>885</v>
      </c>
      <c r="S68" t="s">
        <v>621</v>
      </c>
      <c r="T68" t="e">
        <f t="shared" si="4"/>
        <v>#VALUE!</v>
      </c>
      <c r="U68">
        <f t="shared" si="7"/>
        <v>18</v>
      </c>
    </row>
    <row r="69" spans="1:21" x14ac:dyDescent="0.25">
      <c r="A69" s="8"/>
      <c r="B69" s="8">
        <v>20585</v>
      </c>
      <c r="C69" s="9" t="s">
        <v>163</v>
      </c>
      <c r="D69" s="1" t="s">
        <v>25</v>
      </c>
      <c r="E69" s="10" t="s">
        <v>0</v>
      </c>
      <c r="F69" s="11">
        <v>40603</v>
      </c>
      <c r="G69" s="12">
        <v>45597</v>
      </c>
      <c r="H69" s="13" t="s">
        <v>1</v>
      </c>
      <c r="I69" s="8" t="s">
        <v>2</v>
      </c>
      <c r="J69" s="14"/>
      <c r="K69" s="15" t="s">
        <v>38</v>
      </c>
      <c r="L69" t="s">
        <v>77</v>
      </c>
      <c r="M69" t="s">
        <v>15</v>
      </c>
      <c r="N69" t="str">
        <f t="shared" si="6"/>
        <v>https://api.bcb.gov.br/dados/serie/bcdata.sgs.20585/dados?formato=json</v>
      </c>
      <c r="O69">
        <v>6</v>
      </c>
      <c r="P69" t="s">
        <v>19</v>
      </c>
      <c r="Q69" t="s">
        <v>19</v>
      </c>
      <c r="R69" t="s">
        <v>886</v>
      </c>
      <c r="S69" t="s">
        <v>621</v>
      </c>
      <c r="T69" t="e">
        <f t="shared" si="4"/>
        <v>#VALUE!</v>
      </c>
      <c r="U69">
        <f t="shared" si="7"/>
        <v>18</v>
      </c>
    </row>
    <row r="70" spans="1:21" x14ac:dyDescent="0.25">
      <c r="A70" s="1"/>
      <c r="B70" s="1">
        <v>20586</v>
      </c>
      <c r="C70" s="2" t="s">
        <v>164</v>
      </c>
      <c r="D70" s="1" t="s">
        <v>25</v>
      </c>
      <c r="E70" s="3" t="s">
        <v>0</v>
      </c>
      <c r="F70" s="4">
        <v>39142</v>
      </c>
      <c r="G70" s="5">
        <v>45597</v>
      </c>
      <c r="H70" s="6" t="s">
        <v>1</v>
      </c>
      <c r="I70" s="1" t="s">
        <v>2</v>
      </c>
      <c r="J70" s="7"/>
      <c r="K70" s="15" t="s">
        <v>38</v>
      </c>
      <c r="L70" t="s">
        <v>77</v>
      </c>
      <c r="M70" t="s">
        <v>15</v>
      </c>
      <c r="N70" t="str">
        <f t="shared" si="6"/>
        <v>https://api.bcb.gov.br/dados/serie/bcdata.sgs.20586/dados?formato=json</v>
      </c>
      <c r="O70">
        <v>6</v>
      </c>
      <c r="P70" t="s">
        <v>19</v>
      </c>
      <c r="Q70" t="s">
        <v>19</v>
      </c>
      <c r="R70" t="s">
        <v>887</v>
      </c>
      <c r="S70" t="s">
        <v>621</v>
      </c>
      <c r="T70" t="e">
        <f t="shared" si="4"/>
        <v>#VALUE!</v>
      </c>
      <c r="U70">
        <f t="shared" si="7"/>
        <v>18</v>
      </c>
    </row>
    <row r="71" spans="1:21" x14ac:dyDescent="0.25">
      <c r="A71" s="8"/>
      <c r="B71" s="8">
        <v>20587</v>
      </c>
      <c r="C71" s="9" t="s">
        <v>165</v>
      </c>
      <c r="D71" s="1" t="s">
        <v>25</v>
      </c>
      <c r="E71" s="10" t="s">
        <v>0</v>
      </c>
      <c r="F71" s="11">
        <v>39142</v>
      </c>
      <c r="G71" s="12">
        <v>45597</v>
      </c>
      <c r="H71" s="13" t="s">
        <v>1</v>
      </c>
      <c r="I71" s="8" t="s">
        <v>2</v>
      </c>
      <c r="J71" s="14"/>
      <c r="K71" s="15" t="s">
        <v>38</v>
      </c>
      <c r="L71" t="s">
        <v>78</v>
      </c>
      <c r="M71" t="s">
        <v>15</v>
      </c>
      <c r="N71" t="str">
        <f t="shared" si="6"/>
        <v>https://api.bcb.gov.br/dados/serie/bcdata.sgs.20587/dados?formato=json</v>
      </c>
      <c r="O71">
        <v>6</v>
      </c>
      <c r="P71" t="s">
        <v>19</v>
      </c>
      <c r="Q71" t="s">
        <v>19</v>
      </c>
      <c r="R71" t="s">
        <v>890</v>
      </c>
      <c r="S71" t="s">
        <v>621</v>
      </c>
      <c r="T71" t="e">
        <f t="shared" si="4"/>
        <v>#VALUE!</v>
      </c>
      <c r="U71">
        <f t="shared" si="7"/>
        <v>18</v>
      </c>
    </row>
    <row r="72" spans="1:21" x14ac:dyDescent="0.25">
      <c r="A72" s="1"/>
      <c r="B72" s="1">
        <v>20588</v>
      </c>
      <c r="C72" s="2" t="s">
        <v>166</v>
      </c>
      <c r="D72" s="1" t="s">
        <v>25</v>
      </c>
      <c r="E72" s="3" t="s">
        <v>0</v>
      </c>
      <c r="F72" s="4">
        <v>39142</v>
      </c>
      <c r="G72" s="5">
        <v>45597</v>
      </c>
      <c r="H72" s="6" t="s">
        <v>1</v>
      </c>
      <c r="I72" s="1" t="s">
        <v>2</v>
      </c>
      <c r="J72" s="7"/>
      <c r="K72" s="15" t="s">
        <v>38</v>
      </c>
      <c r="L72" t="s">
        <v>79</v>
      </c>
      <c r="M72" t="s">
        <v>15</v>
      </c>
      <c r="N72" t="str">
        <f t="shared" si="6"/>
        <v>https://api.bcb.gov.br/dados/serie/bcdata.sgs.20588/dados?formato=json</v>
      </c>
      <c r="O72">
        <v>6</v>
      </c>
      <c r="P72" t="s">
        <v>19</v>
      </c>
      <c r="Q72" t="s">
        <v>19</v>
      </c>
      <c r="R72" t="s">
        <v>891</v>
      </c>
      <c r="S72" t="s">
        <v>621</v>
      </c>
      <c r="T72" t="e">
        <f t="shared" si="4"/>
        <v>#VALUE!</v>
      </c>
      <c r="U72">
        <f t="shared" si="7"/>
        <v>18</v>
      </c>
    </row>
    <row r="73" spans="1:21" x14ac:dyDescent="0.25">
      <c r="A73" s="8"/>
      <c r="B73" s="8">
        <v>20589</v>
      </c>
      <c r="C73" s="9" t="s">
        <v>167</v>
      </c>
      <c r="D73" s="1" t="s">
        <v>25</v>
      </c>
      <c r="E73" s="10" t="s">
        <v>0</v>
      </c>
      <c r="F73" s="11">
        <v>39142</v>
      </c>
      <c r="G73" s="12">
        <v>45597</v>
      </c>
      <c r="H73" s="13" t="s">
        <v>1</v>
      </c>
      <c r="I73" s="8" t="s">
        <v>2</v>
      </c>
      <c r="J73" s="14"/>
      <c r="K73" s="15" t="s">
        <v>38</v>
      </c>
      <c r="L73" t="s">
        <v>80</v>
      </c>
      <c r="M73" t="s">
        <v>15</v>
      </c>
      <c r="N73" t="str">
        <f t="shared" si="6"/>
        <v>https://api.bcb.gov.br/dados/serie/bcdata.sgs.20589/dados?formato=json</v>
      </c>
      <c r="O73">
        <v>6</v>
      </c>
      <c r="P73" t="s">
        <v>19</v>
      </c>
      <c r="Q73" t="s">
        <v>19</v>
      </c>
      <c r="R73" t="s">
        <v>892</v>
      </c>
      <c r="S73" t="s">
        <v>621</v>
      </c>
      <c r="T73" t="e">
        <f t="shared" si="4"/>
        <v>#VALUE!</v>
      </c>
      <c r="U73">
        <f t="shared" si="7"/>
        <v>18</v>
      </c>
    </row>
    <row r="74" spans="1:21" x14ac:dyDescent="0.25">
      <c r="A74" s="1"/>
      <c r="B74" s="1">
        <v>20590</v>
      </c>
      <c r="C74" s="2" t="s">
        <v>168</v>
      </c>
      <c r="D74" s="1" t="s">
        <v>25</v>
      </c>
      <c r="E74" s="3" t="s">
        <v>0</v>
      </c>
      <c r="F74" s="4">
        <v>39142</v>
      </c>
      <c r="G74" s="5">
        <v>45597</v>
      </c>
      <c r="H74" s="6" t="s">
        <v>1</v>
      </c>
      <c r="I74" s="1" t="s">
        <v>2</v>
      </c>
      <c r="J74" s="7"/>
      <c r="K74" s="15" t="s">
        <v>38</v>
      </c>
      <c r="L74" t="s">
        <v>81</v>
      </c>
      <c r="M74" t="s">
        <v>15</v>
      </c>
      <c r="N74" t="str">
        <f t="shared" si="6"/>
        <v>https://api.bcb.gov.br/dados/serie/bcdata.sgs.20590/dados?formato=json</v>
      </c>
      <c r="O74">
        <v>6</v>
      </c>
      <c r="P74" t="s">
        <v>19</v>
      </c>
      <c r="Q74" t="s">
        <v>19</v>
      </c>
      <c r="R74" t="s">
        <v>893</v>
      </c>
      <c r="S74" t="s">
        <v>621</v>
      </c>
      <c r="T74" t="e">
        <f t="shared" si="4"/>
        <v>#VALUE!</v>
      </c>
      <c r="U74">
        <f t="shared" si="7"/>
        <v>18</v>
      </c>
    </row>
    <row r="75" spans="1:21" x14ac:dyDescent="0.25">
      <c r="A75" s="8"/>
      <c r="B75" s="8">
        <v>20591</v>
      </c>
      <c r="C75" s="9" t="s">
        <v>169</v>
      </c>
      <c r="D75" s="1" t="s">
        <v>25</v>
      </c>
      <c r="E75" s="10" t="s">
        <v>0</v>
      </c>
      <c r="F75" s="11">
        <v>39142</v>
      </c>
      <c r="G75" s="12">
        <v>45597</v>
      </c>
      <c r="H75" s="13" t="s">
        <v>1</v>
      </c>
      <c r="I75" s="8" t="s">
        <v>2</v>
      </c>
      <c r="J75" s="14"/>
      <c r="K75" s="15" t="s">
        <v>38</v>
      </c>
      <c r="L75" t="s">
        <v>82</v>
      </c>
      <c r="M75" t="s">
        <v>15</v>
      </c>
      <c r="N75" t="str">
        <f t="shared" si="6"/>
        <v>https://api.bcb.gov.br/dados/serie/bcdata.sgs.20591/dados?formato=json</v>
      </c>
      <c r="O75">
        <v>6</v>
      </c>
      <c r="P75" t="s">
        <v>19</v>
      </c>
      <c r="Q75" t="s">
        <v>19</v>
      </c>
      <c r="R75" t="s">
        <v>874</v>
      </c>
      <c r="S75" t="s">
        <v>621</v>
      </c>
      <c r="T75" t="e">
        <f t="shared" si="4"/>
        <v>#VALUE!</v>
      </c>
      <c r="U75">
        <f t="shared" si="7"/>
        <v>18</v>
      </c>
    </row>
    <row r="76" spans="1:21" x14ac:dyDescent="0.25">
      <c r="A76" s="1"/>
      <c r="B76" s="1">
        <v>20592</v>
      </c>
      <c r="C76" s="2" t="s">
        <v>170</v>
      </c>
      <c r="D76" s="1" t="s">
        <v>25</v>
      </c>
      <c r="E76" s="3" t="s">
        <v>0</v>
      </c>
      <c r="F76" s="4">
        <v>39142</v>
      </c>
      <c r="G76" s="5">
        <v>45597</v>
      </c>
      <c r="H76" s="6" t="s">
        <v>1</v>
      </c>
      <c r="I76" s="1" t="s">
        <v>2</v>
      </c>
      <c r="J76" s="7"/>
      <c r="K76" s="15" t="s">
        <v>38</v>
      </c>
      <c r="L76" t="s">
        <v>83</v>
      </c>
      <c r="M76" t="s">
        <v>15</v>
      </c>
      <c r="N76" t="str">
        <f t="shared" si="6"/>
        <v>https://api.bcb.gov.br/dados/serie/bcdata.sgs.20592/dados?formato=json</v>
      </c>
      <c r="O76">
        <v>6</v>
      </c>
      <c r="P76" t="s">
        <v>19</v>
      </c>
      <c r="Q76" t="s">
        <v>19</v>
      </c>
      <c r="R76" t="s">
        <v>898</v>
      </c>
      <c r="S76" t="s">
        <v>621</v>
      </c>
      <c r="T76" t="e">
        <f t="shared" si="4"/>
        <v>#VALUE!</v>
      </c>
      <c r="U76">
        <f t="shared" si="7"/>
        <v>18</v>
      </c>
    </row>
    <row r="77" spans="1:21" x14ac:dyDescent="0.25">
      <c r="A77" s="1"/>
      <c r="B77" s="1">
        <v>20593</v>
      </c>
      <c r="C77" s="2" t="s">
        <v>118</v>
      </c>
      <c r="D77" s="1" t="s">
        <v>25</v>
      </c>
      <c r="E77" s="3" t="s">
        <v>0</v>
      </c>
      <c r="F77" s="4">
        <v>39142</v>
      </c>
      <c r="G77" s="5">
        <v>45597</v>
      </c>
      <c r="H77" s="6" t="s">
        <v>1</v>
      </c>
      <c r="I77" s="1" t="s">
        <v>2</v>
      </c>
      <c r="J77" s="7"/>
      <c r="K77" s="15" t="s">
        <v>84</v>
      </c>
      <c r="L77" t="s">
        <v>85</v>
      </c>
      <c r="M77" t="s">
        <v>15</v>
      </c>
      <c r="N77" t="str">
        <f t="shared" ref="N77:N92" si="8">_xlfn.CONCAT("https://api.bcb.gov.br/dados/serie/bcdata.sgs.",B77,"/dados?formato=json")</f>
        <v>https://api.bcb.gov.br/dados/serie/bcdata.sgs.20593/dados?formato=json</v>
      </c>
      <c r="O77">
        <v>6</v>
      </c>
      <c r="P77" t="s">
        <v>19</v>
      </c>
      <c r="Q77" t="s">
        <v>19</v>
      </c>
      <c r="R77" t="s">
        <v>118</v>
      </c>
      <c r="S77" t="s">
        <v>118</v>
      </c>
    </row>
    <row r="78" spans="1:21" x14ac:dyDescent="0.25">
      <c r="A78" s="8"/>
      <c r="B78" s="8">
        <v>20594</v>
      </c>
      <c r="C78" s="9" t="s">
        <v>119</v>
      </c>
      <c r="D78" s="1" t="s">
        <v>25</v>
      </c>
      <c r="E78" s="10" t="s">
        <v>0</v>
      </c>
      <c r="F78" s="11">
        <v>39142</v>
      </c>
      <c r="G78" s="12">
        <v>45597</v>
      </c>
      <c r="H78" s="13" t="s">
        <v>1</v>
      </c>
      <c r="I78" s="8" t="s">
        <v>2</v>
      </c>
      <c r="J78" s="14"/>
      <c r="K78" s="15" t="s">
        <v>84</v>
      </c>
      <c r="L78" t="s">
        <v>86</v>
      </c>
      <c r="M78" t="s">
        <v>15</v>
      </c>
      <c r="N78" t="str">
        <f t="shared" si="8"/>
        <v>https://api.bcb.gov.br/dados/serie/bcdata.sgs.20594/dados?formato=json</v>
      </c>
      <c r="O78">
        <v>6</v>
      </c>
      <c r="P78" t="s">
        <v>19</v>
      </c>
      <c r="Q78" t="s">
        <v>19</v>
      </c>
      <c r="R78" t="s">
        <v>118</v>
      </c>
      <c r="S78" t="s">
        <v>622</v>
      </c>
      <c r="T78" t="e">
        <f>RIGHT(S78,LEN(S78)-U78)</f>
        <v>#VALUE!</v>
      </c>
      <c r="U78">
        <f>LEN("Pessoas jurídicas - ")</f>
        <v>20</v>
      </c>
    </row>
    <row r="79" spans="1:21" x14ac:dyDescent="0.25">
      <c r="A79" s="1"/>
      <c r="B79" s="1">
        <v>20595</v>
      </c>
      <c r="C79" s="2" t="s">
        <v>171</v>
      </c>
      <c r="D79" s="1" t="s">
        <v>25</v>
      </c>
      <c r="E79" s="3" t="s">
        <v>0</v>
      </c>
      <c r="F79" s="4">
        <v>39142</v>
      </c>
      <c r="G79" s="5">
        <v>45597</v>
      </c>
      <c r="H79" s="6" t="s">
        <v>1</v>
      </c>
      <c r="I79" s="1" t="s">
        <v>2</v>
      </c>
      <c r="J79" s="7"/>
      <c r="K79" s="15" t="s">
        <v>84</v>
      </c>
      <c r="L79" t="s">
        <v>87</v>
      </c>
      <c r="M79" t="s">
        <v>15</v>
      </c>
      <c r="N79" t="str">
        <f t="shared" si="8"/>
        <v>https://api.bcb.gov.br/dados/serie/bcdata.sgs.20595/dados?formato=json</v>
      </c>
      <c r="O79">
        <v>6</v>
      </c>
      <c r="P79" t="s">
        <v>19</v>
      </c>
      <c r="Q79" t="s">
        <v>19</v>
      </c>
      <c r="R79" t="s">
        <v>906</v>
      </c>
      <c r="S79" t="s">
        <v>622</v>
      </c>
      <c r="T79" t="e">
        <f t="shared" ref="T79:T107" si="9">RIGHT(S79,LEN(S79)-U79)</f>
        <v>#VALUE!</v>
      </c>
      <c r="U79">
        <f t="shared" ref="U79:U89" si="10">LEN("Pessoas jurídicas - ")</f>
        <v>20</v>
      </c>
    </row>
    <row r="80" spans="1:21" x14ac:dyDescent="0.25">
      <c r="A80" s="8"/>
      <c r="B80" s="8">
        <v>20596</v>
      </c>
      <c r="C80" s="9" t="s">
        <v>172</v>
      </c>
      <c r="D80" s="1" t="s">
        <v>25</v>
      </c>
      <c r="E80" s="10" t="s">
        <v>0</v>
      </c>
      <c r="F80" s="11">
        <v>39142</v>
      </c>
      <c r="G80" s="12">
        <v>45597</v>
      </c>
      <c r="H80" s="13" t="s">
        <v>1</v>
      </c>
      <c r="I80" s="8" t="s">
        <v>2</v>
      </c>
      <c r="J80" s="14"/>
      <c r="K80" s="15" t="s">
        <v>84</v>
      </c>
      <c r="L80" t="s">
        <v>88</v>
      </c>
      <c r="M80" t="s">
        <v>15</v>
      </c>
      <c r="N80" t="str">
        <f t="shared" si="8"/>
        <v>https://api.bcb.gov.br/dados/serie/bcdata.sgs.20596/dados?formato=json</v>
      </c>
      <c r="O80">
        <v>6</v>
      </c>
      <c r="P80" t="s">
        <v>19</v>
      </c>
      <c r="Q80" t="s">
        <v>19</v>
      </c>
      <c r="R80" t="s">
        <v>907</v>
      </c>
      <c r="S80" t="s">
        <v>622</v>
      </c>
      <c r="T80" t="e">
        <f t="shared" si="9"/>
        <v>#VALUE!</v>
      </c>
      <c r="U80">
        <f t="shared" si="10"/>
        <v>20</v>
      </c>
    </row>
    <row r="81" spans="1:21" x14ac:dyDescent="0.25">
      <c r="A81" s="1"/>
      <c r="B81" s="1">
        <v>20597</v>
      </c>
      <c r="C81" s="2" t="s">
        <v>173</v>
      </c>
      <c r="D81" s="1" t="s">
        <v>25</v>
      </c>
      <c r="E81" s="3" t="s">
        <v>0</v>
      </c>
      <c r="F81" s="4">
        <v>39142</v>
      </c>
      <c r="G81" s="5">
        <v>45597</v>
      </c>
      <c r="H81" s="6" t="s">
        <v>1</v>
      </c>
      <c r="I81" s="1" t="s">
        <v>2</v>
      </c>
      <c r="J81" s="7"/>
      <c r="K81" s="15" t="s">
        <v>84</v>
      </c>
      <c r="L81" t="s">
        <v>89</v>
      </c>
      <c r="M81" t="s">
        <v>15</v>
      </c>
      <c r="N81" t="str">
        <f t="shared" si="8"/>
        <v>https://api.bcb.gov.br/dados/serie/bcdata.sgs.20597/dados?formato=json</v>
      </c>
      <c r="O81">
        <v>6</v>
      </c>
      <c r="P81" t="s">
        <v>19</v>
      </c>
      <c r="Q81" t="s">
        <v>19</v>
      </c>
      <c r="R81" t="s">
        <v>908</v>
      </c>
      <c r="S81" t="s">
        <v>622</v>
      </c>
      <c r="T81" t="e">
        <f t="shared" si="9"/>
        <v>#VALUE!</v>
      </c>
      <c r="U81">
        <f t="shared" si="10"/>
        <v>20</v>
      </c>
    </row>
    <row r="82" spans="1:21" x14ac:dyDescent="0.25">
      <c r="A82" s="8"/>
      <c r="B82" s="8">
        <v>20598</v>
      </c>
      <c r="C82" s="9" t="s">
        <v>174</v>
      </c>
      <c r="D82" s="1" t="s">
        <v>25</v>
      </c>
      <c r="E82" s="10" t="s">
        <v>0</v>
      </c>
      <c r="F82" s="11">
        <v>39142</v>
      </c>
      <c r="G82" s="12">
        <v>45597</v>
      </c>
      <c r="H82" s="13" t="s">
        <v>1</v>
      </c>
      <c r="I82" s="8" t="s">
        <v>2</v>
      </c>
      <c r="J82" s="14"/>
      <c r="K82" s="15" t="s">
        <v>84</v>
      </c>
      <c r="L82" t="s">
        <v>90</v>
      </c>
      <c r="M82" t="s">
        <v>15</v>
      </c>
      <c r="N82" t="str">
        <f t="shared" si="8"/>
        <v>https://api.bcb.gov.br/dados/serie/bcdata.sgs.20598/dados?formato=json</v>
      </c>
      <c r="O82">
        <v>6</v>
      </c>
      <c r="P82" t="s">
        <v>19</v>
      </c>
      <c r="Q82" t="s">
        <v>19</v>
      </c>
      <c r="R82" t="s">
        <v>909</v>
      </c>
      <c r="S82" t="s">
        <v>622</v>
      </c>
      <c r="T82" t="e">
        <f t="shared" si="9"/>
        <v>#VALUE!</v>
      </c>
      <c r="U82">
        <f t="shared" si="10"/>
        <v>20</v>
      </c>
    </row>
    <row r="83" spans="1:21" x14ac:dyDescent="0.25">
      <c r="A83" s="1"/>
      <c r="B83" s="1">
        <v>20599</v>
      </c>
      <c r="C83" s="2" t="s">
        <v>175</v>
      </c>
      <c r="D83" s="1" t="s">
        <v>25</v>
      </c>
      <c r="E83" s="3" t="s">
        <v>0</v>
      </c>
      <c r="F83" s="4">
        <v>39142</v>
      </c>
      <c r="G83" s="5">
        <v>45597</v>
      </c>
      <c r="H83" s="6" t="s">
        <v>1</v>
      </c>
      <c r="I83" s="1" t="s">
        <v>2</v>
      </c>
      <c r="J83" s="7"/>
      <c r="K83" s="15" t="s">
        <v>84</v>
      </c>
      <c r="L83" t="s">
        <v>91</v>
      </c>
      <c r="M83" t="s">
        <v>15</v>
      </c>
      <c r="N83" t="str">
        <f t="shared" si="8"/>
        <v>https://api.bcb.gov.br/dados/serie/bcdata.sgs.20599/dados?formato=json</v>
      </c>
      <c r="O83">
        <v>6</v>
      </c>
      <c r="P83" t="s">
        <v>19</v>
      </c>
      <c r="Q83" t="s">
        <v>19</v>
      </c>
      <c r="R83" t="s">
        <v>910</v>
      </c>
      <c r="S83" t="s">
        <v>622</v>
      </c>
      <c r="T83" t="e">
        <f t="shared" si="9"/>
        <v>#VALUE!</v>
      </c>
      <c r="U83">
        <f t="shared" si="10"/>
        <v>20</v>
      </c>
    </row>
    <row r="84" spans="1:21" x14ac:dyDescent="0.25">
      <c r="A84" s="8"/>
      <c r="B84" s="8">
        <v>20600</v>
      </c>
      <c r="C84" s="9" t="s">
        <v>176</v>
      </c>
      <c r="D84" s="1" t="s">
        <v>25</v>
      </c>
      <c r="E84" s="10" t="s">
        <v>0</v>
      </c>
      <c r="F84" s="11">
        <v>39142</v>
      </c>
      <c r="G84" s="12">
        <v>45597</v>
      </c>
      <c r="H84" s="13" t="s">
        <v>1</v>
      </c>
      <c r="I84" s="8" t="s">
        <v>2</v>
      </c>
      <c r="J84" s="14"/>
      <c r="K84" s="15" t="s">
        <v>84</v>
      </c>
      <c r="L84" t="s">
        <v>92</v>
      </c>
      <c r="M84" t="s">
        <v>15</v>
      </c>
      <c r="N84" t="str">
        <f t="shared" si="8"/>
        <v>https://api.bcb.gov.br/dados/serie/bcdata.sgs.20600/dados?formato=json</v>
      </c>
      <c r="O84">
        <v>6</v>
      </c>
      <c r="P84" t="s">
        <v>19</v>
      </c>
      <c r="Q84" t="s">
        <v>19</v>
      </c>
      <c r="R84" t="s">
        <v>911</v>
      </c>
      <c r="S84" t="s">
        <v>622</v>
      </c>
      <c r="T84" t="e">
        <f t="shared" si="9"/>
        <v>#VALUE!</v>
      </c>
      <c r="U84">
        <f t="shared" si="10"/>
        <v>20</v>
      </c>
    </row>
    <row r="85" spans="1:21" x14ac:dyDescent="0.25">
      <c r="A85" s="1"/>
      <c r="B85" s="1">
        <v>20601</v>
      </c>
      <c r="C85" s="2" t="s">
        <v>177</v>
      </c>
      <c r="D85" s="1" t="s">
        <v>25</v>
      </c>
      <c r="E85" s="3" t="s">
        <v>0</v>
      </c>
      <c r="F85" s="4">
        <v>39142</v>
      </c>
      <c r="G85" s="5">
        <v>45597</v>
      </c>
      <c r="H85" s="6" t="s">
        <v>1</v>
      </c>
      <c r="I85" s="1" t="s">
        <v>2</v>
      </c>
      <c r="J85" s="7"/>
      <c r="K85" s="15" t="s">
        <v>84</v>
      </c>
      <c r="L85" t="s">
        <v>93</v>
      </c>
      <c r="M85" t="s">
        <v>15</v>
      </c>
      <c r="N85" t="str">
        <f t="shared" si="8"/>
        <v>https://api.bcb.gov.br/dados/serie/bcdata.sgs.20601/dados?formato=json</v>
      </c>
      <c r="O85">
        <v>6</v>
      </c>
      <c r="P85" t="s">
        <v>19</v>
      </c>
      <c r="Q85" t="s">
        <v>19</v>
      </c>
      <c r="R85" t="s">
        <v>912</v>
      </c>
      <c r="S85" t="s">
        <v>622</v>
      </c>
      <c r="T85" t="e">
        <f t="shared" si="9"/>
        <v>#VALUE!</v>
      </c>
      <c r="U85">
        <f t="shared" si="10"/>
        <v>20</v>
      </c>
    </row>
    <row r="86" spans="1:21" x14ac:dyDescent="0.25">
      <c r="A86" s="8"/>
      <c r="B86" s="8">
        <v>20602</v>
      </c>
      <c r="C86" s="9" t="s">
        <v>178</v>
      </c>
      <c r="D86" s="1" t="s">
        <v>25</v>
      </c>
      <c r="E86" s="10" t="s">
        <v>0</v>
      </c>
      <c r="F86" s="11">
        <v>39142</v>
      </c>
      <c r="G86" s="12">
        <v>45597</v>
      </c>
      <c r="H86" s="13" t="s">
        <v>1</v>
      </c>
      <c r="I86" s="8" t="s">
        <v>2</v>
      </c>
      <c r="J86" s="14"/>
      <c r="K86" s="15" t="s">
        <v>84</v>
      </c>
      <c r="L86" t="s">
        <v>94</v>
      </c>
      <c r="M86" t="s">
        <v>15</v>
      </c>
      <c r="N86" t="str">
        <f t="shared" si="8"/>
        <v>https://api.bcb.gov.br/dados/serie/bcdata.sgs.20602/dados?formato=json</v>
      </c>
      <c r="O86">
        <v>6</v>
      </c>
      <c r="P86" t="s">
        <v>19</v>
      </c>
      <c r="Q86" t="s">
        <v>19</v>
      </c>
      <c r="R86" t="s">
        <v>913</v>
      </c>
      <c r="S86" t="s">
        <v>622</v>
      </c>
      <c r="T86" t="e">
        <f t="shared" si="9"/>
        <v>#VALUE!</v>
      </c>
      <c r="U86">
        <f t="shared" si="10"/>
        <v>20</v>
      </c>
    </row>
    <row r="87" spans="1:21" x14ac:dyDescent="0.25">
      <c r="A87" s="1"/>
      <c r="B87" s="1">
        <v>20603</v>
      </c>
      <c r="C87" s="2" t="s">
        <v>179</v>
      </c>
      <c r="D87" s="1" t="s">
        <v>25</v>
      </c>
      <c r="E87" s="3" t="s">
        <v>0</v>
      </c>
      <c r="F87" s="4">
        <v>39142</v>
      </c>
      <c r="G87" s="5">
        <v>45597</v>
      </c>
      <c r="H87" s="6" t="s">
        <v>1</v>
      </c>
      <c r="I87" s="1" t="s">
        <v>2</v>
      </c>
      <c r="J87" s="7"/>
      <c r="K87" s="15" t="s">
        <v>84</v>
      </c>
      <c r="L87" t="s">
        <v>95</v>
      </c>
      <c r="M87" t="s">
        <v>15</v>
      </c>
      <c r="N87" t="str">
        <f t="shared" si="8"/>
        <v>https://api.bcb.gov.br/dados/serie/bcdata.sgs.20603/dados?formato=json</v>
      </c>
      <c r="O87">
        <v>6</v>
      </c>
      <c r="P87" t="s">
        <v>19</v>
      </c>
      <c r="Q87" t="s">
        <v>19</v>
      </c>
      <c r="R87" t="s">
        <v>914</v>
      </c>
      <c r="S87" t="s">
        <v>622</v>
      </c>
      <c r="T87" t="e">
        <f t="shared" si="9"/>
        <v>#VALUE!</v>
      </c>
      <c r="U87">
        <f t="shared" si="10"/>
        <v>20</v>
      </c>
    </row>
    <row r="88" spans="1:21" x14ac:dyDescent="0.25">
      <c r="A88" s="8"/>
      <c r="B88" s="8">
        <v>20604</v>
      </c>
      <c r="C88" s="9" t="s">
        <v>180</v>
      </c>
      <c r="D88" s="1" t="s">
        <v>25</v>
      </c>
      <c r="E88" s="10" t="s">
        <v>0</v>
      </c>
      <c r="F88" s="11">
        <v>39142</v>
      </c>
      <c r="G88" s="12">
        <v>45597</v>
      </c>
      <c r="H88" s="13" t="s">
        <v>1</v>
      </c>
      <c r="I88" s="8" t="s">
        <v>2</v>
      </c>
      <c r="J88" s="14"/>
      <c r="K88" s="15" t="s">
        <v>84</v>
      </c>
      <c r="L88" t="s">
        <v>96</v>
      </c>
      <c r="M88" t="s">
        <v>15</v>
      </c>
      <c r="N88" t="str">
        <f t="shared" si="8"/>
        <v>https://api.bcb.gov.br/dados/serie/bcdata.sgs.20604/dados?formato=json</v>
      </c>
      <c r="O88">
        <v>6</v>
      </c>
      <c r="P88" t="s">
        <v>19</v>
      </c>
      <c r="Q88" t="s">
        <v>19</v>
      </c>
      <c r="R88" t="s">
        <v>915</v>
      </c>
      <c r="S88" t="s">
        <v>622</v>
      </c>
      <c r="T88" t="e">
        <f t="shared" si="9"/>
        <v>#VALUE!</v>
      </c>
      <c r="U88">
        <f t="shared" si="10"/>
        <v>20</v>
      </c>
    </row>
    <row r="89" spans="1:21" x14ac:dyDescent="0.25">
      <c r="A89" s="1"/>
      <c r="B89" s="1">
        <v>20605</v>
      </c>
      <c r="C89" s="2" t="s">
        <v>181</v>
      </c>
      <c r="D89" s="1" t="s">
        <v>25</v>
      </c>
      <c r="E89" s="3" t="s">
        <v>0</v>
      </c>
      <c r="F89" s="4">
        <v>39142</v>
      </c>
      <c r="G89" s="5">
        <v>45597</v>
      </c>
      <c r="H89" s="6" t="s">
        <v>1</v>
      </c>
      <c r="I89" s="1" t="s">
        <v>2</v>
      </c>
      <c r="J89" s="7"/>
      <c r="K89" s="15" t="s">
        <v>84</v>
      </c>
      <c r="L89" t="s">
        <v>97</v>
      </c>
      <c r="M89" t="s">
        <v>15</v>
      </c>
      <c r="N89" t="str">
        <f t="shared" si="8"/>
        <v>https://api.bcb.gov.br/dados/serie/bcdata.sgs.20605/dados?formato=json</v>
      </c>
      <c r="O89">
        <v>6</v>
      </c>
      <c r="P89" t="s">
        <v>19</v>
      </c>
      <c r="Q89" t="s">
        <v>19</v>
      </c>
      <c r="R89" t="s">
        <v>916</v>
      </c>
      <c r="S89" t="s">
        <v>622</v>
      </c>
      <c r="T89" t="e">
        <f t="shared" si="9"/>
        <v>#VALUE!</v>
      </c>
      <c r="U89">
        <f t="shared" si="10"/>
        <v>20</v>
      </c>
    </row>
    <row r="90" spans="1:21" x14ac:dyDescent="0.25">
      <c r="A90" s="8"/>
      <c r="B90" s="8">
        <v>20606</v>
      </c>
      <c r="C90" s="9" t="s">
        <v>120</v>
      </c>
      <c r="D90" s="1" t="s">
        <v>25</v>
      </c>
      <c r="E90" s="10" t="s">
        <v>0</v>
      </c>
      <c r="F90" s="11">
        <v>39142</v>
      </c>
      <c r="G90" s="12">
        <v>45597</v>
      </c>
      <c r="H90" s="13" t="s">
        <v>1</v>
      </c>
      <c r="I90" s="8" t="s">
        <v>2</v>
      </c>
      <c r="J90" s="14"/>
      <c r="K90" s="15" t="s">
        <v>84</v>
      </c>
      <c r="L90" t="s">
        <v>99</v>
      </c>
      <c r="M90" t="s">
        <v>15</v>
      </c>
      <c r="N90" t="str">
        <f t="shared" si="8"/>
        <v>https://api.bcb.gov.br/dados/serie/bcdata.sgs.20606/dados?formato=json</v>
      </c>
      <c r="O90">
        <v>6</v>
      </c>
      <c r="P90" t="s">
        <v>19</v>
      </c>
      <c r="Q90" t="s">
        <v>19</v>
      </c>
      <c r="R90" t="s">
        <v>118</v>
      </c>
      <c r="S90" t="s">
        <v>621</v>
      </c>
      <c r="T90" t="e">
        <f t="shared" si="9"/>
        <v>#VALUE!</v>
      </c>
      <c r="U90">
        <f t="shared" ref="U90:U107" si="11">LEN("Pessoas físicas - ")</f>
        <v>18</v>
      </c>
    </row>
    <row r="91" spans="1:21" x14ac:dyDescent="0.25">
      <c r="A91" s="1"/>
      <c r="B91" s="1">
        <v>20607</v>
      </c>
      <c r="C91" s="2" t="s">
        <v>182</v>
      </c>
      <c r="D91" s="1" t="s">
        <v>25</v>
      </c>
      <c r="E91" s="3" t="s">
        <v>0</v>
      </c>
      <c r="F91" s="4">
        <v>39142</v>
      </c>
      <c r="G91" s="5">
        <v>45597</v>
      </c>
      <c r="H91" s="6" t="s">
        <v>1</v>
      </c>
      <c r="I91" s="1" t="s">
        <v>2</v>
      </c>
      <c r="J91" s="7"/>
      <c r="K91" s="15" t="s">
        <v>84</v>
      </c>
      <c r="L91" t="s">
        <v>100</v>
      </c>
      <c r="M91" t="s">
        <v>15</v>
      </c>
      <c r="N91" t="str">
        <f t="shared" si="8"/>
        <v>https://api.bcb.gov.br/dados/serie/bcdata.sgs.20607/dados?formato=json</v>
      </c>
      <c r="O91">
        <v>6</v>
      </c>
      <c r="P91" t="s">
        <v>19</v>
      </c>
      <c r="Q91" t="s">
        <v>19</v>
      </c>
      <c r="R91" t="s">
        <v>906</v>
      </c>
      <c r="S91" t="s">
        <v>621</v>
      </c>
      <c r="T91" t="e">
        <f t="shared" si="9"/>
        <v>#VALUE!</v>
      </c>
      <c r="U91">
        <f t="shared" si="11"/>
        <v>18</v>
      </c>
    </row>
    <row r="92" spans="1:21" x14ac:dyDescent="0.25">
      <c r="A92" s="8"/>
      <c r="B92" s="8">
        <v>20608</v>
      </c>
      <c r="C92" s="9" t="s">
        <v>183</v>
      </c>
      <c r="D92" s="1" t="s">
        <v>25</v>
      </c>
      <c r="E92" s="10" t="s">
        <v>0</v>
      </c>
      <c r="F92" s="11">
        <v>39142</v>
      </c>
      <c r="G92" s="12">
        <v>45597</v>
      </c>
      <c r="H92" s="13" t="s">
        <v>1</v>
      </c>
      <c r="I92" s="8" t="s">
        <v>2</v>
      </c>
      <c r="J92" s="14"/>
      <c r="K92" s="15" t="s">
        <v>84</v>
      </c>
      <c r="L92" t="s">
        <v>101</v>
      </c>
      <c r="M92" t="s">
        <v>15</v>
      </c>
      <c r="N92" t="str">
        <f t="shared" si="8"/>
        <v>https://api.bcb.gov.br/dados/serie/bcdata.sgs.20608/dados?formato=json</v>
      </c>
      <c r="O92">
        <v>6</v>
      </c>
      <c r="P92" t="s">
        <v>19</v>
      </c>
      <c r="Q92" t="s">
        <v>19</v>
      </c>
      <c r="R92" t="s">
        <v>907</v>
      </c>
      <c r="S92" t="s">
        <v>621</v>
      </c>
      <c r="T92" t="e">
        <f t="shared" si="9"/>
        <v>#VALUE!</v>
      </c>
      <c r="U92">
        <f t="shared" si="11"/>
        <v>18</v>
      </c>
    </row>
    <row r="93" spans="1:21" x14ac:dyDescent="0.25">
      <c r="A93" s="1"/>
      <c r="B93" s="1">
        <v>20609</v>
      </c>
      <c r="C93" s="2" t="s">
        <v>184</v>
      </c>
      <c r="D93" s="1" t="s">
        <v>25</v>
      </c>
      <c r="E93" s="3" t="s">
        <v>0</v>
      </c>
      <c r="F93" s="4">
        <v>39142</v>
      </c>
      <c r="G93" s="5">
        <v>45597</v>
      </c>
      <c r="H93" s="6" t="s">
        <v>1</v>
      </c>
      <c r="I93" s="1" t="s">
        <v>2</v>
      </c>
      <c r="J93" s="7"/>
      <c r="K93" s="15" t="s">
        <v>84</v>
      </c>
      <c r="L93" t="s">
        <v>102</v>
      </c>
      <c r="M93" t="s">
        <v>15</v>
      </c>
      <c r="N93" t="str">
        <f t="shared" ref="N93:N107" si="12">_xlfn.CONCAT("https://api.bcb.gov.br/dados/serie/bcdata.sgs.",B93,"/dados?formato=json")</f>
        <v>https://api.bcb.gov.br/dados/serie/bcdata.sgs.20609/dados?formato=json</v>
      </c>
      <c r="O93">
        <v>6</v>
      </c>
      <c r="P93" t="s">
        <v>19</v>
      </c>
      <c r="Q93" t="s">
        <v>19</v>
      </c>
      <c r="R93" t="s">
        <v>908</v>
      </c>
      <c r="S93" t="s">
        <v>621</v>
      </c>
      <c r="T93" t="e">
        <f t="shared" si="9"/>
        <v>#VALUE!</v>
      </c>
      <c r="U93">
        <f t="shared" si="11"/>
        <v>18</v>
      </c>
    </row>
    <row r="94" spans="1:21" x14ac:dyDescent="0.25">
      <c r="A94" s="8"/>
      <c r="B94" s="8">
        <v>20610</v>
      </c>
      <c r="C94" s="9" t="s">
        <v>185</v>
      </c>
      <c r="D94" s="1" t="s">
        <v>25</v>
      </c>
      <c r="E94" s="10" t="s">
        <v>0</v>
      </c>
      <c r="F94" s="11">
        <v>39142</v>
      </c>
      <c r="G94" s="12">
        <v>45597</v>
      </c>
      <c r="H94" s="13" t="s">
        <v>1</v>
      </c>
      <c r="I94" s="8" t="s">
        <v>2</v>
      </c>
      <c r="J94" s="14"/>
      <c r="K94" s="15" t="s">
        <v>84</v>
      </c>
      <c r="L94" t="s">
        <v>103</v>
      </c>
      <c r="M94" t="s">
        <v>15</v>
      </c>
      <c r="N94" t="str">
        <f t="shared" si="12"/>
        <v>https://api.bcb.gov.br/dados/serie/bcdata.sgs.20610/dados?formato=json</v>
      </c>
      <c r="O94">
        <v>6</v>
      </c>
      <c r="P94" t="s">
        <v>19</v>
      </c>
      <c r="Q94" t="s">
        <v>19</v>
      </c>
      <c r="R94" t="s">
        <v>909</v>
      </c>
      <c r="S94" t="s">
        <v>621</v>
      </c>
      <c r="T94" t="e">
        <f t="shared" si="9"/>
        <v>#VALUE!</v>
      </c>
      <c r="U94">
        <f t="shared" si="11"/>
        <v>18</v>
      </c>
    </row>
    <row r="95" spans="1:21" x14ac:dyDescent="0.25">
      <c r="A95" s="1"/>
      <c r="B95" s="1">
        <v>20611</v>
      </c>
      <c r="C95" s="2" t="s">
        <v>186</v>
      </c>
      <c r="D95" s="1" t="s">
        <v>25</v>
      </c>
      <c r="E95" s="3" t="s">
        <v>0</v>
      </c>
      <c r="F95" s="4">
        <v>39142</v>
      </c>
      <c r="G95" s="5">
        <v>45597</v>
      </c>
      <c r="H95" s="6" t="s">
        <v>1</v>
      </c>
      <c r="I95" s="1" t="s">
        <v>2</v>
      </c>
      <c r="J95" s="7"/>
      <c r="K95" s="15" t="s">
        <v>84</v>
      </c>
      <c r="L95" t="s">
        <v>104</v>
      </c>
      <c r="M95" t="s">
        <v>15</v>
      </c>
      <c r="N95" t="str">
        <f t="shared" si="12"/>
        <v>https://api.bcb.gov.br/dados/serie/bcdata.sgs.20611/dados?formato=json</v>
      </c>
      <c r="O95">
        <v>6</v>
      </c>
      <c r="P95" t="s">
        <v>19</v>
      </c>
      <c r="Q95" t="s">
        <v>19</v>
      </c>
      <c r="R95" t="s">
        <v>910</v>
      </c>
      <c r="S95" t="s">
        <v>621</v>
      </c>
      <c r="T95" t="e">
        <f t="shared" si="9"/>
        <v>#VALUE!</v>
      </c>
      <c r="U95">
        <f t="shared" si="11"/>
        <v>18</v>
      </c>
    </row>
    <row r="96" spans="1:21" x14ac:dyDescent="0.25">
      <c r="A96" s="8"/>
      <c r="B96" s="8">
        <v>20612</v>
      </c>
      <c r="C96" s="9" t="s">
        <v>187</v>
      </c>
      <c r="D96" s="1" t="s">
        <v>25</v>
      </c>
      <c r="E96" s="10" t="s">
        <v>0</v>
      </c>
      <c r="F96" s="11">
        <v>39142</v>
      </c>
      <c r="G96" s="12">
        <v>45597</v>
      </c>
      <c r="H96" s="13" t="s">
        <v>1</v>
      </c>
      <c r="I96" s="8" t="s">
        <v>2</v>
      </c>
      <c r="J96" s="14"/>
      <c r="K96" s="15" t="s">
        <v>84</v>
      </c>
      <c r="L96" t="s">
        <v>105</v>
      </c>
      <c r="M96" t="s">
        <v>15</v>
      </c>
      <c r="N96" t="str">
        <f t="shared" si="12"/>
        <v>https://api.bcb.gov.br/dados/serie/bcdata.sgs.20612/dados?formato=json</v>
      </c>
      <c r="O96">
        <v>6</v>
      </c>
      <c r="P96" t="s">
        <v>19</v>
      </c>
      <c r="Q96" t="s">
        <v>19</v>
      </c>
      <c r="R96" t="s">
        <v>911</v>
      </c>
      <c r="S96" t="s">
        <v>621</v>
      </c>
      <c r="T96" t="e">
        <f t="shared" si="9"/>
        <v>#VALUE!</v>
      </c>
      <c r="U96">
        <f t="shared" si="11"/>
        <v>18</v>
      </c>
    </row>
    <row r="97" spans="1:21" x14ac:dyDescent="0.25">
      <c r="A97" s="1"/>
      <c r="B97" s="1">
        <v>20613</v>
      </c>
      <c r="C97" s="2" t="s">
        <v>188</v>
      </c>
      <c r="D97" s="1" t="s">
        <v>25</v>
      </c>
      <c r="E97" s="3" t="s">
        <v>0</v>
      </c>
      <c r="F97" s="4">
        <v>40603</v>
      </c>
      <c r="G97" s="5">
        <v>45597</v>
      </c>
      <c r="H97" s="6" t="s">
        <v>1</v>
      </c>
      <c r="I97" s="1" t="s">
        <v>2</v>
      </c>
      <c r="J97" s="7"/>
      <c r="K97" s="15" t="s">
        <v>84</v>
      </c>
      <c r="L97" t="s">
        <v>106</v>
      </c>
      <c r="M97" t="s">
        <v>15</v>
      </c>
      <c r="N97" t="str">
        <f t="shared" si="12"/>
        <v>https://api.bcb.gov.br/dados/serie/bcdata.sgs.20613/dados?formato=json</v>
      </c>
      <c r="O97">
        <v>6</v>
      </c>
      <c r="P97" t="s">
        <v>19</v>
      </c>
      <c r="Q97" t="s">
        <v>19</v>
      </c>
      <c r="R97" t="s">
        <v>912</v>
      </c>
      <c r="S97" t="s">
        <v>621</v>
      </c>
      <c r="T97" t="e">
        <f t="shared" si="9"/>
        <v>#VALUE!</v>
      </c>
      <c r="U97">
        <f t="shared" si="11"/>
        <v>18</v>
      </c>
    </row>
    <row r="98" spans="1:21" x14ac:dyDescent="0.25">
      <c r="A98" s="8"/>
      <c r="B98" s="8">
        <v>20614</v>
      </c>
      <c r="C98" s="9" t="s">
        <v>189</v>
      </c>
      <c r="D98" s="1" t="s">
        <v>25</v>
      </c>
      <c r="E98" s="10" t="s">
        <v>0</v>
      </c>
      <c r="F98" s="11">
        <v>39142</v>
      </c>
      <c r="G98" s="12">
        <v>45597</v>
      </c>
      <c r="H98" s="13" t="s">
        <v>1</v>
      </c>
      <c r="I98" s="8" t="s">
        <v>2</v>
      </c>
      <c r="J98" s="14"/>
      <c r="K98" s="15" t="s">
        <v>84</v>
      </c>
      <c r="L98" t="s">
        <v>107</v>
      </c>
      <c r="M98" t="s">
        <v>15</v>
      </c>
      <c r="N98" t="str">
        <f t="shared" si="12"/>
        <v>https://api.bcb.gov.br/dados/serie/bcdata.sgs.20614/dados?formato=json</v>
      </c>
      <c r="O98">
        <v>6</v>
      </c>
      <c r="P98" t="s">
        <v>19</v>
      </c>
      <c r="Q98" t="s">
        <v>19</v>
      </c>
      <c r="R98" t="s">
        <v>913</v>
      </c>
      <c r="S98" t="s">
        <v>621</v>
      </c>
      <c r="T98" t="e">
        <f t="shared" si="9"/>
        <v>#VALUE!</v>
      </c>
      <c r="U98">
        <f t="shared" si="11"/>
        <v>18</v>
      </c>
    </row>
    <row r="99" spans="1:21" x14ac:dyDescent="0.25">
      <c r="A99" s="1"/>
      <c r="B99" s="1">
        <v>20615</v>
      </c>
      <c r="C99" s="2" t="s">
        <v>190</v>
      </c>
      <c r="D99" s="1" t="s">
        <v>25</v>
      </c>
      <c r="E99" s="3" t="s">
        <v>0</v>
      </c>
      <c r="F99" s="4">
        <v>39142</v>
      </c>
      <c r="G99" s="5">
        <v>45597</v>
      </c>
      <c r="H99" s="6" t="s">
        <v>1</v>
      </c>
      <c r="I99" s="1" t="s">
        <v>2</v>
      </c>
      <c r="J99" s="7"/>
      <c r="K99" s="15" t="s">
        <v>84</v>
      </c>
      <c r="L99" t="s">
        <v>108</v>
      </c>
      <c r="M99" t="s">
        <v>15</v>
      </c>
      <c r="N99" t="str">
        <f t="shared" si="12"/>
        <v>https://api.bcb.gov.br/dados/serie/bcdata.sgs.20615/dados?formato=json</v>
      </c>
      <c r="O99">
        <v>6</v>
      </c>
      <c r="P99" t="s">
        <v>19</v>
      </c>
      <c r="Q99" t="s">
        <v>19</v>
      </c>
      <c r="R99" t="s">
        <v>914</v>
      </c>
      <c r="S99" t="s">
        <v>621</v>
      </c>
      <c r="T99" t="e">
        <f t="shared" si="9"/>
        <v>#VALUE!</v>
      </c>
      <c r="U99">
        <f t="shared" si="11"/>
        <v>18</v>
      </c>
    </row>
    <row r="100" spans="1:21" x14ac:dyDescent="0.25">
      <c r="A100" s="8"/>
      <c r="B100" s="8">
        <v>20616</v>
      </c>
      <c r="C100" s="9" t="s">
        <v>191</v>
      </c>
      <c r="D100" s="1" t="s">
        <v>25</v>
      </c>
      <c r="E100" s="10" t="s">
        <v>0</v>
      </c>
      <c r="F100" s="11">
        <v>39142</v>
      </c>
      <c r="G100" s="12">
        <v>45597</v>
      </c>
      <c r="H100" s="13" t="s">
        <v>1</v>
      </c>
      <c r="I100" s="8" t="s">
        <v>2</v>
      </c>
      <c r="J100" s="14"/>
      <c r="K100" s="15" t="s">
        <v>84</v>
      </c>
      <c r="L100" t="s">
        <v>109</v>
      </c>
      <c r="M100" t="s">
        <v>15</v>
      </c>
      <c r="N100" t="str">
        <f t="shared" si="12"/>
        <v>https://api.bcb.gov.br/dados/serie/bcdata.sgs.20616/dados?formato=json</v>
      </c>
      <c r="O100">
        <v>6</v>
      </c>
      <c r="P100" t="s">
        <v>19</v>
      </c>
      <c r="Q100" t="s">
        <v>19</v>
      </c>
      <c r="R100" t="s">
        <v>915</v>
      </c>
      <c r="S100" t="s">
        <v>621</v>
      </c>
      <c r="T100" t="e">
        <f t="shared" si="9"/>
        <v>#VALUE!</v>
      </c>
      <c r="U100">
        <f t="shared" si="11"/>
        <v>18</v>
      </c>
    </row>
    <row r="101" spans="1:21" x14ac:dyDescent="0.25">
      <c r="A101" s="1"/>
      <c r="B101" s="1">
        <v>20617</v>
      </c>
      <c r="C101" s="2" t="s">
        <v>192</v>
      </c>
      <c r="D101" s="1" t="s">
        <v>25</v>
      </c>
      <c r="E101" s="3" t="s">
        <v>0</v>
      </c>
      <c r="F101" s="4">
        <v>39142</v>
      </c>
      <c r="G101" s="5">
        <v>45597</v>
      </c>
      <c r="H101" s="6" t="s">
        <v>1</v>
      </c>
      <c r="I101" s="1" t="s">
        <v>2</v>
      </c>
      <c r="J101" s="7"/>
      <c r="K101" s="15" t="s">
        <v>84</v>
      </c>
      <c r="L101" t="s">
        <v>110</v>
      </c>
      <c r="M101" t="s">
        <v>15</v>
      </c>
      <c r="N101" t="str">
        <f t="shared" si="12"/>
        <v>https://api.bcb.gov.br/dados/serie/bcdata.sgs.20617/dados?formato=json</v>
      </c>
      <c r="O101">
        <v>6</v>
      </c>
      <c r="P101" t="s">
        <v>19</v>
      </c>
      <c r="Q101" t="s">
        <v>19</v>
      </c>
      <c r="R101" t="s">
        <v>917</v>
      </c>
      <c r="S101" t="s">
        <v>621</v>
      </c>
      <c r="T101" t="e">
        <f t="shared" si="9"/>
        <v>#VALUE!</v>
      </c>
      <c r="U101">
        <f t="shared" si="11"/>
        <v>18</v>
      </c>
    </row>
    <row r="102" spans="1:21" x14ac:dyDescent="0.25">
      <c r="A102" s="8"/>
      <c r="B102" s="8">
        <v>20618</v>
      </c>
      <c r="C102" s="9" t="s">
        <v>193</v>
      </c>
      <c r="D102" s="1" t="s">
        <v>25</v>
      </c>
      <c r="E102" s="10" t="s">
        <v>0</v>
      </c>
      <c r="F102" s="11">
        <v>39142</v>
      </c>
      <c r="G102" s="12">
        <v>45597</v>
      </c>
      <c r="H102" s="13" t="s">
        <v>1</v>
      </c>
      <c r="I102" s="8" t="s">
        <v>2</v>
      </c>
      <c r="J102" s="14"/>
      <c r="K102" s="15" t="s">
        <v>84</v>
      </c>
      <c r="L102" t="s">
        <v>111</v>
      </c>
      <c r="M102" t="s">
        <v>15</v>
      </c>
      <c r="N102" t="str">
        <f t="shared" si="12"/>
        <v>https://api.bcb.gov.br/dados/serie/bcdata.sgs.20618/dados?formato=json</v>
      </c>
      <c r="O102">
        <v>6</v>
      </c>
      <c r="P102" t="s">
        <v>19</v>
      </c>
      <c r="Q102" t="s">
        <v>19</v>
      </c>
      <c r="R102" t="s">
        <v>918</v>
      </c>
      <c r="S102" t="s">
        <v>621</v>
      </c>
      <c r="T102" t="e">
        <f t="shared" si="9"/>
        <v>#VALUE!</v>
      </c>
      <c r="U102">
        <f t="shared" si="11"/>
        <v>18</v>
      </c>
    </row>
    <row r="103" spans="1:21" x14ac:dyDescent="0.25">
      <c r="A103" s="1"/>
      <c r="B103" s="1">
        <v>20620</v>
      </c>
      <c r="C103" s="2" t="s">
        <v>194</v>
      </c>
      <c r="D103" s="1" t="s">
        <v>25</v>
      </c>
      <c r="E103" s="3" t="s">
        <v>0</v>
      </c>
      <c r="F103" s="4">
        <v>39142</v>
      </c>
      <c r="G103" s="5">
        <v>45597</v>
      </c>
      <c r="H103" s="6" t="s">
        <v>1</v>
      </c>
      <c r="I103" s="1" t="s">
        <v>2</v>
      </c>
      <c r="J103" s="7"/>
      <c r="K103" s="15" t="s">
        <v>84</v>
      </c>
      <c r="L103" t="s">
        <v>112</v>
      </c>
      <c r="M103" t="s">
        <v>15</v>
      </c>
      <c r="N103" t="str">
        <f t="shared" si="12"/>
        <v>https://api.bcb.gov.br/dados/serie/bcdata.sgs.20620/dados?formato=json</v>
      </c>
      <c r="O103">
        <v>6</v>
      </c>
      <c r="P103" t="s">
        <v>19</v>
      </c>
      <c r="Q103" t="s">
        <v>19</v>
      </c>
      <c r="R103" t="s">
        <v>919</v>
      </c>
      <c r="S103" t="s">
        <v>621</v>
      </c>
      <c r="T103" t="e">
        <f t="shared" si="9"/>
        <v>#VALUE!</v>
      </c>
      <c r="U103">
        <f t="shared" si="11"/>
        <v>18</v>
      </c>
    </row>
    <row r="104" spans="1:21" x14ac:dyDescent="0.25">
      <c r="A104" s="8"/>
      <c r="B104" s="8">
        <v>20621</v>
      </c>
      <c r="C104" s="9" t="s">
        <v>195</v>
      </c>
      <c r="D104" s="1" t="s">
        <v>25</v>
      </c>
      <c r="E104" s="10" t="s">
        <v>0</v>
      </c>
      <c r="F104" s="11">
        <v>39142</v>
      </c>
      <c r="G104" s="12">
        <v>45597</v>
      </c>
      <c r="H104" s="13" t="s">
        <v>1</v>
      </c>
      <c r="I104" s="8" t="s">
        <v>2</v>
      </c>
      <c r="J104" s="14"/>
      <c r="K104" s="15" t="s">
        <v>84</v>
      </c>
      <c r="L104" t="s">
        <v>98</v>
      </c>
      <c r="M104" t="s">
        <v>15</v>
      </c>
      <c r="N104" t="str">
        <f t="shared" si="12"/>
        <v>https://api.bcb.gov.br/dados/serie/bcdata.sgs.20621/dados?formato=json</v>
      </c>
      <c r="O104">
        <v>6</v>
      </c>
      <c r="P104" t="s">
        <v>19</v>
      </c>
      <c r="Q104" t="s">
        <v>19</v>
      </c>
      <c r="R104" t="s">
        <v>916</v>
      </c>
      <c r="S104" t="s">
        <v>621</v>
      </c>
      <c r="T104" t="e">
        <f t="shared" si="9"/>
        <v>#VALUE!</v>
      </c>
      <c r="U104">
        <f t="shared" si="11"/>
        <v>18</v>
      </c>
    </row>
    <row r="105" spans="1:21" x14ac:dyDescent="0.25">
      <c r="A105" s="1"/>
      <c r="B105" s="1">
        <v>21359</v>
      </c>
      <c r="C105" s="2" t="s">
        <v>196</v>
      </c>
      <c r="D105" s="1" t="s">
        <v>25</v>
      </c>
      <c r="E105" s="3" t="s">
        <v>0</v>
      </c>
      <c r="F105" s="4">
        <v>39142</v>
      </c>
      <c r="G105" s="5">
        <v>45597</v>
      </c>
      <c r="H105" s="6" t="s">
        <v>1</v>
      </c>
      <c r="I105" s="1" t="s">
        <v>2</v>
      </c>
      <c r="J105" s="7"/>
      <c r="K105" s="15" t="s">
        <v>84</v>
      </c>
      <c r="L105" t="s">
        <v>114</v>
      </c>
      <c r="M105" t="s">
        <v>15</v>
      </c>
      <c r="N105" t="str">
        <f t="shared" si="12"/>
        <v>https://api.bcb.gov.br/dados/serie/bcdata.sgs.21359/dados?formato=json</v>
      </c>
      <c r="O105">
        <v>6</v>
      </c>
      <c r="P105" t="s">
        <v>19</v>
      </c>
      <c r="Q105" t="s">
        <v>19</v>
      </c>
      <c r="R105" t="s">
        <v>920</v>
      </c>
      <c r="S105" t="s">
        <v>622</v>
      </c>
      <c r="T105" t="e">
        <f t="shared" si="9"/>
        <v>#VALUE!</v>
      </c>
      <c r="U105">
        <f t="shared" ref="U105:U106" si="13">LEN("Pessoas jurídicas - ")</f>
        <v>20</v>
      </c>
    </row>
    <row r="106" spans="1:21" x14ac:dyDescent="0.25">
      <c r="A106" s="8"/>
      <c r="B106" s="8">
        <v>21360</v>
      </c>
      <c r="C106" s="9" t="s">
        <v>197</v>
      </c>
      <c r="D106" s="1" t="s">
        <v>25</v>
      </c>
      <c r="E106" s="10" t="s">
        <v>0</v>
      </c>
      <c r="F106" s="11">
        <v>39142</v>
      </c>
      <c r="G106" s="12">
        <v>45597</v>
      </c>
      <c r="H106" s="13" t="s">
        <v>1</v>
      </c>
      <c r="I106" s="8" t="s">
        <v>2</v>
      </c>
      <c r="J106" s="14"/>
      <c r="K106" s="15" t="s">
        <v>84</v>
      </c>
      <c r="L106" t="s">
        <v>115</v>
      </c>
      <c r="M106" t="s">
        <v>15</v>
      </c>
      <c r="N106" t="str">
        <f t="shared" si="12"/>
        <v>https://api.bcb.gov.br/dados/serie/bcdata.sgs.21360/dados?formato=json</v>
      </c>
      <c r="O106">
        <v>6</v>
      </c>
      <c r="P106" t="s">
        <v>19</v>
      </c>
      <c r="Q106" t="s">
        <v>19</v>
      </c>
      <c r="R106" t="s">
        <v>921</v>
      </c>
      <c r="S106" t="s">
        <v>622</v>
      </c>
      <c r="T106" t="e">
        <f t="shared" si="9"/>
        <v>#VALUE!</v>
      </c>
      <c r="U106">
        <f t="shared" si="13"/>
        <v>20</v>
      </c>
    </row>
    <row r="107" spans="1:21" x14ac:dyDescent="0.25">
      <c r="A107" s="1"/>
      <c r="B107" s="1">
        <v>21362</v>
      </c>
      <c r="C107" s="2" t="s">
        <v>198</v>
      </c>
      <c r="D107" s="1" t="s">
        <v>25</v>
      </c>
      <c r="E107" s="3" t="s">
        <v>0</v>
      </c>
      <c r="F107" s="4">
        <v>39142</v>
      </c>
      <c r="G107" s="5">
        <v>45597</v>
      </c>
      <c r="H107" s="6" t="s">
        <v>1</v>
      </c>
      <c r="I107" s="1" t="s">
        <v>2</v>
      </c>
      <c r="J107" s="7"/>
      <c r="K107" s="15" t="s">
        <v>84</v>
      </c>
      <c r="L107" t="s">
        <v>113</v>
      </c>
      <c r="M107" t="s">
        <v>15</v>
      </c>
      <c r="N107" t="str">
        <f t="shared" si="12"/>
        <v>https://api.bcb.gov.br/dados/serie/bcdata.sgs.21362/dados?formato=json</v>
      </c>
      <c r="O107">
        <v>6</v>
      </c>
      <c r="P107" t="s">
        <v>19</v>
      </c>
      <c r="Q107" t="s">
        <v>19</v>
      </c>
      <c r="R107" t="s">
        <v>921</v>
      </c>
      <c r="S107" t="s">
        <v>621</v>
      </c>
      <c r="T107" t="e">
        <f t="shared" si="9"/>
        <v>#VALUE!</v>
      </c>
      <c r="U107">
        <f t="shared" si="11"/>
        <v>18</v>
      </c>
    </row>
    <row r="108" spans="1:21" x14ac:dyDescent="0.25">
      <c r="A108" s="1"/>
      <c r="B108" s="1">
        <v>27702</v>
      </c>
      <c r="C108" s="2" t="s">
        <v>199</v>
      </c>
      <c r="D108" s="1" t="s">
        <v>25</v>
      </c>
      <c r="E108" s="3" t="s">
        <v>0</v>
      </c>
      <c r="F108" s="4">
        <v>40909</v>
      </c>
      <c r="G108" s="5">
        <v>45597</v>
      </c>
      <c r="H108" s="6" t="s">
        <v>1</v>
      </c>
      <c r="I108" s="1" t="s">
        <v>2</v>
      </c>
      <c r="J108" s="7"/>
      <c r="K108" s="15" t="s">
        <v>116</v>
      </c>
      <c r="L108" t="s">
        <v>117</v>
      </c>
      <c r="M108" t="s">
        <v>15</v>
      </c>
      <c r="N108" t="str">
        <f t="shared" ref="N108:N127" si="14">_xlfn.CONCAT("https://api.bcb.gov.br/dados/serie/bcdata.sgs.",B108,"/dados?formato=json")</f>
        <v>https://api.bcb.gov.br/dados/serie/bcdata.sgs.27702/dados?formato=json</v>
      </c>
      <c r="O108">
        <v>6</v>
      </c>
      <c r="P108" t="s">
        <v>19</v>
      </c>
      <c r="Q108" t="s">
        <v>19</v>
      </c>
      <c r="R108" t="s">
        <v>118</v>
      </c>
      <c r="S108" t="s">
        <v>199</v>
      </c>
    </row>
    <row r="109" spans="1:21" x14ac:dyDescent="0.25">
      <c r="A109" s="8"/>
      <c r="B109" s="8">
        <v>27701</v>
      </c>
      <c r="C109" s="9" t="s">
        <v>200</v>
      </c>
      <c r="D109" s="1" t="s">
        <v>25</v>
      </c>
      <c r="E109" s="10" t="s">
        <v>0</v>
      </c>
      <c r="F109" s="11">
        <v>40909</v>
      </c>
      <c r="G109" s="12">
        <v>45597</v>
      </c>
      <c r="H109" s="13" t="s">
        <v>1</v>
      </c>
      <c r="I109" s="8" t="s">
        <v>2</v>
      </c>
      <c r="J109" s="14"/>
      <c r="K109" s="15" t="s">
        <v>116</v>
      </c>
      <c r="L109" t="s">
        <v>117</v>
      </c>
      <c r="M109" t="s">
        <v>15</v>
      </c>
      <c r="N109" t="str">
        <f t="shared" si="14"/>
        <v>https://api.bcb.gov.br/dados/serie/bcdata.sgs.27701/dados?formato=json</v>
      </c>
      <c r="O109">
        <v>6</v>
      </c>
      <c r="P109" t="s">
        <v>19</v>
      </c>
      <c r="Q109" t="s">
        <v>19</v>
      </c>
      <c r="R109" t="s">
        <v>118</v>
      </c>
      <c r="S109" t="s">
        <v>200</v>
      </c>
    </row>
    <row r="110" spans="1:21" x14ac:dyDescent="0.25">
      <c r="A110" s="1"/>
      <c r="B110" s="1">
        <v>22027</v>
      </c>
      <c r="C110" s="2" t="s">
        <v>221</v>
      </c>
      <c r="D110" s="1" t="s">
        <v>25</v>
      </c>
      <c r="E110" s="3" t="s">
        <v>0</v>
      </c>
      <c r="F110" s="4">
        <v>40909</v>
      </c>
      <c r="G110" s="5">
        <v>45597</v>
      </c>
      <c r="H110" s="6" t="s">
        <v>1</v>
      </c>
      <c r="I110" s="1" t="s">
        <v>2</v>
      </c>
      <c r="J110" s="7"/>
      <c r="K110" s="15" t="s">
        <v>220</v>
      </c>
      <c r="L110" t="s">
        <v>421</v>
      </c>
      <c r="M110" t="s">
        <v>15</v>
      </c>
      <c r="N110" t="str">
        <f t="shared" si="14"/>
        <v>https://api.bcb.gov.br/dados/serie/bcdata.sgs.22027/dados?formato=json</v>
      </c>
      <c r="O110">
        <v>6</v>
      </c>
      <c r="P110" t="s">
        <v>19</v>
      </c>
      <c r="Q110" t="s">
        <v>19</v>
      </c>
      <c r="R110" t="s">
        <v>118</v>
      </c>
      <c r="S110" t="s">
        <v>221</v>
      </c>
    </row>
    <row r="111" spans="1:21" x14ac:dyDescent="0.25">
      <c r="A111" s="8"/>
      <c r="B111" s="8">
        <v>22043</v>
      </c>
      <c r="C111" s="9" t="s">
        <v>222</v>
      </c>
      <c r="D111" s="1" t="s">
        <v>25</v>
      </c>
      <c r="E111" s="10" t="s">
        <v>0</v>
      </c>
      <c r="F111" s="11">
        <v>40909</v>
      </c>
      <c r="G111" s="12">
        <v>45597</v>
      </c>
      <c r="H111" s="13" t="s">
        <v>1</v>
      </c>
      <c r="I111" s="8" t="s">
        <v>2</v>
      </c>
      <c r="J111" s="14"/>
      <c r="K111" s="15" t="s">
        <v>220</v>
      </c>
      <c r="L111" t="s">
        <v>422</v>
      </c>
      <c r="M111" t="s">
        <v>15</v>
      </c>
      <c r="N111" t="str">
        <f t="shared" si="14"/>
        <v>https://api.bcb.gov.br/dados/serie/bcdata.sgs.22043/dados?formato=json</v>
      </c>
      <c r="O111">
        <v>6</v>
      </c>
      <c r="P111" t="s">
        <v>19</v>
      </c>
      <c r="Q111" t="s">
        <v>19</v>
      </c>
      <c r="R111" t="s">
        <v>118</v>
      </c>
      <c r="S111" t="s">
        <v>938</v>
      </c>
      <c r="T111" t="e">
        <f t="shared" ref="T111:T146" si="15">RIGHT(S111,LEN(S111)-U111)</f>
        <v>#VALUE!</v>
      </c>
      <c r="U111">
        <f>LEN("Setor industrial - ")</f>
        <v>19</v>
      </c>
    </row>
    <row r="112" spans="1:21" x14ac:dyDescent="0.25">
      <c r="A112" s="1"/>
      <c r="B112" s="1">
        <v>22034</v>
      </c>
      <c r="C112" s="2" t="s">
        <v>223</v>
      </c>
      <c r="D112" s="1" t="s">
        <v>25</v>
      </c>
      <c r="E112" s="3" t="s">
        <v>0</v>
      </c>
      <c r="F112" s="4">
        <v>40909</v>
      </c>
      <c r="G112" s="5">
        <v>45597</v>
      </c>
      <c r="H112" s="6" t="s">
        <v>1</v>
      </c>
      <c r="I112" s="1" t="s">
        <v>2</v>
      </c>
      <c r="J112" s="7"/>
      <c r="K112" s="15" t="s">
        <v>220</v>
      </c>
      <c r="L112" t="s">
        <v>423</v>
      </c>
      <c r="M112" t="s">
        <v>15</v>
      </c>
      <c r="N112" t="str">
        <f t="shared" si="14"/>
        <v>https://api.bcb.gov.br/dados/serie/bcdata.sgs.22034/dados?formato=json</v>
      </c>
      <c r="O112">
        <v>6</v>
      </c>
      <c r="P112" t="s">
        <v>19</v>
      </c>
      <c r="Q112" t="s">
        <v>19</v>
      </c>
      <c r="R112" t="s">
        <v>922</v>
      </c>
      <c r="S112" t="s">
        <v>938</v>
      </c>
      <c r="T112" t="e">
        <f t="shared" si="15"/>
        <v>#VALUE!</v>
      </c>
      <c r="U112">
        <f t="shared" ref="U112:U127" si="16">LEN("Setor industrial - ")</f>
        <v>19</v>
      </c>
    </row>
    <row r="113" spans="1:21" x14ac:dyDescent="0.25">
      <c r="A113" s="8"/>
      <c r="B113" s="8">
        <v>22030</v>
      </c>
      <c r="C113" s="9" t="s">
        <v>224</v>
      </c>
      <c r="D113" s="1" t="s">
        <v>25</v>
      </c>
      <c r="E113" s="10" t="s">
        <v>0</v>
      </c>
      <c r="F113" s="11">
        <v>40909</v>
      </c>
      <c r="G113" s="12">
        <v>45597</v>
      </c>
      <c r="H113" s="13" t="s">
        <v>1</v>
      </c>
      <c r="I113" s="8" t="s">
        <v>2</v>
      </c>
      <c r="J113" s="14"/>
      <c r="K113" s="15" t="s">
        <v>220</v>
      </c>
      <c r="L113" t="s">
        <v>424</v>
      </c>
      <c r="M113" t="s">
        <v>15</v>
      </c>
      <c r="N113" t="str">
        <f t="shared" si="14"/>
        <v>https://api.bcb.gov.br/dados/serie/bcdata.sgs.22030/dados?formato=json</v>
      </c>
      <c r="O113">
        <v>6</v>
      </c>
      <c r="P113" t="s">
        <v>19</v>
      </c>
      <c r="Q113" t="s">
        <v>19</v>
      </c>
      <c r="R113" t="s">
        <v>923</v>
      </c>
      <c r="S113" t="s">
        <v>938</v>
      </c>
      <c r="T113" t="e">
        <f t="shared" si="15"/>
        <v>#VALUE!</v>
      </c>
      <c r="U113">
        <f t="shared" si="16"/>
        <v>19</v>
      </c>
    </row>
    <row r="114" spans="1:21" x14ac:dyDescent="0.25">
      <c r="A114" s="1"/>
      <c r="B114" s="1">
        <v>27743</v>
      </c>
      <c r="C114" s="2" t="s">
        <v>225</v>
      </c>
      <c r="D114" s="1" t="s">
        <v>25</v>
      </c>
      <c r="E114" s="3" t="s">
        <v>0</v>
      </c>
      <c r="F114" s="4">
        <v>40909</v>
      </c>
      <c r="G114" s="5">
        <v>45597</v>
      </c>
      <c r="H114" s="6" t="s">
        <v>1</v>
      </c>
      <c r="I114" s="1" t="s">
        <v>2</v>
      </c>
      <c r="J114" s="7"/>
      <c r="K114" s="15" t="s">
        <v>220</v>
      </c>
      <c r="L114" t="s">
        <v>425</v>
      </c>
      <c r="M114" t="s">
        <v>15</v>
      </c>
      <c r="N114" t="str">
        <f t="shared" si="14"/>
        <v>https://api.bcb.gov.br/dados/serie/bcdata.sgs.27743/dados?formato=json</v>
      </c>
      <c r="O114">
        <v>6</v>
      </c>
      <c r="P114" t="s">
        <v>19</v>
      </c>
      <c r="Q114" t="s">
        <v>19</v>
      </c>
      <c r="R114" t="s">
        <v>924</v>
      </c>
      <c r="S114" t="s">
        <v>938</v>
      </c>
      <c r="T114" t="e">
        <f t="shared" si="15"/>
        <v>#VALUE!</v>
      </c>
      <c r="U114">
        <f t="shared" si="16"/>
        <v>19</v>
      </c>
    </row>
    <row r="115" spans="1:21" x14ac:dyDescent="0.25">
      <c r="A115" s="8"/>
      <c r="B115" s="8">
        <v>27744</v>
      </c>
      <c r="C115" s="9" t="s">
        <v>226</v>
      </c>
      <c r="D115" s="1" t="s">
        <v>25</v>
      </c>
      <c r="E115" s="10" t="s">
        <v>0</v>
      </c>
      <c r="F115" s="11">
        <v>40909</v>
      </c>
      <c r="G115" s="12">
        <v>45597</v>
      </c>
      <c r="H115" s="13" t="s">
        <v>1</v>
      </c>
      <c r="I115" s="8" t="s">
        <v>2</v>
      </c>
      <c r="J115" s="14"/>
      <c r="K115" s="15" t="s">
        <v>220</v>
      </c>
      <c r="L115" t="s">
        <v>426</v>
      </c>
      <c r="M115" t="s">
        <v>15</v>
      </c>
      <c r="N115" t="str">
        <f t="shared" si="14"/>
        <v>https://api.bcb.gov.br/dados/serie/bcdata.sgs.27744/dados?formato=json</v>
      </c>
      <c r="O115">
        <v>6</v>
      </c>
      <c r="P115" t="s">
        <v>19</v>
      </c>
      <c r="Q115" t="s">
        <v>19</v>
      </c>
      <c r="R115" t="s">
        <v>925</v>
      </c>
      <c r="S115" t="s">
        <v>938</v>
      </c>
      <c r="T115" t="e">
        <f t="shared" si="15"/>
        <v>#VALUE!</v>
      </c>
      <c r="U115">
        <f t="shared" si="16"/>
        <v>19</v>
      </c>
    </row>
    <row r="116" spans="1:21" x14ac:dyDescent="0.25">
      <c r="A116" s="1"/>
      <c r="B116" s="1">
        <v>27745</v>
      </c>
      <c r="C116" s="2" t="s">
        <v>227</v>
      </c>
      <c r="D116" s="1" t="s">
        <v>25</v>
      </c>
      <c r="E116" s="3" t="s">
        <v>0</v>
      </c>
      <c r="F116" s="4">
        <v>40909</v>
      </c>
      <c r="G116" s="5">
        <v>45597</v>
      </c>
      <c r="H116" s="6" t="s">
        <v>1</v>
      </c>
      <c r="I116" s="1" t="s">
        <v>2</v>
      </c>
      <c r="J116" s="7"/>
      <c r="K116" s="15" t="s">
        <v>220</v>
      </c>
      <c r="L116" t="s">
        <v>427</v>
      </c>
      <c r="M116" t="s">
        <v>15</v>
      </c>
      <c r="N116" t="str">
        <f t="shared" si="14"/>
        <v>https://api.bcb.gov.br/dados/serie/bcdata.sgs.27745/dados?formato=json</v>
      </c>
      <c r="O116">
        <v>6</v>
      </c>
      <c r="P116" t="s">
        <v>19</v>
      </c>
      <c r="Q116" t="s">
        <v>19</v>
      </c>
      <c r="R116" t="s">
        <v>926</v>
      </c>
      <c r="S116" t="s">
        <v>938</v>
      </c>
      <c r="T116" t="e">
        <f t="shared" si="15"/>
        <v>#VALUE!</v>
      </c>
      <c r="U116">
        <f t="shared" si="16"/>
        <v>19</v>
      </c>
    </row>
    <row r="117" spans="1:21" x14ac:dyDescent="0.25">
      <c r="A117" s="8"/>
      <c r="B117" s="8">
        <v>27746</v>
      </c>
      <c r="C117" s="9" t="s">
        <v>228</v>
      </c>
      <c r="D117" s="1" t="s">
        <v>25</v>
      </c>
      <c r="E117" s="10" t="s">
        <v>0</v>
      </c>
      <c r="F117" s="11">
        <v>40909</v>
      </c>
      <c r="G117" s="12">
        <v>45597</v>
      </c>
      <c r="H117" s="13" t="s">
        <v>1</v>
      </c>
      <c r="I117" s="8" t="s">
        <v>2</v>
      </c>
      <c r="J117" s="14"/>
      <c r="K117" s="15" t="s">
        <v>220</v>
      </c>
      <c r="L117" t="s">
        <v>428</v>
      </c>
      <c r="M117" t="s">
        <v>15</v>
      </c>
      <c r="N117" t="str">
        <f t="shared" si="14"/>
        <v>https://api.bcb.gov.br/dados/serie/bcdata.sgs.27746/dados?formato=json</v>
      </c>
      <c r="O117">
        <v>6</v>
      </c>
      <c r="P117" t="s">
        <v>19</v>
      </c>
      <c r="Q117" t="s">
        <v>19</v>
      </c>
      <c r="R117" t="s">
        <v>927</v>
      </c>
      <c r="S117" t="s">
        <v>938</v>
      </c>
      <c r="T117" t="e">
        <f t="shared" si="15"/>
        <v>#VALUE!</v>
      </c>
      <c r="U117">
        <f t="shared" si="16"/>
        <v>19</v>
      </c>
    </row>
    <row r="118" spans="1:21" x14ac:dyDescent="0.25">
      <c r="A118" s="1"/>
      <c r="B118" s="1">
        <v>27747</v>
      </c>
      <c r="C118" s="2" t="s">
        <v>229</v>
      </c>
      <c r="D118" s="1" t="s">
        <v>25</v>
      </c>
      <c r="E118" s="3" t="s">
        <v>0</v>
      </c>
      <c r="F118" s="4">
        <v>40909</v>
      </c>
      <c r="G118" s="5">
        <v>45597</v>
      </c>
      <c r="H118" s="6" t="s">
        <v>1</v>
      </c>
      <c r="I118" s="1" t="s">
        <v>2</v>
      </c>
      <c r="J118" s="7"/>
      <c r="K118" s="15" t="s">
        <v>220</v>
      </c>
      <c r="L118" t="s">
        <v>429</v>
      </c>
      <c r="M118" t="s">
        <v>15</v>
      </c>
      <c r="N118" t="str">
        <f t="shared" si="14"/>
        <v>https://api.bcb.gov.br/dados/serie/bcdata.sgs.27747/dados?formato=json</v>
      </c>
      <c r="O118">
        <v>6</v>
      </c>
      <c r="P118" t="s">
        <v>19</v>
      </c>
      <c r="Q118" t="s">
        <v>19</v>
      </c>
      <c r="R118" t="s">
        <v>928</v>
      </c>
      <c r="S118" t="s">
        <v>938</v>
      </c>
      <c r="T118" t="e">
        <f t="shared" si="15"/>
        <v>#VALUE!</v>
      </c>
      <c r="U118">
        <f t="shared" si="16"/>
        <v>19</v>
      </c>
    </row>
    <row r="119" spans="1:21" x14ac:dyDescent="0.25">
      <c r="A119" s="8"/>
      <c r="B119" s="8">
        <v>27748</v>
      </c>
      <c r="C119" s="9" t="s">
        <v>230</v>
      </c>
      <c r="D119" s="1" t="s">
        <v>25</v>
      </c>
      <c r="E119" s="10" t="s">
        <v>0</v>
      </c>
      <c r="F119" s="11">
        <v>40909</v>
      </c>
      <c r="G119" s="12">
        <v>45597</v>
      </c>
      <c r="H119" s="13" t="s">
        <v>1</v>
      </c>
      <c r="I119" s="8" t="s">
        <v>2</v>
      </c>
      <c r="J119" s="14"/>
      <c r="K119" s="15" t="s">
        <v>220</v>
      </c>
      <c r="L119" t="s">
        <v>430</v>
      </c>
      <c r="M119" t="s">
        <v>15</v>
      </c>
      <c r="N119" t="str">
        <f t="shared" si="14"/>
        <v>https://api.bcb.gov.br/dados/serie/bcdata.sgs.27748/dados?formato=json</v>
      </c>
      <c r="O119">
        <v>6</v>
      </c>
      <c r="P119" t="s">
        <v>19</v>
      </c>
      <c r="Q119" t="s">
        <v>19</v>
      </c>
      <c r="R119" t="s">
        <v>929</v>
      </c>
      <c r="S119" t="s">
        <v>938</v>
      </c>
      <c r="T119" t="e">
        <f t="shared" si="15"/>
        <v>#VALUE!</v>
      </c>
      <c r="U119">
        <f t="shared" si="16"/>
        <v>19</v>
      </c>
    </row>
    <row r="120" spans="1:21" x14ac:dyDescent="0.25">
      <c r="A120" s="1"/>
      <c r="B120" s="1">
        <v>27722</v>
      </c>
      <c r="C120" s="2" t="s">
        <v>231</v>
      </c>
      <c r="D120" s="1" t="s">
        <v>25</v>
      </c>
      <c r="E120" s="3" t="s">
        <v>0</v>
      </c>
      <c r="F120" s="4">
        <v>40909</v>
      </c>
      <c r="G120" s="5">
        <v>45597</v>
      </c>
      <c r="H120" s="6" t="s">
        <v>1</v>
      </c>
      <c r="I120" s="1" t="s">
        <v>2</v>
      </c>
      <c r="J120" s="7"/>
      <c r="K120" s="15" t="s">
        <v>220</v>
      </c>
      <c r="L120" t="s">
        <v>431</v>
      </c>
      <c r="M120" t="s">
        <v>15</v>
      </c>
      <c r="N120" t="str">
        <f t="shared" si="14"/>
        <v>https://api.bcb.gov.br/dados/serie/bcdata.sgs.27722/dados?formato=json</v>
      </c>
      <c r="O120">
        <v>6</v>
      </c>
      <c r="P120" t="s">
        <v>19</v>
      </c>
      <c r="Q120" t="s">
        <v>19</v>
      </c>
      <c r="R120" t="s">
        <v>930</v>
      </c>
      <c r="S120" t="s">
        <v>938</v>
      </c>
      <c r="T120" t="e">
        <f t="shared" si="15"/>
        <v>#VALUE!</v>
      </c>
      <c r="U120">
        <f t="shared" si="16"/>
        <v>19</v>
      </c>
    </row>
    <row r="121" spans="1:21" x14ac:dyDescent="0.25">
      <c r="A121" s="8"/>
      <c r="B121" s="8">
        <v>27723</v>
      </c>
      <c r="C121" s="9" t="s">
        <v>232</v>
      </c>
      <c r="D121" s="1" t="s">
        <v>25</v>
      </c>
      <c r="E121" s="10" t="s">
        <v>0</v>
      </c>
      <c r="F121" s="11">
        <v>40909</v>
      </c>
      <c r="G121" s="12">
        <v>45597</v>
      </c>
      <c r="H121" s="13" t="s">
        <v>1</v>
      </c>
      <c r="I121" s="8" t="s">
        <v>2</v>
      </c>
      <c r="J121" s="14"/>
      <c r="K121" s="15" t="s">
        <v>220</v>
      </c>
      <c r="L121" t="s">
        <v>432</v>
      </c>
      <c r="M121" t="s">
        <v>15</v>
      </c>
      <c r="N121" t="str">
        <f t="shared" si="14"/>
        <v>https://api.bcb.gov.br/dados/serie/bcdata.sgs.27723/dados?formato=json</v>
      </c>
      <c r="O121">
        <v>6</v>
      </c>
      <c r="P121" t="s">
        <v>19</v>
      </c>
      <c r="Q121" t="s">
        <v>19</v>
      </c>
      <c r="R121" t="s">
        <v>931</v>
      </c>
      <c r="S121" t="s">
        <v>938</v>
      </c>
      <c r="T121" t="e">
        <f t="shared" si="15"/>
        <v>#VALUE!</v>
      </c>
      <c r="U121">
        <f t="shared" si="16"/>
        <v>19</v>
      </c>
    </row>
    <row r="122" spans="1:21" x14ac:dyDescent="0.25">
      <c r="A122" s="1"/>
      <c r="B122" s="1">
        <v>27724</v>
      </c>
      <c r="C122" s="2" t="s">
        <v>233</v>
      </c>
      <c r="D122" s="1" t="s">
        <v>25</v>
      </c>
      <c r="E122" s="3" t="s">
        <v>0</v>
      </c>
      <c r="F122" s="4">
        <v>40910</v>
      </c>
      <c r="G122" s="5">
        <v>45597</v>
      </c>
      <c r="H122" s="6" t="s">
        <v>1</v>
      </c>
      <c r="I122" s="1" t="s">
        <v>2</v>
      </c>
      <c r="J122" s="7"/>
      <c r="K122" s="15" t="s">
        <v>220</v>
      </c>
      <c r="L122" t="s">
        <v>433</v>
      </c>
      <c r="M122" t="s">
        <v>15</v>
      </c>
      <c r="N122" t="str">
        <f t="shared" si="14"/>
        <v>https://api.bcb.gov.br/dados/serie/bcdata.sgs.27724/dados?formato=json</v>
      </c>
      <c r="O122">
        <v>6</v>
      </c>
      <c r="P122" t="s">
        <v>19</v>
      </c>
      <c r="Q122" t="s">
        <v>19</v>
      </c>
      <c r="R122" t="s">
        <v>932</v>
      </c>
      <c r="S122" t="s">
        <v>938</v>
      </c>
      <c r="T122" t="e">
        <f t="shared" si="15"/>
        <v>#VALUE!</v>
      </c>
      <c r="U122">
        <f t="shared" si="16"/>
        <v>19</v>
      </c>
    </row>
    <row r="123" spans="1:21" x14ac:dyDescent="0.25">
      <c r="A123" s="8"/>
      <c r="B123" s="8">
        <v>27749</v>
      </c>
      <c r="C123" s="9" t="s">
        <v>234</v>
      </c>
      <c r="D123" s="1" t="s">
        <v>25</v>
      </c>
      <c r="E123" s="10" t="s">
        <v>0</v>
      </c>
      <c r="F123" s="11">
        <v>40911</v>
      </c>
      <c r="G123" s="12">
        <v>45597</v>
      </c>
      <c r="H123" s="13" t="s">
        <v>1</v>
      </c>
      <c r="I123" s="8" t="s">
        <v>2</v>
      </c>
      <c r="J123" s="14"/>
      <c r="K123" s="15" t="s">
        <v>220</v>
      </c>
      <c r="L123" t="s">
        <v>434</v>
      </c>
      <c r="M123" t="s">
        <v>15</v>
      </c>
      <c r="N123" t="str">
        <f t="shared" si="14"/>
        <v>https://api.bcb.gov.br/dados/serie/bcdata.sgs.27749/dados?formato=json</v>
      </c>
      <c r="O123">
        <v>6</v>
      </c>
      <c r="P123" t="s">
        <v>19</v>
      </c>
      <c r="Q123" t="s">
        <v>19</v>
      </c>
      <c r="R123" t="s">
        <v>933</v>
      </c>
      <c r="S123" t="s">
        <v>938</v>
      </c>
      <c r="T123" t="e">
        <f t="shared" si="15"/>
        <v>#VALUE!</v>
      </c>
      <c r="U123">
        <f t="shared" si="16"/>
        <v>19</v>
      </c>
    </row>
    <row r="124" spans="1:21" x14ac:dyDescent="0.25">
      <c r="A124" s="1"/>
      <c r="B124" s="1">
        <v>27725</v>
      </c>
      <c r="C124" s="2" t="s">
        <v>235</v>
      </c>
      <c r="D124" s="1" t="s">
        <v>25</v>
      </c>
      <c r="E124" s="3" t="s">
        <v>0</v>
      </c>
      <c r="F124" s="4">
        <v>40909</v>
      </c>
      <c r="G124" s="5">
        <v>45597</v>
      </c>
      <c r="H124" s="6" t="s">
        <v>1</v>
      </c>
      <c r="I124" s="1" t="s">
        <v>2</v>
      </c>
      <c r="J124" s="7"/>
      <c r="K124" s="15" t="s">
        <v>220</v>
      </c>
      <c r="L124" t="s">
        <v>435</v>
      </c>
      <c r="M124" t="s">
        <v>15</v>
      </c>
      <c r="N124" t="str">
        <f t="shared" si="14"/>
        <v>https://api.bcb.gov.br/dados/serie/bcdata.sgs.27725/dados?formato=json</v>
      </c>
      <c r="O124">
        <v>6</v>
      </c>
      <c r="P124" t="s">
        <v>19</v>
      </c>
      <c r="Q124" t="s">
        <v>19</v>
      </c>
      <c r="R124" t="s">
        <v>934</v>
      </c>
      <c r="S124" t="s">
        <v>938</v>
      </c>
      <c r="T124" t="e">
        <f t="shared" si="15"/>
        <v>#VALUE!</v>
      </c>
      <c r="U124">
        <f t="shared" si="16"/>
        <v>19</v>
      </c>
    </row>
    <row r="125" spans="1:21" x14ac:dyDescent="0.25">
      <c r="A125" s="8"/>
      <c r="B125" s="8">
        <v>27726</v>
      </c>
      <c r="C125" s="9" t="s">
        <v>236</v>
      </c>
      <c r="D125" s="1" t="s">
        <v>25</v>
      </c>
      <c r="E125" s="10" t="s">
        <v>0</v>
      </c>
      <c r="F125" s="11">
        <v>40909</v>
      </c>
      <c r="G125" s="12">
        <v>45597</v>
      </c>
      <c r="H125" s="13" t="s">
        <v>1</v>
      </c>
      <c r="I125" s="8" t="s">
        <v>2</v>
      </c>
      <c r="J125" s="14"/>
      <c r="K125" s="15" t="s">
        <v>220</v>
      </c>
      <c r="L125" t="s">
        <v>436</v>
      </c>
      <c r="M125" t="s">
        <v>15</v>
      </c>
      <c r="N125" t="str">
        <f t="shared" si="14"/>
        <v>https://api.bcb.gov.br/dados/serie/bcdata.sgs.27726/dados?formato=json</v>
      </c>
      <c r="O125">
        <v>6</v>
      </c>
      <c r="P125" t="s">
        <v>19</v>
      </c>
      <c r="Q125" t="s">
        <v>19</v>
      </c>
      <c r="R125" t="s">
        <v>935</v>
      </c>
      <c r="S125" t="s">
        <v>938</v>
      </c>
      <c r="T125" t="e">
        <f t="shared" si="15"/>
        <v>#VALUE!</v>
      </c>
      <c r="U125">
        <f t="shared" si="16"/>
        <v>19</v>
      </c>
    </row>
    <row r="126" spans="1:21" x14ac:dyDescent="0.25">
      <c r="A126" s="1"/>
      <c r="B126" s="1">
        <v>27727</v>
      </c>
      <c r="C126" s="2" t="s">
        <v>237</v>
      </c>
      <c r="D126" s="1" t="s">
        <v>25</v>
      </c>
      <c r="E126" s="3" t="s">
        <v>0</v>
      </c>
      <c r="F126" s="4">
        <v>40909</v>
      </c>
      <c r="G126" s="5">
        <v>45597</v>
      </c>
      <c r="H126" s="6" t="s">
        <v>1</v>
      </c>
      <c r="I126" s="1" t="s">
        <v>2</v>
      </c>
      <c r="J126" s="7"/>
      <c r="K126" s="15" t="s">
        <v>220</v>
      </c>
      <c r="L126" t="s">
        <v>437</v>
      </c>
      <c r="M126" t="s">
        <v>15</v>
      </c>
      <c r="N126" t="str">
        <f t="shared" si="14"/>
        <v>https://api.bcb.gov.br/dados/serie/bcdata.sgs.27727/dados?formato=json</v>
      </c>
      <c r="O126">
        <v>6</v>
      </c>
      <c r="P126" t="s">
        <v>19</v>
      </c>
      <c r="Q126" t="s">
        <v>19</v>
      </c>
      <c r="R126" t="s">
        <v>936</v>
      </c>
      <c r="S126" t="s">
        <v>938</v>
      </c>
      <c r="T126" t="e">
        <f t="shared" si="15"/>
        <v>#VALUE!</v>
      </c>
      <c r="U126">
        <f t="shared" si="16"/>
        <v>19</v>
      </c>
    </row>
    <row r="127" spans="1:21" x14ac:dyDescent="0.25">
      <c r="A127" s="8"/>
      <c r="B127" s="8">
        <v>27728</v>
      </c>
      <c r="C127" s="9" t="s">
        <v>238</v>
      </c>
      <c r="D127" s="1" t="s">
        <v>25</v>
      </c>
      <c r="E127" s="10" t="s">
        <v>0</v>
      </c>
      <c r="F127" s="11">
        <v>40909</v>
      </c>
      <c r="G127" s="12">
        <v>45597</v>
      </c>
      <c r="H127" s="13" t="s">
        <v>1</v>
      </c>
      <c r="I127" s="8" t="s">
        <v>2</v>
      </c>
      <c r="J127" s="14"/>
      <c r="K127" s="15" t="s">
        <v>220</v>
      </c>
      <c r="L127" t="s">
        <v>437</v>
      </c>
      <c r="M127" t="s">
        <v>15</v>
      </c>
      <c r="N127" t="str">
        <f t="shared" si="14"/>
        <v>https://api.bcb.gov.br/dados/serie/bcdata.sgs.27728/dados?formato=json</v>
      </c>
      <c r="O127">
        <v>6</v>
      </c>
      <c r="P127" t="s">
        <v>19</v>
      </c>
      <c r="Q127" t="s">
        <v>19</v>
      </c>
      <c r="R127" t="s">
        <v>937</v>
      </c>
      <c r="S127" t="s">
        <v>938</v>
      </c>
      <c r="T127" t="e">
        <f t="shared" si="15"/>
        <v>#VALUE!</v>
      </c>
      <c r="U127">
        <f t="shared" si="16"/>
        <v>19</v>
      </c>
    </row>
    <row r="128" spans="1:21" x14ac:dyDescent="0.25">
      <c r="A128" s="1"/>
      <c r="B128" s="1">
        <v>22044</v>
      </c>
      <c r="C128" s="2" t="s">
        <v>239</v>
      </c>
      <c r="D128" s="1" t="s">
        <v>25</v>
      </c>
      <c r="E128" s="3" t="s">
        <v>0</v>
      </c>
      <c r="F128" s="4">
        <v>40909</v>
      </c>
      <c r="G128" s="5">
        <v>45597</v>
      </c>
      <c r="H128" s="6" t="s">
        <v>1</v>
      </c>
      <c r="I128" s="1" t="s">
        <v>2</v>
      </c>
      <c r="J128" s="7"/>
      <c r="K128" s="15" t="s">
        <v>220</v>
      </c>
      <c r="L128" t="s">
        <v>438</v>
      </c>
      <c r="M128" t="s">
        <v>15</v>
      </c>
      <c r="N128" t="str">
        <f t="shared" ref="N128:N147" si="17">_xlfn.CONCAT("https://api.bcb.gov.br/dados/serie/bcdata.sgs.",B128,"/dados?formato=json")</f>
        <v>https://api.bcb.gov.br/dados/serie/bcdata.sgs.22044/dados?formato=json</v>
      </c>
      <c r="O128">
        <v>6</v>
      </c>
      <c r="P128" t="s">
        <v>19</v>
      </c>
      <c r="Q128" t="s">
        <v>19</v>
      </c>
      <c r="R128" t="s">
        <v>118</v>
      </c>
      <c r="S128" t="s">
        <v>957</v>
      </c>
      <c r="T128" t="e">
        <f t="shared" si="15"/>
        <v>#VALUE!</v>
      </c>
      <c r="U128">
        <f>LEN("Setor de serviços - ")</f>
        <v>20</v>
      </c>
    </row>
    <row r="129" spans="1:21" x14ac:dyDescent="0.25">
      <c r="A129" s="8"/>
      <c r="B129" s="8">
        <v>22037</v>
      </c>
      <c r="C129" s="9" t="s">
        <v>240</v>
      </c>
      <c r="D129" s="1" t="s">
        <v>25</v>
      </c>
      <c r="E129" s="10" t="s">
        <v>0</v>
      </c>
      <c r="F129" s="11">
        <v>40909</v>
      </c>
      <c r="G129" s="12">
        <v>45597</v>
      </c>
      <c r="H129" s="13" t="s">
        <v>1</v>
      </c>
      <c r="I129" s="8" t="s">
        <v>2</v>
      </c>
      <c r="J129" s="14"/>
      <c r="K129" s="15" t="s">
        <v>220</v>
      </c>
      <c r="L129" t="s">
        <v>439</v>
      </c>
      <c r="M129" t="s">
        <v>15</v>
      </c>
      <c r="N129" t="str">
        <f t="shared" si="17"/>
        <v>https://api.bcb.gov.br/dados/serie/bcdata.sgs.22037/dados?formato=json</v>
      </c>
      <c r="O129">
        <v>6</v>
      </c>
      <c r="P129" t="s">
        <v>19</v>
      </c>
      <c r="Q129" t="s">
        <v>19</v>
      </c>
      <c r="R129" t="s">
        <v>939</v>
      </c>
      <c r="S129" t="s">
        <v>957</v>
      </c>
      <c r="T129" t="e">
        <f t="shared" si="15"/>
        <v>#VALUE!</v>
      </c>
      <c r="U129">
        <f t="shared" ref="U129:U146" si="18">LEN("Setor de serviços - ")</f>
        <v>20</v>
      </c>
    </row>
    <row r="130" spans="1:21" x14ac:dyDescent="0.25">
      <c r="A130" s="1"/>
      <c r="B130" s="1">
        <v>27729</v>
      </c>
      <c r="C130" s="2" t="s">
        <v>241</v>
      </c>
      <c r="D130" s="1" t="s">
        <v>25</v>
      </c>
      <c r="E130" s="3" t="s">
        <v>0</v>
      </c>
      <c r="F130" s="4">
        <v>40909</v>
      </c>
      <c r="G130" s="5">
        <v>45597</v>
      </c>
      <c r="H130" s="6" t="s">
        <v>1</v>
      </c>
      <c r="I130" s="1" t="s">
        <v>2</v>
      </c>
      <c r="J130" s="7"/>
      <c r="K130" s="15" t="s">
        <v>220</v>
      </c>
      <c r="L130" t="s">
        <v>440</v>
      </c>
      <c r="M130" t="s">
        <v>15</v>
      </c>
      <c r="N130" t="str">
        <f t="shared" si="17"/>
        <v>https://api.bcb.gov.br/dados/serie/bcdata.sgs.27729/dados?formato=json</v>
      </c>
      <c r="O130">
        <v>6</v>
      </c>
      <c r="P130" t="s">
        <v>19</v>
      </c>
      <c r="Q130" t="s">
        <v>19</v>
      </c>
      <c r="R130" t="s">
        <v>940</v>
      </c>
      <c r="S130" t="s">
        <v>957</v>
      </c>
      <c r="T130" t="e">
        <f t="shared" si="15"/>
        <v>#VALUE!</v>
      </c>
      <c r="U130">
        <f t="shared" si="18"/>
        <v>20</v>
      </c>
    </row>
    <row r="131" spans="1:21" x14ac:dyDescent="0.25">
      <c r="A131" s="8"/>
      <c r="B131" s="8">
        <v>27730</v>
      </c>
      <c r="C131" s="9" t="s">
        <v>242</v>
      </c>
      <c r="D131" s="1" t="s">
        <v>25</v>
      </c>
      <c r="E131" s="10" t="s">
        <v>0</v>
      </c>
      <c r="F131" s="11">
        <v>40909</v>
      </c>
      <c r="G131" s="12">
        <v>45597</v>
      </c>
      <c r="H131" s="13" t="s">
        <v>1</v>
      </c>
      <c r="I131" s="8" t="s">
        <v>2</v>
      </c>
      <c r="J131" s="14"/>
      <c r="K131" s="15" t="s">
        <v>220</v>
      </c>
      <c r="L131" t="s">
        <v>441</v>
      </c>
      <c r="M131" t="s">
        <v>15</v>
      </c>
      <c r="N131" t="str">
        <f t="shared" si="17"/>
        <v>https://api.bcb.gov.br/dados/serie/bcdata.sgs.27730/dados?formato=json</v>
      </c>
      <c r="O131">
        <v>6</v>
      </c>
      <c r="P131" t="s">
        <v>19</v>
      </c>
      <c r="Q131" t="s">
        <v>19</v>
      </c>
      <c r="R131" t="s">
        <v>941</v>
      </c>
      <c r="S131" t="s">
        <v>957</v>
      </c>
      <c r="T131" t="e">
        <f t="shared" si="15"/>
        <v>#VALUE!</v>
      </c>
      <c r="U131">
        <f t="shared" si="18"/>
        <v>20</v>
      </c>
    </row>
    <row r="132" spans="1:21" x14ac:dyDescent="0.25">
      <c r="A132" s="1"/>
      <c r="B132" s="1">
        <v>27731</v>
      </c>
      <c r="C132" s="2" t="s">
        <v>243</v>
      </c>
      <c r="D132" s="1" t="s">
        <v>25</v>
      </c>
      <c r="E132" s="3" t="s">
        <v>0</v>
      </c>
      <c r="F132" s="4">
        <v>40909</v>
      </c>
      <c r="G132" s="5">
        <v>45597</v>
      </c>
      <c r="H132" s="6" t="s">
        <v>1</v>
      </c>
      <c r="I132" s="1" t="s">
        <v>2</v>
      </c>
      <c r="J132" s="7"/>
      <c r="K132" s="15" t="s">
        <v>220</v>
      </c>
      <c r="L132" t="s">
        <v>442</v>
      </c>
      <c r="M132" t="s">
        <v>15</v>
      </c>
      <c r="N132" t="str">
        <f t="shared" si="17"/>
        <v>https://api.bcb.gov.br/dados/serie/bcdata.sgs.27731/dados?formato=json</v>
      </c>
      <c r="O132">
        <v>6</v>
      </c>
      <c r="P132" t="s">
        <v>19</v>
      </c>
      <c r="Q132" t="s">
        <v>19</v>
      </c>
      <c r="R132" t="s">
        <v>942</v>
      </c>
      <c r="S132" t="s">
        <v>957</v>
      </c>
      <c r="T132" t="e">
        <f t="shared" si="15"/>
        <v>#VALUE!</v>
      </c>
      <c r="U132">
        <f t="shared" si="18"/>
        <v>20</v>
      </c>
    </row>
    <row r="133" spans="1:21" x14ac:dyDescent="0.25">
      <c r="A133" s="8"/>
      <c r="B133" s="8">
        <v>22036</v>
      </c>
      <c r="C133" s="9" t="s">
        <v>244</v>
      </c>
      <c r="D133" s="1" t="s">
        <v>25</v>
      </c>
      <c r="E133" s="10" t="s">
        <v>0</v>
      </c>
      <c r="F133" s="11">
        <v>40909</v>
      </c>
      <c r="G133" s="12">
        <v>45597</v>
      </c>
      <c r="H133" s="13" t="s">
        <v>1</v>
      </c>
      <c r="I133" s="8" t="s">
        <v>2</v>
      </c>
      <c r="J133" s="14"/>
      <c r="K133" s="15" t="s">
        <v>220</v>
      </c>
      <c r="L133" t="s">
        <v>443</v>
      </c>
      <c r="M133" t="s">
        <v>15</v>
      </c>
      <c r="N133" t="str">
        <f t="shared" si="17"/>
        <v>https://api.bcb.gov.br/dados/serie/bcdata.sgs.22036/dados?formato=json</v>
      </c>
      <c r="O133">
        <v>6</v>
      </c>
      <c r="P133" t="s">
        <v>19</v>
      </c>
      <c r="Q133" t="s">
        <v>19</v>
      </c>
      <c r="R133" t="s">
        <v>943</v>
      </c>
      <c r="S133" t="s">
        <v>957</v>
      </c>
      <c r="T133" t="e">
        <f t="shared" si="15"/>
        <v>#VALUE!</v>
      </c>
      <c r="U133">
        <f t="shared" si="18"/>
        <v>20</v>
      </c>
    </row>
    <row r="134" spans="1:21" x14ac:dyDescent="0.25">
      <c r="A134" s="1"/>
      <c r="B134" s="1">
        <v>27732</v>
      </c>
      <c r="C134" s="2" t="s">
        <v>245</v>
      </c>
      <c r="D134" s="1" t="s">
        <v>25</v>
      </c>
      <c r="E134" s="3" t="s">
        <v>0</v>
      </c>
      <c r="F134" s="4">
        <v>40909</v>
      </c>
      <c r="G134" s="5">
        <v>45597</v>
      </c>
      <c r="H134" s="6" t="s">
        <v>1</v>
      </c>
      <c r="I134" s="1" t="s">
        <v>2</v>
      </c>
      <c r="J134" s="7"/>
      <c r="K134" s="15" t="s">
        <v>220</v>
      </c>
      <c r="L134" t="s">
        <v>444</v>
      </c>
      <c r="M134" t="s">
        <v>15</v>
      </c>
      <c r="N134" t="str">
        <f t="shared" si="17"/>
        <v>https://api.bcb.gov.br/dados/serie/bcdata.sgs.27732/dados?formato=json</v>
      </c>
      <c r="O134">
        <v>6</v>
      </c>
      <c r="P134" t="s">
        <v>19</v>
      </c>
      <c r="Q134" t="s">
        <v>19</v>
      </c>
      <c r="R134" t="s">
        <v>944</v>
      </c>
      <c r="S134" t="s">
        <v>957</v>
      </c>
      <c r="T134" t="e">
        <f t="shared" si="15"/>
        <v>#VALUE!</v>
      </c>
      <c r="U134">
        <f t="shared" si="18"/>
        <v>20</v>
      </c>
    </row>
    <row r="135" spans="1:21" x14ac:dyDescent="0.25">
      <c r="A135" s="8"/>
      <c r="B135" s="8">
        <v>27733</v>
      </c>
      <c r="C135" s="9" t="s">
        <v>246</v>
      </c>
      <c r="D135" s="1" t="s">
        <v>25</v>
      </c>
      <c r="E135" s="10" t="s">
        <v>0</v>
      </c>
      <c r="F135" s="11">
        <v>40909</v>
      </c>
      <c r="G135" s="12">
        <v>45597</v>
      </c>
      <c r="H135" s="13" t="s">
        <v>1</v>
      </c>
      <c r="I135" s="8" t="s">
        <v>2</v>
      </c>
      <c r="J135" s="14"/>
      <c r="K135" s="15" t="s">
        <v>220</v>
      </c>
      <c r="L135" t="s">
        <v>445</v>
      </c>
      <c r="M135" t="s">
        <v>15</v>
      </c>
      <c r="N135" t="str">
        <f t="shared" si="17"/>
        <v>https://api.bcb.gov.br/dados/serie/bcdata.sgs.27733/dados?formato=json</v>
      </c>
      <c r="O135">
        <v>6</v>
      </c>
      <c r="P135" t="s">
        <v>19</v>
      </c>
      <c r="Q135" t="s">
        <v>19</v>
      </c>
      <c r="R135" t="s">
        <v>945</v>
      </c>
      <c r="S135" t="s">
        <v>957</v>
      </c>
      <c r="T135" t="e">
        <f t="shared" si="15"/>
        <v>#VALUE!</v>
      </c>
      <c r="U135">
        <f t="shared" si="18"/>
        <v>20</v>
      </c>
    </row>
    <row r="136" spans="1:21" x14ac:dyDescent="0.25">
      <c r="A136" s="1"/>
      <c r="B136" s="1">
        <v>27734</v>
      </c>
      <c r="C136" s="2" t="s">
        <v>247</v>
      </c>
      <c r="D136" s="1" t="s">
        <v>25</v>
      </c>
      <c r="E136" s="3" t="s">
        <v>0</v>
      </c>
      <c r="F136" s="4">
        <v>40909</v>
      </c>
      <c r="G136" s="5">
        <v>45597</v>
      </c>
      <c r="H136" s="6" t="s">
        <v>1</v>
      </c>
      <c r="I136" s="1" t="s">
        <v>2</v>
      </c>
      <c r="J136" s="7"/>
      <c r="K136" s="15" t="s">
        <v>220</v>
      </c>
      <c r="L136" t="s">
        <v>446</v>
      </c>
      <c r="M136" t="s">
        <v>15</v>
      </c>
      <c r="N136" t="str">
        <f t="shared" si="17"/>
        <v>https://api.bcb.gov.br/dados/serie/bcdata.sgs.27734/dados?formato=json</v>
      </c>
      <c r="O136">
        <v>6</v>
      </c>
      <c r="P136" t="s">
        <v>19</v>
      </c>
      <c r="Q136" t="s">
        <v>19</v>
      </c>
      <c r="R136" t="s">
        <v>946</v>
      </c>
      <c r="S136" t="s">
        <v>957</v>
      </c>
      <c r="T136" t="e">
        <f t="shared" si="15"/>
        <v>#VALUE!</v>
      </c>
      <c r="U136">
        <f t="shared" si="18"/>
        <v>20</v>
      </c>
    </row>
    <row r="137" spans="1:21" x14ac:dyDescent="0.25">
      <c r="A137" s="8"/>
      <c r="B137" s="8">
        <v>27735</v>
      </c>
      <c r="C137" s="9" t="s">
        <v>248</v>
      </c>
      <c r="D137" s="1" t="s">
        <v>25</v>
      </c>
      <c r="E137" s="10" t="s">
        <v>0</v>
      </c>
      <c r="F137" s="11">
        <v>40909</v>
      </c>
      <c r="G137" s="12">
        <v>45597</v>
      </c>
      <c r="H137" s="13" t="s">
        <v>1</v>
      </c>
      <c r="I137" s="8" t="s">
        <v>2</v>
      </c>
      <c r="J137" s="14"/>
      <c r="K137" s="15" t="s">
        <v>220</v>
      </c>
      <c r="L137" t="s">
        <v>447</v>
      </c>
      <c r="M137" t="s">
        <v>15</v>
      </c>
      <c r="N137" t="str">
        <f t="shared" si="17"/>
        <v>https://api.bcb.gov.br/dados/serie/bcdata.sgs.27735/dados?formato=json</v>
      </c>
      <c r="O137">
        <v>6</v>
      </c>
      <c r="P137" t="s">
        <v>19</v>
      </c>
      <c r="Q137" t="s">
        <v>19</v>
      </c>
      <c r="R137" t="s">
        <v>947</v>
      </c>
      <c r="S137" t="s">
        <v>957</v>
      </c>
      <c r="T137" t="e">
        <f t="shared" si="15"/>
        <v>#VALUE!</v>
      </c>
      <c r="U137">
        <f t="shared" si="18"/>
        <v>20</v>
      </c>
    </row>
    <row r="138" spans="1:21" x14ac:dyDescent="0.25">
      <c r="A138" s="1"/>
      <c r="B138" s="1">
        <v>27736</v>
      </c>
      <c r="C138" s="2" t="s">
        <v>249</v>
      </c>
      <c r="D138" s="1" t="s">
        <v>25</v>
      </c>
      <c r="E138" s="3" t="s">
        <v>0</v>
      </c>
      <c r="F138" s="4">
        <v>40909</v>
      </c>
      <c r="G138" s="5">
        <v>45597</v>
      </c>
      <c r="H138" s="6" t="s">
        <v>1</v>
      </c>
      <c r="I138" s="1" t="s">
        <v>2</v>
      </c>
      <c r="J138" s="7"/>
      <c r="K138" s="15" t="s">
        <v>220</v>
      </c>
      <c r="L138" t="s">
        <v>448</v>
      </c>
      <c r="M138" t="s">
        <v>15</v>
      </c>
      <c r="N138" t="str">
        <f t="shared" si="17"/>
        <v>https://api.bcb.gov.br/dados/serie/bcdata.sgs.27736/dados?formato=json</v>
      </c>
      <c r="O138">
        <v>6</v>
      </c>
      <c r="P138" t="s">
        <v>19</v>
      </c>
      <c r="Q138" t="s">
        <v>19</v>
      </c>
      <c r="R138" t="s">
        <v>948</v>
      </c>
      <c r="S138" t="s">
        <v>957</v>
      </c>
      <c r="T138" t="e">
        <f t="shared" si="15"/>
        <v>#VALUE!</v>
      </c>
      <c r="U138">
        <f t="shared" si="18"/>
        <v>20</v>
      </c>
    </row>
    <row r="139" spans="1:21" x14ac:dyDescent="0.25">
      <c r="A139" s="8"/>
      <c r="B139" s="8">
        <v>27737</v>
      </c>
      <c r="C139" s="9" t="s">
        <v>250</v>
      </c>
      <c r="D139" s="1" t="s">
        <v>25</v>
      </c>
      <c r="E139" s="10" t="s">
        <v>0</v>
      </c>
      <c r="F139" s="11">
        <v>40909</v>
      </c>
      <c r="G139" s="12">
        <v>45597</v>
      </c>
      <c r="H139" s="13" t="s">
        <v>1</v>
      </c>
      <c r="I139" s="8" t="s">
        <v>2</v>
      </c>
      <c r="J139" s="14"/>
      <c r="K139" s="15" t="s">
        <v>220</v>
      </c>
      <c r="L139" t="s">
        <v>449</v>
      </c>
      <c r="M139" t="s">
        <v>15</v>
      </c>
      <c r="N139" t="str">
        <f t="shared" si="17"/>
        <v>https://api.bcb.gov.br/dados/serie/bcdata.sgs.27737/dados?formato=json</v>
      </c>
      <c r="O139">
        <v>6</v>
      </c>
      <c r="P139" t="s">
        <v>19</v>
      </c>
      <c r="Q139" t="s">
        <v>19</v>
      </c>
      <c r="R139" t="s">
        <v>949</v>
      </c>
      <c r="S139" t="s">
        <v>957</v>
      </c>
      <c r="T139" t="e">
        <f t="shared" si="15"/>
        <v>#VALUE!</v>
      </c>
      <c r="U139">
        <f t="shared" si="18"/>
        <v>20</v>
      </c>
    </row>
    <row r="140" spans="1:21" x14ac:dyDescent="0.25">
      <c r="A140" s="1"/>
      <c r="B140" s="1">
        <v>22039</v>
      </c>
      <c r="C140" s="2" t="s">
        <v>251</v>
      </c>
      <c r="D140" s="1" t="s">
        <v>25</v>
      </c>
      <c r="E140" s="3" t="s">
        <v>0</v>
      </c>
      <c r="F140" s="4">
        <v>40909</v>
      </c>
      <c r="G140" s="5">
        <v>45597</v>
      </c>
      <c r="H140" s="6" t="s">
        <v>1</v>
      </c>
      <c r="I140" s="1" t="s">
        <v>2</v>
      </c>
      <c r="J140" s="7"/>
      <c r="K140" s="15" t="s">
        <v>220</v>
      </c>
      <c r="L140" t="s">
        <v>450</v>
      </c>
      <c r="M140" t="s">
        <v>15</v>
      </c>
      <c r="N140" t="str">
        <f t="shared" si="17"/>
        <v>https://api.bcb.gov.br/dados/serie/bcdata.sgs.22039/dados?formato=json</v>
      </c>
      <c r="O140">
        <v>6</v>
      </c>
      <c r="P140" t="s">
        <v>19</v>
      </c>
      <c r="Q140" t="s">
        <v>19</v>
      </c>
      <c r="R140" t="s">
        <v>950</v>
      </c>
      <c r="S140" t="s">
        <v>957</v>
      </c>
      <c r="T140" t="e">
        <f t="shared" si="15"/>
        <v>#VALUE!</v>
      </c>
      <c r="U140">
        <f t="shared" si="18"/>
        <v>20</v>
      </c>
    </row>
    <row r="141" spans="1:21" x14ac:dyDescent="0.25">
      <c r="A141" s="8"/>
      <c r="B141" s="8">
        <v>27738</v>
      </c>
      <c r="C141" s="9" t="s">
        <v>252</v>
      </c>
      <c r="D141" s="1" t="s">
        <v>25</v>
      </c>
      <c r="E141" s="10" t="s">
        <v>0</v>
      </c>
      <c r="F141" s="11">
        <v>40909</v>
      </c>
      <c r="G141" s="12">
        <v>45597</v>
      </c>
      <c r="H141" s="13" t="s">
        <v>1</v>
      </c>
      <c r="I141" s="8" t="s">
        <v>2</v>
      </c>
      <c r="J141" s="14"/>
      <c r="K141" s="15" t="s">
        <v>220</v>
      </c>
      <c r="L141" t="s">
        <v>451</v>
      </c>
      <c r="M141" t="s">
        <v>15</v>
      </c>
      <c r="N141" t="str">
        <f t="shared" si="17"/>
        <v>https://api.bcb.gov.br/dados/serie/bcdata.sgs.27738/dados?formato=json</v>
      </c>
      <c r="O141">
        <v>6</v>
      </c>
      <c r="P141" t="s">
        <v>19</v>
      </c>
      <c r="Q141" t="s">
        <v>19</v>
      </c>
      <c r="R141" t="s">
        <v>951</v>
      </c>
      <c r="S141" t="s">
        <v>957</v>
      </c>
      <c r="T141" t="e">
        <f t="shared" si="15"/>
        <v>#VALUE!</v>
      </c>
      <c r="U141">
        <f t="shared" si="18"/>
        <v>20</v>
      </c>
    </row>
    <row r="142" spans="1:21" x14ac:dyDescent="0.25">
      <c r="A142" s="1"/>
      <c r="B142" s="1">
        <v>27739</v>
      </c>
      <c r="C142" s="2" t="s">
        <v>253</v>
      </c>
      <c r="D142" s="1" t="s">
        <v>25</v>
      </c>
      <c r="E142" s="3" t="s">
        <v>0</v>
      </c>
      <c r="F142" s="4">
        <v>40909</v>
      </c>
      <c r="G142" s="5">
        <v>45597</v>
      </c>
      <c r="H142" s="6" t="s">
        <v>1</v>
      </c>
      <c r="I142" s="1" t="s">
        <v>2</v>
      </c>
      <c r="J142" s="7"/>
      <c r="K142" s="15" t="s">
        <v>220</v>
      </c>
      <c r="L142" t="s">
        <v>452</v>
      </c>
      <c r="M142" t="s">
        <v>15</v>
      </c>
      <c r="N142" t="str">
        <f t="shared" si="17"/>
        <v>https://api.bcb.gov.br/dados/serie/bcdata.sgs.27739/dados?formato=json</v>
      </c>
      <c r="O142">
        <v>6</v>
      </c>
      <c r="P142" t="s">
        <v>19</v>
      </c>
      <c r="Q142" t="s">
        <v>19</v>
      </c>
      <c r="R142" t="s">
        <v>952</v>
      </c>
      <c r="S142" t="s">
        <v>957</v>
      </c>
      <c r="T142" t="e">
        <f t="shared" si="15"/>
        <v>#VALUE!</v>
      </c>
      <c r="U142">
        <f t="shared" si="18"/>
        <v>20</v>
      </c>
    </row>
    <row r="143" spans="1:21" x14ac:dyDescent="0.25">
      <c r="A143" s="8"/>
      <c r="B143" s="8">
        <v>27740</v>
      </c>
      <c r="C143" s="9" t="s">
        <v>254</v>
      </c>
      <c r="D143" s="1" t="s">
        <v>25</v>
      </c>
      <c r="E143" s="10" t="s">
        <v>0</v>
      </c>
      <c r="F143" s="11">
        <v>40909</v>
      </c>
      <c r="G143" s="12">
        <v>45597</v>
      </c>
      <c r="H143" s="13" t="s">
        <v>1</v>
      </c>
      <c r="I143" s="8" t="s">
        <v>2</v>
      </c>
      <c r="J143" s="14"/>
      <c r="K143" s="15" t="s">
        <v>220</v>
      </c>
      <c r="L143" t="s">
        <v>453</v>
      </c>
      <c r="M143" t="s">
        <v>15</v>
      </c>
      <c r="N143" t="str">
        <f t="shared" si="17"/>
        <v>https://api.bcb.gov.br/dados/serie/bcdata.sgs.27740/dados?formato=json</v>
      </c>
      <c r="O143">
        <v>6</v>
      </c>
      <c r="P143" t="s">
        <v>19</v>
      </c>
      <c r="Q143" t="s">
        <v>19</v>
      </c>
      <c r="R143" t="s">
        <v>953</v>
      </c>
      <c r="S143" t="s">
        <v>957</v>
      </c>
      <c r="T143" t="e">
        <f t="shared" si="15"/>
        <v>#VALUE!</v>
      </c>
      <c r="U143">
        <f t="shared" si="18"/>
        <v>20</v>
      </c>
    </row>
    <row r="144" spans="1:21" x14ac:dyDescent="0.25">
      <c r="A144" s="1"/>
      <c r="B144" s="1">
        <v>27741</v>
      </c>
      <c r="C144" s="2" t="s">
        <v>255</v>
      </c>
      <c r="D144" s="1" t="s">
        <v>25</v>
      </c>
      <c r="E144" s="3" t="s">
        <v>0</v>
      </c>
      <c r="F144" s="4">
        <v>40909</v>
      </c>
      <c r="G144" s="5">
        <v>45597</v>
      </c>
      <c r="H144" s="6" t="s">
        <v>1</v>
      </c>
      <c r="I144" s="1" t="s">
        <v>2</v>
      </c>
      <c r="J144" s="7"/>
      <c r="K144" s="15" t="s">
        <v>220</v>
      </c>
      <c r="L144" t="s">
        <v>454</v>
      </c>
      <c r="M144" t="s">
        <v>15</v>
      </c>
      <c r="N144" t="str">
        <f t="shared" si="17"/>
        <v>https://api.bcb.gov.br/dados/serie/bcdata.sgs.27741/dados?formato=json</v>
      </c>
      <c r="O144">
        <v>6</v>
      </c>
      <c r="P144" t="s">
        <v>19</v>
      </c>
      <c r="Q144" t="s">
        <v>19</v>
      </c>
      <c r="R144" t="s">
        <v>954</v>
      </c>
      <c r="S144" t="s">
        <v>957</v>
      </c>
      <c r="T144" t="e">
        <f t="shared" si="15"/>
        <v>#VALUE!</v>
      </c>
      <c r="U144">
        <f t="shared" si="18"/>
        <v>20</v>
      </c>
    </row>
    <row r="145" spans="1:21" x14ac:dyDescent="0.25">
      <c r="A145" s="8"/>
      <c r="B145" s="8">
        <v>27742</v>
      </c>
      <c r="C145" s="9" t="s">
        <v>256</v>
      </c>
      <c r="D145" s="1" t="s">
        <v>25</v>
      </c>
      <c r="E145" s="10" t="s">
        <v>0</v>
      </c>
      <c r="F145" s="11">
        <v>40909</v>
      </c>
      <c r="G145" s="12">
        <v>45597</v>
      </c>
      <c r="H145" s="13" t="s">
        <v>1</v>
      </c>
      <c r="I145" s="8" t="s">
        <v>2</v>
      </c>
      <c r="J145" s="14"/>
      <c r="K145" s="15" t="s">
        <v>220</v>
      </c>
      <c r="L145" t="s">
        <v>455</v>
      </c>
      <c r="M145" t="s">
        <v>15</v>
      </c>
      <c r="N145" t="str">
        <f t="shared" si="17"/>
        <v>https://api.bcb.gov.br/dados/serie/bcdata.sgs.27742/dados?formato=json</v>
      </c>
      <c r="O145">
        <v>6</v>
      </c>
      <c r="P145" t="s">
        <v>19</v>
      </c>
      <c r="Q145" t="s">
        <v>19</v>
      </c>
      <c r="R145" t="s">
        <v>955</v>
      </c>
      <c r="S145" t="s">
        <v>957</v>
      </c>
      <c r="T145" t="e">
        <f t="shared" si="15"/>
        <v>#VALUE!</v>
      </c>
      <c r="U145">
        <f t="shared" si="18"/>
        <v>20</v>
      </c>
    </row>
    <row r="146" spans="1:21" x14ac:dyDescent="0.25">
      <c r="A146" s="1"/>
      <c r="B146" s="1">
        <v>22041</v>
      </c>
      <c r="C146" s="2" t="s">
        <v>257</v>
      </c>
      <c r="D146" s="1" t="s">
        <v>25</v>
      </c>
      <c r="E146" s="3" t="s">
        <v>0</v>
      </c>
      <c r="F146" s="4">
        <v>40909</v>
      </c>
      <c r="G146" s="5">
        <v>45597</v>
      </c>
      <c r="H146" s="6" t="s">
        <v>1</v>
      </c>
      <c r="I146" s="1" t="s">
        <v>2</v>
      </c>
      <c r="J146" s="7"/>
      <c r="K146" s="15" t="s">
        <v>220</v>
      </c>
      <c r="L146" t="s">
        <v>456</v>
      </c>
      <c r="M146" t="s">
        <v>15</v>
      </c>
      <c r="N146" t="str">
        <f t="shared" si="17"/>
        <v>https://api.bcb.gov.br/dados/serie/bcdata.sgs.22041/dados?formato=json</v>
      </c>
      <c r="O146">
        <v>6</v>
      </c>
      <c r="P146" t="s">
        <v>19</v>
      </c>
      <c r="Q146" t="s">
        <v>19</v>
      </c>
      <c r="R146" t="s">
        <v>956</v>
      </c>
      <c r="S146" t="s">
        <v>957</v>
      </c>
      <c r="T146" t="e">
        <f t="shared" si="15"/>
        <v>#VALUE!</v>
      </c>
      <c r="U146">
        <f t="shared" si="18"/>
        <v>20</v>
      </c>
    </row>
    <row r="147" spans="1:21" x14ac:dyDescent="0.25">
      <c r="A147" s="8"/>
      <c r="B147" s="8">
        <v>22042</v>
      </c>
      <c r="C147" s="9" t="s">
        <v>258</v>
      </c>
      <c r="D147" s="1" t="s">
        <v>25</v>
      </c>
      <c r="E147" s="10" t="s">
        <v>0</v>
      </c>
      <c r="F147" s="11">
        <v>40909</v>
      </c>
      <c r="G147" s="12">
        <v>45597</v>
      </c>
      <c r="H147" s="13" t="s">
        <v>1</v>
      </c>
      <c r="I147" s="8" t="s">
        <v>2</v>
      </c>
      <c r="J147" s="14"/>
      <c r="K147" s="15" t="s">
        <v>220</v>
      </c>
      <c r="L147" t="s">
        <v>457</v>
      </c>
      <c r="M147" t="s">
        <v>15</v>
      </c>
      <c r="N147" t="str">
        <f t="shared" si="17"/>
        <v>https://api.bcb.gov.br/dados/serie/bcdata.sgs.22042/dados?formato=json</v>
      </c>
      <c r="O147">
        <v>6</v>
      </c>
      <c r="P147" t="s">
        <v>19</v>
      </c>
      <c r="Q147" t="s">
        <v>19</v>
      </c>
      <c r="R147" t="s">
        <v>118</v>
      </c>
      <c r="S147" t="s">
        <v>258</v>
      </c>
    </row>
    <row r="148" spans="1:21" x14ac:dyDescent="0.25">
      <c r="A148" s="1"/>
      <c r="B148" s="1">
        <v>22052</v>
      </c>
      <c r="C148" s="2" t="s">
        <v>261</v>
      </c>
      <c r="D148" s="1" t="s">
        <v>25</v>
      </c>
      <c r="E148" s="3" t="s">
        <v>0</v>
      </c>
      <c r="F148" s="4">
        <v>40909</v>
      </c>
      <c r="G148" s="5">
        <v>45597</v>
      </c>
      <c r="H148" s="6" t="s">
        <v>1</v>
      </c>
      <c r="I148" s="1" t="s">
        <v>2</v>
      </c>
      <c r="J148" s="7"/>
      <c r="K148" s="15" t="s">
        <v>259</v>
      </c>
      <c r="L148" t="s">
        <v>260</v>
      </c>
      <c r="M148" t="s">
        <v>15</v>
      </c>
      <c r="N148" t="str">
        <f t="shared" ref="N148:N153" si="19">_xlfn.CONCAT("https://api.bcb.gov.br/dados/serie/bcdata.sgs.",B148,"/dados?formato=json")</f>
        <v>https://api.bcb.gov.br/dados/serie/bcdata.sgs.22052/dados?formato=json</v>
      </c>
      <c r="O148">
        <v>6</v>
      </c>
      <c r="P148" t="s">
        <v>19</v>
      </c>
      <c r="Q148" t="s">
        <v>19</v>
      </c>
      <c r="R148" t="s">
        <v>118</v>
      </c>
      <c r="S148" t="s">
        <v>958</v>
      </c>
    </row>
    <row r="149" spans="1:21" x14ac:dyDescent="0.25">
      <c r="A149" s="8"/>
      <c r="B149" s="8">
        <v>22047</v>
      </c>
      <c r="C149" s="9" t="s">
        <v>262</v>
      </c>
      <c r="D149" s="1" t="s">
        <v>25</v>
      </c>
      <c r="E149" s="10" t="s">
        <v>0</v>
      </c>
      <c r="F149" s="11">
        <v>40909</v>
      </c>
      <c r="G149" s="12">
        <v>45597</v>
      </c>
      <c r="H149" s="13" t="s">
        <v>1</v>
      </c>
      <c r="I149" s="8" t="s">
        <v>2</v>
      </c>
      <c r="J149" s="14"/>
      <c r="K149" s="15" t="s">
        <v>259</v>
      </c>
      <c r="L149" t="s">
        <v>260</v>
      </c>
      <c r="M149" t="s">
        <v>15</v>
      </c>
      <c r="N149" t="str">
        <f t="shared" si="19"/>
        <v>https://api.bcb.gov.br/dados/serie/bcdata.sgs.22047/dados?formato=json</v>
      </c>
      <c r="O149">
        <v>6</v>
      </c>
      <c r="P149" t="s">
        <v>19</v>
      </c>
      <c r="Q149" t="s">
        <v>19</v>
      </c>
      <c r="R149" t="s">
        <v>622</v>
      </c>
      <c r="S149" t="s">
        <v>958</v>
      </c>
    </row>
    <row r="150" spans="1:21" x14ac:dyDescent="0.25">
      <c r="A150" s="1"/>
      <c r="B150" s="1">
        <v>22050</v>
      </c>
      <c r="C150" s="2" t="s">
        <v>263</v>
      </c>
      <c r="D150" s="1" t="s">
        <v>25</v>
      </c>
      <c r="E150" s="3" t="s">
        <v>0</v>
      </c>
      <c r="F150" s="4">
        <v>40909</v>
      </c>
      <c r="G150" s="5">
        <v>45597</v>
      </c>
      <c r="H150" s="6" t="s">
        <v>1</v>
      </c>
      <c r="I150" s="1" t="s">
        <v>2</v>
      </c>
      <c r="J150" s="7"/>
      <c r="K150" s="15" t="s">
        <v>259</v>
      </c>
      <c r="L150" t="s">
        <v>260</v>
      </c>
      <c r="M150" t="s">
        <v>15</v>
      </c>
      <c r="N150" t="str">
        <f t="shared" si="19"/>
        <v>https://api.bcb.gov.br/dados/serie/bcdata.sgs.22050/dados?formato=json</v>
      </c>
      <c r="O150">
        <v>6</v>
      </c>
      <c r="P150" t="s">
        <v>19</v>
      </c>
      <c r="Q150" t="s">
        <v>19</v>
      </c>
      <c r="R150" t="s">
        <v>621</v>
      </c>
      <c r="S150" t="s">
        <v>958</v>
      </c>
    </row>
    <row r="151" spans="1:21" x14ac:dyDescent="0.25">
      <c r="A151" s="8"/>
      <c r="B151" s="8">
        <v>22051</v>
      </c>
      <c r="C151" s="9" t="s">
        <v>264</v>
      </c>
      <c r="D151" s="1" t="s">
        <v>25</v>
      </c>
      <c r="E151" s="10" t="s">
        <v>0</v>
      </c>
      <c r="F151" s="11">
        <v>40909</v>
      </c>
      <c r="G151" s="12">
        <v>45597</v>
      </c>
      <c r="H151" s="13" t="s">
        <v>1</v>
      </c>
      <c r="I151" s="8" t="s">
        <v>2</v>
      </c>
      <c r="J151" s="14"/>
      <c r="K151" s="15" t="s">
        <v>259</v>
      </c>
      <c r="L151" t="s">
        <v>260</v>
      </c>
      <c r="M151" t="s">
        <v>15</v>
      </c>
      <c r="N151" t="str">
        <f t="shared" si="19"/>
        <v>https://api.bcb.gov.br/dados/serie/bcdata.sgs.22051/dados?formato=json</v>
      </c>
      <c r="O151">
        <v>6</v>
      </c>
      <c r="P151" t="s">
        <v>19</v>
      </c>
      <c r="Q151" t="s">
        <v>19</v>
      </c>
      <c r="R151" t="s">
        <v>118</v>
      </c>
      <c r="S151" t="s">
        <v>959</v>
      </c>
    </row>
    <row r="152" spans="1:21" x14ac:dyDescent="0.25">
      <c r="A152" s="1"/>
      <c r="B152" s="1">
        <v>22025</v>
      </c>
      <c r="C152" s="2" t="s">
        <v>265</v>
      </c>
      <c r="D152" s="1" t="s">
        <v>25</v>
      </c>
      <c r="E152" s="3" t="s">
        <v>0</v>
      </c>
      <c r="F152" s="4">
        <v>40909</v>
      </c>
      <c r="G152" s="5">
        <v>45597</v>
      </c>
      <c r="H152" s="6" t="s">
        <v>1</v>
      </c>
      <c r="I152" s="1" t="s">
        <v>2</v>
      </c>
      <c r="J152" s="7"/>
      <c r="K152" s="15" t="s">
        <v>259</v>
      </c>
      <c r="L152" t="s">
        <v>260</v>
      </c>
      <c r="M152" t="s">
        <v>15</v>
      </c>
      <c r="N152" t="str">
        <f t="shared" si="19"/>
        <v>https://api.bcb.gov.br/dados/serie/bcdata.sgs.22025/dados?formato=json</v>
      </c>
      <c r="O152">
        <v>6</v>
      </c>
      <c r="P152" t="s">
        <v>19</v>
      </c>
      <c r="Q152" t="s">
        <v>19</v>
      </c>
      <c r="R152" t="s">
        <v>960</v>
      </c>
      <c r="S152" t="s">
        <v>959</v>
      </c>
    </row>
    <row r="153" spans="1:21" x14ac:dyDescent="0.25">
      <c r="A153" s="8"/>
      <c r="B153" s="8">
        <v>22026</v>
      </c>
      <c r="C153" s="9" t="s">
        <v>266</v>
      </c>
      <c r="D153" s="1" t="s">
        <v>25</v>
      </c>
      <c r="E153" s="10" t="s">
        <v>0</v>
      </c>
      <c r="F153" s="11">
        <v>40909</v>
      </c>
      <c r="G153" s="12">
        <v>45597</v>
      </c>
      <c r="H153" s="13" t="s">
        <v>1</v>
      </c>
      <c r="I153" s="8" t="s">
        <v>2</v>
      </c>
      <c r="J153" s="14"/>
      <c r="K153" s="15" t="s">
        <v>259</v>
      </c>
      <c r="L153" t="s">
        <v>260</v>
      </c>
      <c r="M153" t="s">
        <v>15</v>
      </c>
      <c r="N153" t="str">
        <f t="shared" si="19"/>
        <v>https://api.bcb.gov.br/dados/serie/bcdata.sgs.22026/dados?formato=json</v>
      </c>
      <c r="O153">
        <v>6</v>
      </c>
      <c r="P153" t="s">
        <v>19</v>
      </c>
      <c r="Q153" t="s">
        <v>19</v>
      </c>
      <c r="R153" t="s">
        <v>961</v>
      </c>
      <c r="S153" t="s">
        <v>959</v>
      </c>
    </row>
    <row r="154" spans="1:21" x14ac:dyDescent="0.25">
      <c r="A154" s="1"/>
      <c r="B154" s="1">
        <v>2007</v>
      </c>
      <c r="C154" s="2" t="s">
        <v>272</v>
      </c>
      <c r="D154" s="1" t="s">
        <v>25</v>
      </c>
      <c r="E154" s="3" t="s">
        <v>0</v>
      </c>
      <c r="F154" s="4">
        <v>32324</v>
      </c>
      <c r="G154" s="5">
        <v>45597</v>
      </c>
      <c r="H154" s="6" t="s">
        <v>1</v>
      </c>
      <c r="I154" s="1" t="s">
        <v>2</v>
      </c>
      <c r="J154" s="7"/>
      <c r="K154" s="15" t="s">
        <v>267</v>
      </c>
      <c r="L154" t="s">
        <v>268</v>
      </c>
      <c r="M154" t="s">
        <v>15</v>
      </c>
      <c r="N154" t="str">
        <f t="shared" ref="N154:N157" si="20">_xlfn.CONCAT("https://api.bcb.gov.br/dados/serie/bcdata.sgs.",B154,"/dados?formato=json")</f>
        <v>https://api.bcb.gov.br/dados/serie/bcdata.sgs.2007/dados?formato=json</v>
      </c>
      <c r="O154">
        <v>6</v>
      </c>
      <c r="P154" t="s">
        <v>19</v>
      </c>
      <c r="Q154" t="s">
        <v>19</v>
      </c>
      <c r="R154" t="s">
        <v>118</v>
      </c>
      <c r="S154" t="s">
        <v>962</v>
      </c>
    </row>
    <row r="155" spans="1:21" x14ac:dyDescent="0.25">
      <c r="A155" s="8"/>
      <c r="B155" s="8">
        <v>2043</v>
      </c>
      <c r="C155" s="9" t="s">
        <v>274</v>
      </c>
      <c r="D155" s="1" t="s">
        <v>25</v>
      </c>
      <c r="E155" s="10" t="s">
        <v>0</v>
      </c>
      <c r="F155" s="11">
        <v>32324</v>
      </c>
      <c r="G155" s="12">
        <v>45597</v>
      </c>
      <c r="H155" s="13" t="s">
        <v>1</v>
      </c>
      <c r="I155" s="8" t="s">
        <v>2</v>
      </c>
      <c r="J155" s="14"/>
      <c r="K155" s="15" t="s">
        <v>267</v>
      </c>
      <c r="L155" t="s">
        <v>269</v>
      </c>
      <c r="M155" t="s">
        <v>15</v>
      </c>
      <c r="N155" t="str">
        <f t="shared" si="20"/>
        <v>https://api.bcb.gov.br/dados/serie/bcdata.sgs.2043/dados?formato=json</v>
      </c>
      <c r="O155">
        <v>6</v>
      </c>
      <c r="P155" t="s">
        <v>19</v>
      </c>
      <c r="Q155" t="s">
        <v>19</v>
      </c>
      <c r="R155" t="s">
        <v>118</v>
      </c>
      <c r="S155" t="s">
        <v>963</v>
      </c>
    </row>
    <row r="156" spans="1:21" x14ac:dyDescent="0.25">
      <c r="A156" s="1"/>
      <c r="B156" s="1">
        <v>12106</v>
      </c>
      <c r="C156" s="2" t="s">
        <v>273</v>
      </c>
      <c r="D156" s="1" t="s">
        <v>25</v>
      </c>
      <c r="E156" s="3" t="s">
        <v>0</v>
      </c>
      <c r="F156" s="4">
        <v>32324</v>
      </c>
      <c r="G156" s="5">
        <v>45597</v>
      </c>
      <c r="H156" s="6" t="s">
        <v>1</v>
      </c>
      <c r="I156" s="1" t="s">
        <v>2</v>
      </c>
      <c r="J156" s="7"/>
      <c r="K156" s="15" t="s">
        <v>267</v>
      </c>
      <c r="L156" t="s">
        <v>270</v>
      </c>
      <c r="M156" t="s">
        <v>15</v>
      </c>
      <c r="N156" t="str">
        <f t="shared" si="20"/>
        <v>https://api.bcb.gov.br/dados/serie/bcdata.sgs.12106/dados?formato=json</v>
      </c>
      <c r="O156">
        <v>6</v>
      </c>
      <c r="P156" t="s">
        <v>19</v>
      </c>
      <c r="Q156" t="s">
        <v>19</v>
      </c>
      <c r="R156" t="s">
        <v>966</v>
      </c>
      <c r="S156" t="s">
        <v>963</v>
      </c>
    </row>
    <row r="157" spans="1:21" x14ac:dyDescent="0.25">
      <c r="A157" s="8"/>
      <c r="B157" s="8">
        <v>12150</v>
      </c>
      <c r="C157" s="9" t="s">
        <v>275</v>
      </c>
      <c r="D157" s="1" t="s">
        <v>25</v>
      </c>
      <c r="E157" s="10" t="s">
        <v>0</v>
      </c>
      <c r="F157" s="11">
        <v>32324</v>
      </c>
      <c r="G157" s="12">
        <v>45597</v>
      </c>
      <c r="H157" s="13" t="s">
        <v>1</v>
      </c>
      <c r="I157" s="8" t="s">
        <v>2</v>
      </c>
      <c r="J157" s="14"/>
      <c r="K157" s="15" t="s">
        <v>267</v>
      </c>
      <c r="L157" t="s">
        <v>271</v>
      </c>
      <c r="M157" t="s">
        <v>15</v>
      </c>
      <c r="N157" t="str">
        <f t="shared" si="20"/>
        <v>https://api.bcb.gov.br/dados/serie/bcdata.sgs.12150/dados?formato=json</v>
      </c>
      <c r="O157">
        <v>6</v>
      </c>
      <c r="P157" t="s">
        <v>19</v>
      </c>
      <c r="Q157" t="s">
        <v>19</v>
      </c>
      <c r="R157" t="s">
        <v>118</v>
      </c>
      <c r="S157" t="s">
        <v>964</v>
      </c>
    </row>
    <row r="158" spans="1:21" x14ac:dyDescent="0.25">
      <c r="A158" s="1"/>
      <c r="B158" s="1">
        <v>20622</v>
      </c>
      <c r="C158" s="2" t="s">
        <v>278</v>
      </c>
      <c r="D158" s="1" t="s">
        <v>276</v>
      </c>
      <c r="E158" s="3" t="s">
        <v>0</v>
      </c>
      <c r="F158" s="4">
        <v>34881</v>
      </c>
      <c r="G158" s="5">
        <v>45597</v>
      </c>
      <c r="H158" s="6" t="s">
        <v>1</v>
      </c>
      <c r="I158" s="1" t="s">
        <v>2</v>
      </c>
      <c r="J158" s="7"/>
      <c r="K158" s="15" t="s">
        <v>277</v>
      </c>
      <c r="L158" t="s">
        <v>287</v>
      </c>
      <c r="M158" t="s">
        <v>15</v>
      </c>
      <c r="N158" t="str">
        <f t="shared" ref="N158:N166" si="21">_xlfn.CONCAT("https://api.bcb.gov.br/dados/serie/bcdata.sgs.",B158,"/dados?formato=json")</f>
        <v>https://api.bcb.gov.br/dados/serie/bcdata.sgs.20622/dados?formato=json</v>
      </c>
      <c r="O158">
        <v>6</v>
      </c>
      <c r="P158" t="s">
        <v>19</v>
      </c>
      <c r="Q158" t="s">
        <v>19</v>
      </c>
      <c r="R158" t="s">
        <v>118</v>
      </c>
      <c r="S158" t="s">
        <v>118</v>
      </c>
    </row>
    <row r="159" spans="1:21" x14ac:dyDescent="0.25">
      <c r="A159" s="8"/>
      <c r="B159" s="8">
        <v>20623</v>
      </c>
      <c r="C159" s="9" t="s">
        <v>279</v>
      </c>
      <c r="D159" s="8" t="s">
        <v>276</v>
      </c>
      <c r="E159" s="10" t="s">
        <v>0</v>
      </c>
      <c r="F159" s="11">
        <v>39142</v>
      </c>
      <c r="G159" s="12">
        <v>45597</v>
      </c>
      <c r="H159" s="13" t="s">
        <v>1</v>
      </c>
      <c r="I159" s="8" t="s">
        <v>2</v>
      </c>
      <c r="J159" s="14"/>
      <c r="K159" s="15" t="s">
        <v>277</v>
      </c>
      <c r="L159" t="s">
        <v>287</v>
      </c>
      <c r="M159" t="s">
        <v>15</v>
      </c>
      <c r="N159" t="str">
        <f t="shared" si="21"/>
        <v>https://api.bcb.gov.br/dados/serie/bcdata.sgs.20623/dados?formato=json</v>
      </c>
      <c r="O159">
        <v>6</v>
      </c>
      <c r="P159" t="s">
        <v>19</v>
      </c>
      <c r="Q159" t="s">
        <v>19</v>
      </c>
      <c r="R159" t="s">
        <v>118</v>
      </c>
      <c r="S159" t="s">
        <v>622</v>
      </c>
    </row>
    <row r="160" spans="1:21" x14ac:dyDescent="0.25">
      <c r="A160" s="1"/>
      <c r="B160" s="1">
        <v>20624</v>
      </c>
      <c r="C160" s="2" t="s">
        <v>280</v>
      </c>
      <c r="D160" s="1" t="s">
        <v>276</v>
      </c>
      <c r="E160" s="3" t="s">
        <v>0</v>
      </c>
      <c r="F160" s="4">
        <v>39142</v>
      </c>
      <c r="G160" s="5">
        <v>45597</v>
      </c>
      <c r="H160" s="6" t="s">
        <v>1</v>
      </c>
      <c r="I160" s="1" t="s">
        <v>2</v>
      </c>
      <c r="J160" s="7"/>
      <c r="K160" s="15" t="s">
        <v>277</v>
      </c>
      <c r="L160" t="s">
        <v>287</v>
      </c>
      <c r="M160" t="s">
        <v>15</v>
      </c>
      <c r="N160" t="str">
        <f t="shared" si="21"/>
        <v>https://api.bcb.gov.br/dados/serie/bcdata.sgs.20624/dados?formato=json</v>
      </c>
      <c r="O160">
        <v>6</v>
      </c>
      <c r="P160" t="s">
        <v>19</v>
      </c>
      <c r="Q160" t="s">
        <v>19</v>
      </c>
      <c r="R160" t="s">
        <v>118</v>
      </c>
      <c r="S160" t="s">
        <v>621</v>
      </c>
    </row>
    <row r="161" spans="1:21" x14ac:dyDescent="0.25">
      <c r="A161" s="8"/>
      <c r="B161" s="8">
        <v>20625</v>
      </c>
      <c r="C161" s="9" t="s">
        <v>281</v>
      </c>
      <c r="D161" s="8" t="s">
        <v>276</v>
      </c>
      <c r="E161" s="10" t="s">
        <v>0</v>
      </c>
      <c r="F161" s="11">
        <v>39142</v>
      </c>
      <c r="G161" s="12">
        <v>45597</v>
      </c>
      <c r="H161" s="13" t="s">
        <v>1</v>
      </c>
      <c r="I161" s="8" t="s">
        <v>2</v>
      </c>
      <c r="J161" s="14"/>
      <c r="K161" s="15" t="s">
        <v>277</v>
      </c>
      <c r="L161" t="s">
        <v>288</v>
      </c>
      <c r="M161" t="s">
        <v>15</v>
      </c>
      <c r="N161" t="str">
        <f t="shared" si="21"/>
        <v>https://api.bcb.gov.br/dados/serie/bcdata.sgs.20625/dados?formato=json</v>
      </c>
      <c r="O161">
        <v>6</v>
      </c>
      <c r="P161" t="s">
        <v>19</v>
      </c>
      <c r="Q161" t="s">
        <v>19</v>
      </c>
      <c r="R161" t="s">
        <v>1017</v>
      </c>
      <c r="S161" t="s">
        <v>118</v>
      </c>
    </row>
    <row r="162" spans="1:21" x14ac:dyDescent="0.25">
      <c r="A162" s="1"/>
      <c r="B162" s="1">
        <v>20626</v>
      </c>
      <c r="C162" s="2" t="s">
        <v>282</v>
      </c>
      <c r="D162" s="1" t="s">
        <v>276</v>
      </c>
      <c r="E162" s="3" t="s">
        <v>0</v>
      </c>
      <c r="F162" s="4">
        <v>39142</v>
      </c>
      <c r="G162" s="5">
        <v>45597</v>
      </c>
      <c r="H162" s="6" t="s">
        <v>1</v>
      </c>
      <c r="I162" s="1" t="s">
        <v>2</v>
      </c>
      <c r="J162" s="7"/>
      <c r="K162" s="15" t="s">
        <v>277</v>
      </c>
      <c r="L162" t="s">
        <v>288</v>
      </c>
      <c r="M162" t="s">
        <v>15</v>
      </c>
      <c r="N162" t="str">
        <f t="shared" si="21"/>
        <v>https://api.bcb.gov.br/dados/serie/bcdata.sgs.20626/dados?formato=json</v>
      </c>
      <c r="O162">
        <v>6</v>
      </c>
      <c r="P162" t="s">
        <v>19</v>
      </c>
      <c r="Q162" t="s">
        <v>19</v>
      </c>
      <c r="R162" t="s">
        <v>1017</v>
      </c>
      <c r="S162" t="s">
        <v>622</v>
      </c>
    </row>
    <row r="163" spans="1:21" x14ac:dyDescent="0.25">
      <c r="A163" s="8"/>
      <c r="B163" s="8">
        <v>20627</v>
      </c>
      <c r="C163" s="9" t="s">
        <v>283</v>
      </c>
      <c r="D163" s="8" t="s">
        <v>276</v>
      </c>
      <c r="E163" s="10" t="s">
        <v>0</v>
      </c>
      <c r="F163" s="11">
        <v>39142</v>
      </c>
      <c r="G163" s="12">
        <v>45597</v>
      </c>
      <c r="H163" s="13" t="s">
        <v>1</v>
      </c>
      <c r="I163" s="8" t="s">
        <v>2</v>
      </c>
      <c r="J163" s="14"/>
      <c r="K163" s="15" t="s">
        <v>277</v>
      </c>
      <c r="L163" t="s">
        <v>288</v>
      </c>
      <c r="M163" t="s">
        <v>15</v>
      </c>
      <c r="N163" t="str">
        <f t="shared" si="21"/>
        <v>https://api.bcb.gov.br/dados/serie/bcdata.sgs.20627/dados?formato=json</v>
      </c>
      <c r="O163">
        <v>6</v>
      </c>
      <c r="P163" t="s">
        <v>19</v>
      </c>
      <c r="Q163" t="s">
        <v>19</v>
      </c>
      <c r="R163" t="s">
        <v>1017</v>
      </c>
      <c r="S163" t="s">
        <v>621</v>
      </c>
    </row>
    <row r="164" spans="1:21" x14ac:dyDescent="0.25">
      <c r="A164" s="1"/>
      <c r="B164" s="1">
        <v>20628</v>
      </c>
      <c r="C164" s="2" t="s">
        <v>284</v>
      </c>
      <c r="D164" s="1" t="s">
        <v>276</v>
      </c>
      <c r="E164" s="3" t="s">
        <v>0</v>
      </c>
      <c r="F164" s="4">
        <v>39142</v>
      </c>
      <c r="G164" s="5">
        <v>45597</v>
      </c>
      <c r="H164" s="6" t="s">
        <v>1</v>
      </c>
      <c r="I164" s="1" t="s">
        <v>2</v>
      </c>
      <c r="J164" s="7"/>
      <c r="K164" s="15" t="s">
        <v>277</v>
      </c>
      <c r="L164" t="s">
        <v>289</v>
      </c>
      <c r="M164" t="s">
        <v>15</v>
      </c>
      <c r="N164" t="str">
        <f t="shared" si="21"/>
        <v>https://api.bcb.gov.br/dados/serie/bcdata.sgs.20628/dados?formato=json</v>
      </c>
      <c r="O164">
        <v>6</v>
      </c>
      <c r="P164" t="s">
        <v>19</v>
      </c>
      <c r="Q164" t="s">
        <v>19</v>
      </c>
      <c r="R164" t="s">
        <v>965</v>
      </c>
      <c r="S164" t="s">
        <v>118</v>
      </c>
    </row>
    <row r="165" spans="1:21" x14ac:dyDescent="0.25">
      <c r="A165" s="8"/>
      <c r="B165" s="8">
        <v>20629</v>
      </c>
      <c r="C165" s="9" t="s">
        <v>285</v>
      </c>
      <c r="D165" s="8" t="s">
        <v>276</v>
      </c>
      <c r="E165" s="10" t="s">
        <v>0</v>
      </c>
      <c r="F165" s="11">
        <v>39142</v>
      </c>
      <c r="G165" s="12">
        <v>45597</v>
      </c>
      <c r="H165" s="13" t="s">
        <v>1</v>
      </c>
      <c r="I165" s="8" t="s">
        <v>2</v>
      </c>
      <c r="J165" s="14"/>
      <c r="K165" s="15" t="s">
        <v>277</v>
      </c>
      <c r="L165" t="s">
        <v>289</v>
      </c>
      <c r="M165" t="s">
        <v>15</v>
      </c>
      <c r="N165" t="str">
        <f t="shared" si="21"/>
        <v>https://api.bcb.gov.br/dados/serie/bcdata.sgs.20629/dados?formato=json</v>
      </c>
      <c r="O165">
        <v>6</v>
      </c>
      <c r="P165" t="s">
        <v>19</v>
      </c>
      <c r="Q165" t="s">
        <v>19</v>
      </c>
      <c r="R165" t="s">
        <v>965</v>
      </c>
      <c r="S165" t="s">
        <v>622</v>
      </c>
    </row>
    <row r="166" spans="1:21" x14ac:dyDescent="0.25">
      <c r="A166" s="1"/>
      <c r="B166" s="1">
        <v>20630</v>
      </c>
      <c r="C166" s="2" t="s">
        <v>286</v>
      </c>
      <c r="D166" s="1" t="s">
        <v>276</v>
      </c>
      <c r="E166" s="3" t="s">
        <v>0</v>
      </c>
      <c r="F166" s="4">
        <v>39142</v>
      </c>
      <c r="G166" s="5">
        <v>45597</v>
      </c>
      <c r="H166" s="6" t="s">
        <v>1</v>
      </c>
      <c r="I166" s="1" t="s">
        <v>2</v>
      </c>
      <c r="J166" s="7"/>
      <c r="K166" s="15" t="s">
        <v>277</v>
      </c>
      <c r="L166" t="s">
        <v>289</v>
      </c>
      <c r="M166" t="s">
        <v>15</v>
      </c>
      <c r="N166" t="str">
        <f t="shared" si="21"/>
        <v>https://api.bcb.gov.br/dados/serie/bcdata.sgs.20630/dados?formato=json</v>
      </c>
      <c r="O166">
        <v>6</v>
      </c>
      <c r="P166" t="s">
        <v>19</v>
      </c>
      <c r="Q166" t="s">
        <v>19</v>
      </c>
      <c r="R166" t="s">
        <v>965</v>
      </c>
      <c r="S166" t="s">
        <v>621</v>
      </c>
    </row>
    <row r="167" spans="1:21" x14ac:dyDescent="0.25">
      <c r="A167" s="1"/>
      <c r="B167" s="1">
        <v>21302</v>
      </c>
      <c r="C167" s="2" t="s">
        <v>291</v>
      </c>
      <c r="D167" s="1" t="s">
        <v>276</v>
      </c>
      <c r="E167" s="3" t="s">
        <v>0</v>
      </c>
      <c r="F167" s="4">
        <v>40603</v>
      </c>
      <c r="G167" s="5">
        <v>45597</v>
      </c>
      <c r="H167" s="6" t="s">
        <v>1</v>
      </c>
      <c r="I167" s="1" t="s">
        <v>2</v>
      </c>
      <c r="J167" s="7"/>
      <c r="K167" s="15" t="s">
        <v>295</v>
      </c>
      <c r="L167" t="s">
        <v>290</v>
      </c>
      <c r="M167" t="s">
        <v>15</v>
      </c>
      <c r="N167" t="str">
        <f t="shared" ref="N167:N170" si="22">_xlfn.CONCAT("https://api.bcb.gov.br/dados/serie/bcdata.sgs.",B167,"/dados?formato=json")</f>
        <v>https://api.bcb.gov.br/dados/serie/bcdata.sgs.21302/dados?formato=json</v>
      </c>
      <c r="O167">
        <v>6</v>
      </c>
      <c r="P167" t="s">
        <v>19</v>
      </c>
      <c r="Q167" t="s">
        <v>19</v>
      </c>
      <c r="R167" t="s">
        <v>118</v>
      </c>
      <c r="S167" t="s">
        <v>964</v>
      </c>
    </row>
    <row r="168" spans="1:21" x14ac:dyDescent="0.25">
      <c r="A168" s="8"/>
      <c r="B168" s="8">
        <v>21299</v>
      </c>
      <c r="C168" s="9" t="s">
        <v>292</v>
      </c>
      <c r="D168" s="8" t="s">
        <v>276</v>
      </c>
      <c r="E168" s="10" t="s">
        <v>0</v>
      </c>
      <c r="F168" s="11">
        <v>40603</v>
      </c>
      <c r="G168" s="12">
        <v>45597</v>
      </c>
      <c r="H168" s="13" t="s">
        <v>1</v>
      </c>
      <c r="I168" s="8" t="s">
        <v>2</v>
      </c>
      <c r="J168" s="14"/>
      <c r="K168" s="15" t="s">
        <v>295</v>
      </c>
      <c r="L168" t="s">
        <v>290</v>
      </c>
      <c r="M168" t="s">
        <v>15</v>
      </c>
      <c r="N168" t="str">
        <f t="shared" si="22"/>
        <v>https://api.bcb.gov.br/dados/serie/bcdata.sgs.21299/dados?formato=json</v>
      </c>
      <c r="O168">
        <v>6</v>
      </c>
      <c r="P168" t="s">
        <v>19</v>
      </c>
      <c r="Q168" t="s">
        <v>19</v>
      </c>
      <c r="R168" t="s">
        <v>118</v>
      </c>
      <c r="S168" t="s">
        <v>963</v>
      </c>
    </row>
    <row r="169" spans="1:21" x14ac:dyDescent="0.25">
      <c r="A169" s="1"/>
      <c r="B169" s="1">
        <v>21301</v>
      </c>
      <c r="C169" s="2" t="s">
        <v>293</v>
      </c>
      <c r="D169" s="1" t="s">
        <v>276</v>
      </c>
      <c r="E169" s="3" t="s">
        <v>0</v>
      </c>
      <c r="F169" s="4">
        <v>40603</v>
      </c>
      <c r="G169" s="5">
        <v>45597</v>
      </c>
      <c r="H169" s="6" t="s">
        <v>1</v>
      </c>
      <c r="I169" s="1" t="s">
        <v>2</v>
      </c>
      <c r="J169" s="7"/>
      <c r="K169" s="15" t="s">
        <v>295</v>
      </c>
      <c r="L169" t="s">
        <v>290</v>
      </c>
      <c r="M169" t="s">
        <v>15</v>
      </c>
      <c r="N169" t="str">
        <f t="shared" si="22"/>
        <v>https://api.bcb.gov.br/dados/serie/bcdata.sgs.21301/dados?formato=json</v>
      </c>
      <c r="O169">
        <v>6</v>
      </c>
      <c r="P169" t="s">
        <v>19</v>
      </c>
      <c r="Q169" t="s">
        <v>19</v>
      </c>
      <c r="R169" t="s">
        <v>966</v>
      </c>
      <c r="S169" t="s">
        <v>963</v>
      </c>
    </row>
    <row r="170" spans="1:21" x14ac:dyDescent="0.25">
      <c r="A170" s="8"/>
      <c r="B170" s="8">
        <v>21300</v>
      </c>
      <c r="C170" s="9" t="s">
        <v>294</v>
      </c>
      <c r="D170" s="8" t="s">
        <v>276</v>
      </c>
      <c r="E170" s="10" t="s">
        <v>0</v>
      </c>
      <c r="F170" s="11">
        <v>40603</v>
      </c>
      <c r="G170" s="12">
        <v>45597</v>
      </c>
      <c r="H170" s="13" t="s">
        <v>1</v>
      </c>
      <c r="I170" s="8" t="s">
        <v>2</v>
      </c>
      <c r="J170" s="14"/>
      <c r="K170" s="15" t="s">
        <v>295</v>
      </c>
      <c r="L170" t="s">
        <v>290</v>
      </c>
      <c r="M170" t="s">
        <v>15</v>
      </c>
      <c r="N170" t="str">
        <f t="shared" si="22"/>
        <v>https://api.bcb.gov.br/dados/serie/bcdata.sgs.21300/dados?formato=json</v>
      </c>
      <c r="O170">
        <v>6</v>
      </c>
      <c r="P170" t="s">
        <v>19</v>
      </c>
      <c r="Q170" t="s">
        <v>19</v>
      </c>
      <c r="R170" t="s">
        <v>118</v>
      </c>
      <c r="S170" t="s">
        <v>962</v>
      </c>
    </row>
    <row r="171" spans="1:21" x14ac:dyDescent="0.25">
      <c r="A171" s="1"/>
      <c r="B171" s="1">
        <v>20631</v>
      </c>
      <c r="C171" s="2" t="s">
        <v>118</v>
      </c>
      <c r="D171" s="1" t="s">
        <v>25</v>
      </c>
      <c r="E171" s="3" t="s">
        <v>0</v>
      </c>
      <c r="F171" s="4">
        <v>40603</v>
      </c>
      <c r="G171" s="5">
        <v>45597</v>
      </c>
      <c r="H171" s="6" t="s">
        <v>1</v>
      </c>
      <c r="I171" s="1" t="s">
        <v>2</v>
      </c>
      <c r="J171" s="7"/>
      <c r="K171" s="15" t="s">
        <v>296</v>
      </c>
      <c r="L171" t="s">
        <v>458</v>
      </c>
      <c r="M171" t="s">
        <v>15</v>
      </c>
      <c r="N171" t="str">
        <f t="shared" ref="N171:N173" si="23">_xlfn.CONCAT("https://api.bcb.gov.br/dados/serie/bcdata.sgs.",B171,"/dados?formato=json")</f>
        <v>https://api.bcb.gov.br/dados/serie/bcdata.sgs.20631/dados?formato=json</v>
      </c>
      <c r="O171">
        <v>6</v>
      </c>
      <c r="P171" t="s">
        <v>19</v>
      </c>
      <c r="Q171" t="s">
        <v>19</v>
      </c>
      <c r="R171" t="s">
        <v>118</v>
      </c>
      <c r="S171" t="s">
        <v>118</v>
      </c>
    </row>
    <row r="172" spans="1:21" x14ac:dyDescent="0.25">
      <c r="A172" s="8"/>
      <c r="B172" s="8">
        <v>20632</v>
      </c>
      <c r="C172" s="9" t="s">
        <v>119</v>
      </c>
      <c r="D172" s="1" t="s">
        <v>25</v>
      </c>
      <c r="E172" s="10" t="s">
        <v>0</v>
      </c>
      <c r="F172" s="11">
        <v>40603</v>
      </c>
      <c r="G172" s="12">
        <v>45597</v>
      </c>
      <c r="H172" s="13" t="s">
        <v>1</v>
      </c>
      <c r="I172" s="8" t="s">
        <v>2</v>
      </c>
      <c r="J172" s="14"/>
      <c r="K172" s="15" t="s">
        <v>296</v>
      </c>
      <c r="L172" t="s">
        <v>458</v>
      </c>
      <c r="M172" t="s">
        <v>15</v>
      </c>
      <c r="N172" t="str">
        <f t="shared" si="23"/>
        <v>https://api.bcb.gov.br/dados/serie/bcdata.sgs.20632/dados?formato=json</v>
      </c>
      <c r="O172">
        <v>6</v>
      </c>
      <c r="P172" t="s">
        <v>19</v>
      </c>
      <c r="Q172" t="s">
        <v>19</v>
      </c>
      <c r="R172" t="s">
        <v>118</v>
      </c>
      <c r="S172" t="s">
        <v>622</v>
      </c>
    </row>
    <row r="173" spans="1:21" x14ac:dyDescent="0.25">
      <c r="A173" s="1"/>
      <c r="B173" s="1">
        <v>20633</v>
      </c>
      <c r="C173" s="2" t="s">
        <v>120</v>
      </c>
      <c r="D173" s="1" t="s">
        <v>25</v>
      </c>
      <c r="E173" s="3" t="s">
        <v>0</v>
      </c>
      <c r="F173" s="4">
        <v>40603</v>
      </c>
      <c r="G173" s="5">
        <v>45597</v>
      </c>
      <c r="H173" s="6" t="s">
        <v>1</v>
      </c>
      <c r="I173" s="1" t="s">
        <v>2</v>
      </c>
      <c r="J173" s="7"/>
      <c r="K173" s="15" t="s">
        <v>296</v>
      </c>
      <c r="L173" t="s">
        <v>458</v>
      </c>
      <c r="M173" t="s">
        <v>15</v>
      </c>
      <c r="N173" t="str">
        <f t="shared" si="23"/>
        <v>https://api.bcb.gov.br/dados/serie/bcdata.sgs.20633/dados?formato=json</v>
      </c>
      <c r="O173">
        <v>6</v>
      </c>
      <c r="P173" t="s">
        <v>19</v>
      </c>
      <c r="Q173" t="s">
        <v>19</v>
      </c>
      <c r="R173" t="s">
        <v>118</v>
      </c>
      <c r="S173" t="s">
        <v>621</v>
      </c>
    </row>
    <row r="174" spans="1:21" x14ac:dyDescent="0.25">
      <c r="A174" s="1"/>
      <c r="B174" s="1">
        <v>20634</v>
      </c>
      <c r="C174" s="2" t="s">
        <v>118</v>
      </c>
      <c r="D174" s="1" t="s">
        <v>25</v>
      </c>
      <c r="E174" s="3" t="s">
        <v>0</v>
      </c>
      <c r="F174" s="4">
        <v>40603</v>
      </c>
      <c r="G174" s="5">
        <v>45597</v>
      </c>
      <c r="H174" s="6" t="s">
        <v>1</v>
      </c>
      <c r="I174" s="1" t="s">
        <v>2</v>
      </c>
      <c r="J174" s="7"/>
      <c r="K174" s="15" t="s">
        <v>297</v>
      </c>
      <c r="L174" t="s">
        <v>298</v>
      </c>
      <c r="M174" t="s">
        <v>15</v>
      </c>
      <c r="N174" t="str">
        <f t="shared" ref="N174:N223" si="24">_xlfn.CONCAT("https://api.bcb.gov.br/dados/serie/bcdata.sgs.",B174,"/dados?formato=json")</f>
        <v>https://api.bcb.gov.br/dados/serie/bcdata.sgs.20634/dados?formato=json</v>
      </c>
      <c r="O174">
        <v>6</v>
      </c>
      <c r="P174" t="s">
        <v>19</v>
      </c>
      <c r="Q174" t="s">
        <v>19</v>
      </c>
      <c r="R174" t="s">
        <v>118</v>
      </c>
      <c r="S174" t="s">
        <v>118</v>
      </c>
    </row>
    <row r="175" spans="1:21" x14ac:dyDescent="0.25">
      <c r="A175" s="8"/>
      <c r="B175" s="8">
        <v>20635</v>
      </c>
      <c r="C175" s="9" t="s">
        <v>119</v>
      </c>
      <c r="D175" s="1" t="s">
        <v>25</v>
      </c>
      <c r="E175" s="10" t="s">
        <v>0</v>
      </c>
      <c r="F175" s="11">
        <v>40603</v>
      </c>
      <c r="G175" s="12">
        <v>45597</v>
      </c>
      <c r="H175" s="13" t="s">
        <v>1</v>
      </c>
      <c r="I175" s="8" t="s">
        <v>2</v>
      </c>
      <c r="J175" s="14"/>
      <c r="K175" s="15" t="s">
        <v>297</v>
      </c>
      <c r="L175" t="s">
        <v>324</v>
      </c>
      <c r="M175" t="s">
        <v>15</v>
      </c>
      <c r="N175" t="str">
        <f t="shared" si="24"/>
        <v>https://api.bcb.gov.br/dados/serie/bcdata.sgs.20635/dados?formato=json</v>
      </c>
      <c r="O175">
        <v>6</v>
      </c>
      <c r="P175" t="s">
        <v>19</v>
      </c>
      <c r="Q175" t="s">
        <v>19</v>
      </c>
      <c r="R175" t="s">
        <v>118</v>
      </c>
      <c r="S175" t="s">
        <v>622</v>
      </c>
      <c r="T175" t="e">
        <f t="shared" ref="T175" si="25">RIGHT(S175,LEN(S175)-U175)</f>
        <v>#VALUE!</v>
      </c>
      <c r="U175">
        <f t="shared" ref="U175:U203" si="26">LEN("Setor de serviços - ")</f>
        <v>20</v>
      </c>
    </row>
    <row r="176" spans="1:21" x14ac:dyDescent="0.25">
      <c r="A176" s="1"/>
      <c r="B176" s="1">
        <v>28163</v>
      </c>
      <c r="C176" s="2" t="s">
        <v>121</v>
      </c>
      <c r="D176" s="1" t="s">
        <v>25</v>
      </c>
      <c r="E176" s="3" t="s">
        <v>0</v>
      </c>
      <c r="F176" s="4">
        <v>40603</v>
      </c>
      <c r="G176" s="5">
        <v>45597</v>
      </c>
      <c r="H176" s="6" t="s">
        <v>1</v>
      </c>
      <c r="I176" s="1" t="s">
        <v>2</v>
      </c>
      <c r="J176" s="7"/>
      <c r="K176" s="15" t="s">
        <v>297</v>
      </c>
      <c r="L176" t="s">
        <v>299</v>
      </c>
      <c r="M176" t="s">
        <v>15</v>
      </c>
      <c r="N176" t="str">
        <f t="shared" si="24"/>
        <v>https://api.bcb.gov.br/dados/serie/bcdata.sgs.28163/dados?formato=json</v>
      </c>
      <c r="O176">
        <v>6</v>
      </c>
      <c r="P176" t="s">
        <v>19</v>
      </c>
      <c r="Q176" t="s">
        <v>19</v>
      </c>
      <c r="R176" t="s">
        <v>871</v>
      </c>
      <c r="S176" t="s">
        <v>622</v>
      </c>
      <c r="T176" t="e">
        <f t="shared" ref="T176:T203" si="27">RIGHT(S176,LEN(S176)-U176)</f>
        <v>#VALUE!</v>
      </c>
      <c r="U176">
        <f t="shared" si="26"/>
        <v>20</v>
      </c>
    </row>
    <row r="177" spans="1:21" x14ac:dyDescent="0.25">
      <c r="A177" s="8"/>
      <c r="B177" s="8">
        <v>28164</v>
      </c>
      <c r="C177" s="9" t="s">
        <v>122</v>
      </c>
      <c r="D177" s="1" t="s">
        <v>25</v>
      </c>
      <c r="E177" s="10" t="s">
        <v>0</v>
      </c>
      <c r="F177" s="11">
        <v>40603</v>
      </c>
      <c r="G177" s="12">
        <v>45597</v>
      </c>
      <c r="H177" s="13" t="s">
        <v>1</v>
      </c>
      <c r="I177" s="8" t="s">
        <v>2</v>
      </c>
      <c r="J177" s="14"/>
      <c r="K177" s="15" t="s">
        <v>297</v>
      </c>
      <c r="L177" t="s">
        <v>300</v>
      </c>
      <c r="M177" t="s">
        <v>15</v>
      </c>
      <c r="N177" t="str">
        <f t="shared" si="24"/>
        <v>https://api.bcb.gov.br/dados/serie/bcdata.sgs.28164/dados?formato=json</v>
      </c>
      <c r="O177">
        <v>6</v>
      </c>
      <c r="P177" t="s">
        <v>19</v>
      </c>
      <c r="Q177" t="s">
        <v>19</v>
      </c>
      <c r="R177" t="s">
        <v>872</v>
      </c>
      <c r="S177" t="s">
        <v>622</v>
      </c>
      <c r="T177" t="e">
        <f t="shared" si="27"/>
        <v>#VALUE!</v>
      </c>
      <c r="U177">
        <f t="shared" si="26"/>
        <v>20</v>
      </c>
    </row>
    <row r="178" spans="1:21" x14ac:dyDescent="0.25">
      <c r="A178" s="1"/>
      <c r="B178" s="1">
        <v>20636</v>
      </c>
      <c r="C178" s="2" t="s">
        <v>123</v>
      </c>
      <c r="D178" s="1" t="s">
        <v>25</v>
      </c>
      <c r="E178" s="3" t="s">
        <v>0</v>
      </c>
      <c r="F178" s="4">
        <v>40603</v>
      </c>
      <c r="G178" s="5">
        <v>45597</v>
      </c>
      <c r="H178" s="6" t="s">
        <v>1</v>
      </c>
      <c r="I178" s="1" t="s">
        <v>2</v>
      </c>
      <c r="J178" s="7"/>
      <c r="K178" s="15" t="s">
        <v>297</v>
      </c>
      <c r="L178" t="s">
        <v>301</v>
      </c>
      <c r="M178" t="s">
        <v>15</v>
      </c>
      <c r="N178" t="str">
        <f t="shared" si="24"/>
        <v>https://api.bcb.gov.br/dados/serie/bcdata.sgs.20636/dados?formato=json</v>
      </c>
      <c r="O178">
        <v>6</v>
      </c>
      <c r="P178" t="s">
        <v>19</v>
      </c>
      <c r="Q178" t="s">
        <v>19</v>
      </c>
      <c r="R178" t="s">
        <v>873</v>
      </c>
      <c r="S178" t="s">
        <v>622</v>
      </c>
      <c r="T178" t="e">
        <f t="shared" si="27"/>
        <v>#VALUE!</v>
      </c>
      <c r="U178">
        <f t="shared" si="26"/>
        <v>20</v>
      </c>
    </row>
    <row r="179" spans="1:21" x14ac:dyDescent="0.25">
      <c r="A179" s="8"/>
      <c r="B179" s="8">
        <v>20637</v>
      </c>
      <c r="C179" s="9" t="s">
        <v>124</v>
      </c>
      <c r="D179" s="1" t="s">
        <v>25</v>
      </c>
      <c r="E179" s="10" t="s">
        <v>0</v>
      </c>
      <c r="F179" s="11">
        <v>40603</v>
      </c>
      <c r="G179" s="12">
        <v>45597</v>
      </c>
      <c r="H179" s="13" t="s">
        <v>1</v>
      </c>
      <c r="I179" s="8" t="s">
        <v>2</v>
      </c>
      <c r="J179" s="14"/>
      <c r="K179" s="15" t="s">
        <v>297</v>
      </c>
      <c r="L179" t="s">
        <v>302</v>
      </c>
      <c r="M179" t="s">
        <v>15</v>
      </c>
      <c r="N179" t="str">
        <f t="shared" si="24"/>
        <v>https://api.bcb.gov.br/dados/serie/bcdata.sgs.20637/dados?formato=json</v>
      </c>
      <c r="O179">
        <v>6</v>
      </c>
      <c r="P179" t="s">
        <v>19</v>
      </c>
      <c r="Q179" t="s">
        <v>19</v>
      </c>
      <c r="R179" t="s">
        <v>874</v>
      </c>
      <c r="S179" t="s">
        <v>622</v>
      </c>
      <c r="T179" t="e">
        <f t="shared" si="27"/>
        <v>#VALUE!</v>
      </c>
      <c r="U179">
        <f t="shared" si="26"/>
        <v>20</v>
      </c>
    </row>
    <row r="180" spans="1:21" x14ac:dyDescent="0.25">
      <c r="A180" s="1"/>
      <c r="B180" s="1">
        <v>20638</v>
      </c>
      <c r="C180" s="2" t="s">
        <v>125</v>
      </c>
      <c r="D180" s="1" t="s">
        <v>25</v>
      </c>
      <c r="E180" s="3" t="s">
        <v>0</v>
      </c>
      <c r="F180" s="4">
        <v>40603</v>
      </c>
      <c r="G180" s="5">
        <v>45597</v>
      </c>
      <c r="H180" s="6" t="s">
        <v>1</v>
      </c>
      <c r="I180" s="1" t="s">
        <v>2</v>
      </c>
      <c r="J180" s="7"/>
      <c r="K180" s="15" t="s">
        <v>297</v>
      </c>
      <c r="L180" t="s">
        <v>303</v>
      </c>
      <c r="M180" t="s">
        <v>15</v>
      </c>
      <c r="N180" t="str">
        <f t="shared" si="24"/>
        <v>https://api.bcb.gov.br/dados/serie/bcdata.sgs.20638/dados?formato=json</v>
      </c>
      <c r="O180">
        <v>6</v>
      </c>
      <c r="P180" t="s">
        <v>19</v>
      </c>
      <c r="Q180" t="s">
        <v>19</v>
      </c>
      <c r="R180" t="s">
        <v>875</v>
      </c>
      <c r="S180" t="s">
        <v>622</v>
      </c>
      <c r="T180" t="e">
        <f t="shared" si="27"/>
        <v>#VALUE!</v>
      </c>
      <c r="U180">
        <f t="shared" si="26"/>
        <v>20</v>
      </c>
    </row>
    <row r="181" spans="1:21" x14ac:dyDescent="0.25">
      <c r="A181" s="8"/>
      <c r="B181" s="8">
        <v>20639</v>
      </c>
      <c r="C181" s="9" t="s">
        <v>126</v>
      </c>
      <c r="D181" s="1" t="s">
        <v>25</v>
      </c>
      <c r="E181" s="10" t="s">
        <v>0</v>
      </c>
      <c r="F181" s="11">
        <v>40603</v>
      </c>
      <c r="G181" s="12">
        <v>45597</v>
      </c>
      <c r="H181" s="13" t="s">
        <v>1</v>
      </c>
      <c r="I181" s="8" t="s">
        <v>2</v>
      </c>
      <c r="J181" s="14"/>
      <c r="K181" s="15" t="s">
        <v>297</v>
      </c>
      <c r="L181" t="s">
        <v>304</v>
      </c>
      <c r="M181" t="s">
        <v>15</v>
      </c>
      <c r="N181" t="str">
        <f t="shared" si="24"/>
        <v>https://api.bcb.gov.br/dados/serie/bcdata.sgs.20639/dados?formato=json</v>
      </c>
      <c r="O181">
        <v>6</v>
      </c>
      <c r="P181" t="s">
        <v>19</v>
      </c>
      <c r="Q181" t="s">
        <v>19</v>
      </c>
      <c r="R181" t="s">
        <v>876</v>
      </c>
      <c r="S181" t="s">
        <v>622</v>
      </c>
      <c r="T181" t="e">
        <f t="shared" si="27"/>
        <v>#VALUE!</v>
      </c>
      <c r="U181">
        <f t="shared" si="26"/>
        <v>20</v>
      </c>
    </row>
    <row r="182" spans="1:21" x14ac:dyDescent="0.25">
      <c r="A182" s="1"/>
      <c r="B182" s="1">
        <v>20640</v>
      </c>
      <c r="C182" s="2" t="s">
        <v>127</v>
      </c>
      <c r="D182" s="1" t="s">
        <v>25</v>
      </c>
      <c r="E182" s="3" t="s">
        <v>0</v>
      </c>
      <c r="F182" s="4">
        <v>40603</v>
      </c>
      <c r="G182" s="5">
        <v>45597</v>
      </c>
      <c r="H182" s="6" t="s">
        <v>1</v>
      </c>
      <c r="I182" s="1" t="s">
        <v>2</v>
      </c>
      <c r="J182" s="7"/>
      <c r="K182" s="15" t="s">
        <v>297</v>
      </c>
      <c r="L182" t="s">
        <v>305</v>
      </c>
      <c r="M182" t="s">
        <v>15</v>
      </c>
      <c r="N182" t="str">
        <f t="shared" si="24"/>
        <v>https://api.bcb.gov.br/dados/serie/bcdata.sgs.20640/dados?formato=json</v>
      </c>
      <c r="O182">
        <v>6</v>
      </c>
      <c r="P182" t="s">
        <v>19</v>
      </c>
      <c r="Q182" t="s">
        <v>19</v>
      </c>
      <c r="R182" t="s">
        <v>877</v>
      </c>
      <c r="S182" t="s">
        <v>622</v>
      </c>
      <c r="T182" t="e">
        <f t="shared" si="27"/>
        <v>#VALUE!</v>
      </c>
      <c r="U182">
        <f t="shared" si="26"/>
        <v>20</v>
      </c>
    </row>
    <row r="183" spans="1:21" x14ac:dyDescent="0.25">
      <c r="A183" s="8"/>
      <c r="B183" s="8">
        <v>20641</v>
      </c>
      <c r="C183" s="9" t="s">
        <v>128</v>
      </c>
      <c r="D183" s="1" t="s">
        <v>25</v>
      </c>
      <c r="E183" s="10" t="s">
        <v>0</v>
      </c>
      <c r="F183" s="11">
        <v>40603</v>
      </c>
      <c r="G183" s="12">
        <v>45597</v>
      </c>
      <c r="H183" s="13" t="s">
        <v>1</v>
      </c>
      <c r="I183" s="8" t="s">
        <v>2</v>
      </c>
      <c r="J183" s="14"/>
      <c r="K183" s="15" t="s">
        <v>297</v>
      </c>
      <c r="L183" t="s">
        <v>306</v>
      </c>
      <c r="M183" t="s">
        <v>15</v>
      </c>
      <c r="N183" t="str">
        <f t="shared" si="24"/>
        <v>https://api.bcb.gov.br/dados/serie/bcdata.sgs.20641/dados?formato=json</v>
      </c>
      <c r="O183">
        <v>6</v>
      </c>
      <c r="P183" t="s">
        <v>19</v>
      </c>
      <c r="Q183" t="s">
        <v>19</v>
      </c>
      <c r="R183" t="s">
        <v>878</v>
      </c>
      <c r="S183" t="s">
        <v>622</v>
      </c>
      <c r="T183" t="e">
        <f t="shared" si="27"/>
        <v>#VALUE!</v>
      </c>
      <c r="U183">
        <f t="shared" si="26"/>
        <v>20</v>
      </c>
    </row>
    <row r="184" spans="1:21" x14ac:dyDescent="0.25">
      <c r="A184" s="1"/>
      <c r="B184" s="1">
        <v>20642</v>
      </c>
      <c r="C184" s="2" t="s">
        <v>129</v>
      </c>
      <c r="D184" s="1" t="s">
        <v>25</v>
      </c>
      <c r="E184" s="3" t="s">
        <v>0</v>
      </c>
      <c r="F184" s="4">
        <v>40603</v>
      </c>
      <c r="G184" s="5">
        <v>45597</v>
      </c>
      <c r="H184" s="6" t="s">
        <v>1</v>
      </c>
      <c r="I184" s="1" t="s">
        <v>2</v>
      </c>
      <c r="J184" s="7"/>
      <c r="K184" s="15" t="s">
        <v>297</v>
      </c>
      <c r="L184" t="s">
        <v>307</v>
      </c>
      <c r="M184" t="s">
        <v>15</v>
      </c>
      <c r="N184" t="str">
        <f t="shared" si="24"/>
        <v>https://api.bcb.gov.br/dados/serie/bcdata.sgs.20642/dados?formato=json</v>
      </c>
      <c r="O184">
        <v>6</v>
      </c>
      <c r="P184" t="s">
        <v>19</v>
      </c>
      <c r="Q184" t="s">
        <v>19</v>
      </c>
      <c r="R184" t="s">
        <v>879</v>
      </c>
      <c r="S184" t="s">
        <v>622</v>
      </c>
      <c r="T184" t="e">
        <f t="shared" si="27"/>
        <v>#VALUE!</v>
      </c>
      <c r="U184">
        <f t="shared" si="26"/>
        <v>20</v>
      </c>
    </row>
    <row r="185" spans="1:21" x14ac:dyDescent="0.25">
      <c r="A185" s="8"/>
      <c r="B185" s="8">
        <v>20643</v>
      </c>
      <c r="C185" s="9" t="s">
        <v>130</v>
      </c>
      <c r="D185" s="1" t="s">
        <v>25</v>
      </c>
      <c r="E185" s="10" t="s">
        <v>0</v>
      </c>
      <c r="F185" s="11">
        <v>40603</v>
      </c>
      <c r="G185" s="12">
        <v>45597</v>
      </c>
      <c r="H185" s="13" t="s">
        <v>1</v>
      </c>
      <c r="I185" s="8" t="s">
        <v>2</v>
      </c>
      <c r="J185" s="14"/>
      <c r="K185" s="15" t="s">
        <v>297</v>
      </c>
      <c r="L185" t="s">
        <v>308</v>
      </c>
      <c r="M185" t="s">
        <v>15</v>
      </c>
      <c r="N185" t="str">
        <f t="shared" si="24"/>
        <v>https://api.bcb.gov.br/dados/serie/bcdata.sgs.20643/dados?formato=json</v>
      </c>
      <c r="O185">
        <v>6</v>
      </c>
      <c r="P185" t="s">
        <v>19</v>
      </c>
      <c r="Q185" t="s">
        <v>19</v>
      </c>
      <c r="R185" t="s">
        <v>880</v>
      </c>
      <c r="S185" t="s">
        <v>622</v>
      </c>
      <c r="T185" t="e">
        <f t="shared" si="27"/>
        <v>#VALUE!</v>
      </c>
      <c r="U185">
        <f t="shared" si="26"/>
        <v>20</v>
      </c>
    </row>
    <row r="186" spans="1:21" x14ac:dyDescent="0.25">
      <c r="A186" s="1"/>
      <c r="B186" s="1">
        <v>20644</v>
      </c>
      <c r="C186" s="2" t="s">
        <v>131</v>
      </c>
      <c r="D186" s="1" t="s">
        <v>25</v>
      </c>
      <c r="E186" s="3" t="s">
        <v>0</v>
      </c>
      <c r="F186" s="4">
        <v>40603</v>
      </c>
      <c r="G186" s="5">
        <v>45597</v>
      </c>
      <c r="H186" s="6" t="s">
        <v>1</v>
      </c>
      <c r="I186" s="1" t="s">
        <v>2</v>
      </c>
      <c r="J186" s="7"/>
      <c r="K186" s="15" t="s">
        <v>297</v>
      </c>
      <c r="L186" t="s">
        <v>309</v>
      </c>
      <c r="M186" t="s">
        <v>15</v>
      </c>
      <c r="N186" t="str">
        <f t="shared" si="24"/>
        <v>https://api.bcb.gov.br/dados/serie/bcdata.sgs.20644/dados?formato=json</v>
      </c>
      <c r="O186">
        <v>6</v>
      </c>
      <c r="P186" t="s">
        <v>19</v>
      </c>
      <c r="Q186" t="s">
        <v>19</v>
      </c>
      <c r="R186" t="s">
        <v>881</v>
      </c>
      <c r="S186" t="s">
        <v>622</v>
      </c>
      <c r="T186" t="e">
        <f t="shared" si="27"/>
        <v>#VALUE!</v>
      </c>
      <c r="U186">
        <f t="shared" si="26"/>
        <v>20</v>
      </c>
    </row>
    <row r="187" spans="1:21" x14ac:dyDescent="0.25">
      <c r="A187" s="8"/>
      <c r="B187" s="8">
        <v>20645</v>
      </c>
      <c r="C187" s="9" t="s">
        <v>132</v>
      </c>
      <c r="D187" s="1" t="s">
        <v>25</v>
      </c>
      <c r="E187" s="10" t="s">
        <v>0</v>
      </c>
      <c r="F187" s="11">
        <v>40603</v>
      </c>
      <c r="G187" s="12">
        <v>45597</v>
      </c>
      <c r="H187" s="13" t="s">
        <v>1</v>
      </c>
      <c r="I187" s="8" t="s">
        <v>2</v>
      </c>
      <c r="J187" s="14"/>
      <c r="K187" s="15" t="s">
        <v>297</v>
      </c>
      <c r="L187" t="s">
        <v>311</v>
      </c>
      <c r="M187" t="s">
        <v>15</v>
      </c>
      <c r="N187" t="str">
        <f t="shared" si="24"/>
        <v>https://api.bcb.gov.br/dados/serie/bcdata.sgs.20645/dados?formato=json</v>
      </c>
      <c r="O187">
        <v>6</v>
      </c>
      <c r="P187" t="s">
        <v>19</v>
      </c>
      <c r="Q187" t="s">
        <v>19</v>
      </c>
      <c r="R187" t="s">
        <v>882</v>
      </c>
      <c r="S187" t="s">
        <v>622</v>
      </c>
      <c r="T187" t="e">
        <f t="shared" si="27"/>
        <v>#VALUE!</v>
      </c>
      <c r="U187">
        <f t="shared" si="26"/>
        <v>20</v>
      </c>
    </row>
    <row r="188" spans="1:21" x14ac:dyDescent="0.25">
      <c r="A188" s="1"/>
      <c r="B188" s="1">
        <v>20646</v>
      </c>
      <c r="C188" s="2" t="s">
        <v>133</v>
      </c>
      <c r="D188" s="1" t="s">
        <v>25</v>
      </c>
      <c r="E188" s="3" t="s">
        <v>0</v>
      </c>
      <c r="F188" s="4">
        <v>40603</v>
      </c>
      <c r="G188" s="5">
        <v>45597</v>
      </c>
      <c r="H188" s="6" t="s">
        <v>1</v>
      </c>
      <c r="I188" s="1" t="s">
        <v>2</v>
      </c>
      <c r="J188" s="7"/>
      <c r="K188" s="15" t="s">
        <v>297</v>
      </c>
      <c r="L188" t="s">
        <v>311</v>
      </c>
      <c r="M188" t="s">
        <v>15</v>
      </c>
      <c r="N188" t="str">
        <f t="shared" si="24"/>
        <v>https://api.bcb.gov.br/dados/serie/bcdata.sgs.20646/dados?formato=json</v>
      </c>
      <c r="O188">
        <v>6</v>
      </c>
      <c r="P188" t="s">
        <v>19</v>
      </c>
      <c r="Q188" t="s">
        <v>19</v>
      </c>
      <c r="R188" t="s">
        <v>883</v>
      </c>
      <c r="S188" t="s">
        <v>622</v>
      </c>
      <c r="T188" t="e">
        <f t="shared" si="27"/>
        <v>#VALUE!</v>
      </c>
      <c r="U188">
        <f t="shared" si="26"/>
        <v>20</v>
      </c>
    </row>
    <row r="189" spans="1:21" x14ac:dyDescent="0.25">
      <c r="A189" s="8"/>
      <c r="B189" s="8">
        <v>20647</v>
      </c>
      <c r="C189" s="9" t="s">
        <v>134</v>
      </c>
      <c r="D189" s="1" t="s">
        <v>25</v>
      </c>
      <c r="E189" s="10" t="s">
        <v>0</v>
      </c>
      <c r="F189" s="11">
        <v>40603</v>
      </c>
      <c r="G189" s="12">
        <v>45597</v>
      </c>
      <c r="H189" s="13" t="s">
        <v>1</v>
      </c>
      <c r="I189" s="8" t="s">
        <v>2</v>
      </c>
      <c r="J189" s="14"/>
      <c r="K189" s="15" t="s">
        <v>297</v>
      </c>
      <c r="L189" t="s">
        <v>311</v>
      </c>
      <c r="M189" t="s">
        <v>15</v>
      </c>
      <c r="N189" t="str">
        <f t="shared" si="24"/>
        <v>https://api.bcb.gov.br/dados/serie/bcdata.sgs.20647/dados?formato=json</v>
      </c>
      <c r="O189">
        <v>6</v>
      </c>
      <c r="P189" t="s">
        <v>19</v>
      </c>
      <c r="Q189" t="s">
        <v>19</v>
      </c>
      <c r="R189" t="s">
        <v>884</v>
      </c>
      <c r="S189" t="s">
        <v>622</v>
      </c>
      <c r="T189" t="e">
        <f t="shared" si="27"/>
        <v>#VALUE!</v>
      </c>
      <c r="U189">
        <f t="shared" si="26"/>
        <v>20</v>
      </c>
    </row>
    <row r="190" spans="1:21" x14ac:dyDescent="0.25">
      <c r="A190" s="1"/>
      <c r="B190" s="1">
        <v>20648</v>
      </c>
      <c r="C190" s="2" t="s">
        <v>135</v>
      </c>
      <c r="D190" s="1" t="s">
        <v>25</v>
      </c>
      <c r="E190" s="3" t="s">
        <v>0</v>
      </c>
      <c r="F190" s="4">
        <v>40603</v>
      </c>
      <c r="G190" s="5">
        <v>45597</v>
      </c>
      <c r="H190" s="6" t="s">
        <v>1</v>
      </c>
      <c r="I190" s="1" t="s">
        <v>2</v>
      </c>
      <c r="J190" s="7"/>
      <c r="K190" s="15" t="s">
        <v>297</v>
      </c>
      <c r="L190" t="s">
        <v>310</v>
      </c>
      <c r="M190" t="s">
        <v>15</v>
      </c>
      <c r="N190" t="str">
        <f t="shared" si="24"/>
        <v>https://api.bcb.gov.br/dados/serie/bcdata.sgs.20648/dados?formato=json</v>
      </c>
      <c r="O190">
        <v>6</v>
      </c>
      <c r="P190" t="s">
        <v>19</v>
      </c>
      <c r="Q190" t="s">
        <v>19</v>
      </c>
      <c r="R190" t="s">
        <v>885</v>
      </c>
      <c r="S190" t="s">
        <v>622</v>
      </c>
      <c r="T190" t="e">
        <f t="shared" si="27"/>
        <v>#VALUE!</v>
      </c>
      <c r="U190">
        <f t="shared" si="26"/>
        <v>20</v>
      </c>
    </row>
    <row r="191" spans="1:21" x14ac:dyDescent="0.25">
      <c r="A191" s="8"/>
      <c r="B191" s="8">
        <v>20649</v>
      </c>
      <c r="C191" s="9" t="s">
        <v>136</v>
      </c>
      <c r="D191" s="1" t="s">
        <v>25</v>
      </c>
      <c r="E191" s="10" t="s">
        <v>0</v>
      </c>
      <c r="F191" s="11">
        <v>40603</v>
      </c>
      <c r="G191" s="12">
        <v>45597</v>
      </c>
      <c r="H191" s="13" t="s">
        <v>1</v>
      </c>
      <c r="I191" s="8" t="s">
        <v>2</v>
      </c>
      <c r="J191" s="14"/>
      <c r="K191" s="15" t="s">
        <v>297</v>
      </c>
      <c r="L191" t="s">
        <v>310</v>
      </c>
      <c r="M191" t="s">
        <v>15</v>
      </c>
      <c r="N191" t="str">
        <f t="shared" si="24"/>
        <v>https://api.bcb.gov.br/dados/serie/bcdata.sgs.20649/dados?formato=json</v>
      </c>
      <c r="O191">
        <v>6</v>
      </c>
      <c r="P191" t="s">
        <v>19</v>
      </c>
      <c r="Q191" t="s">
        <v>19</v>
      </c>
      <c r="R191" t="s">
        <v>886</v>
      </c>
      <c r="S191" t="s">
        <v>622</v>
      </c>
      <c r="T191" t="e">
        <f t="shared" si="27"/>
        <v>#VALUE!</v>
      </c>
      <c r="U191">
        <f t="shared" si="26"/>
        <v>20</v>
      </c>
    </row>
    <row r="192" spans="1:21" x14ac:dyDescent="0.25">
      <c r="A192" s="1"/>
      <c r="B192" s="1">
        <v>20650</v>
      </c>
      <c r="C192" s="2" t="s">
        <v>137</v>
      </c>
      <c r="D192" s="1" t="s">
        <v>25</v>
      </c>
      <c r="E192" s="3" t="s">
        <v>0</v>
      </c>
      <c r="F192" s="4">
        <v>40603</v>
      </c>
      <c r="G192" s="5">
        <v>45597</v>
      </c>
      <c r="H192" s="6" t="s">
        <v>1</v>
      </c>
      <c r="I192" s="1" t="s">
        <v>2</v>
      </c>
      <c r="J192" s="7"/>
      <c r="K192" s="15" t="s">
        <v>297</v>
      </c>
      <c r="L192" t="s">
        <v>310</v>
      </c>
      <c r="M192" t="s">
        <v>15</v>
      </c>
      <c r="N192" t="str">
        <f t="shared" si="24"/>
        <v>https://api.bcb.gov.br/dados/serie/bcdata.sgs.20650/dados?formato=json</v>
      </c>
      <c r="O192">
        <v>6</v>
      </c>
      <c r="P192" t="s">
        <v>19</v>
      </c>
      <c r="Q192" t="s">
        <v>19</v>
      </c>
      <c r="R192" t="s">
        <v>887</v>
      </c>
      <c r="S192" t="s">
        <v>622</v>
      </c>
      <c r="T192" t="e">
        <f t="shared" si="27"/>
        <v>#VALUE!</v>
      </c>
      <c r="U192">
        <f t="shared" si="26"/>
        <v>20</v>
      </c>
    </row>
    <row r="193" spans="1:21" x14ac:dyDescent="0.25">
      <c r="A193" s="8"/>
      <c r="B193" s="8">
        <v>20651</v>
      </c>
      <c r="C193" s="9" t="s">
        <v>138</v>
      </c>
      <c r="D193" s="1" t="s">
        <v>25</v>
      </c>
      <c r="E193" s="10" t="s">
        <v>0</v>
      </c>
      <c r="F193" s="11">
        <v>40603</v>
      </c>
      <c r="G193" s="12">
        <v>45597</v>
      </c>
      <c r="H193" s="13" t="s">
        <v>1</v>
      </c>
      <c r="I193" s="8" t="s">
        <v>2</v>
      </c>
      <c r="J193" s="14"/>
      <c r="K193" s="15" t="s">
        <v>297</v>
      </c>
      <c r="L193" t="s">
        <v>312</v>
      </c>
      <c r="M193" t="s">
        <v>15</v>
      </c>
      <c r="N193" t="str">
        <f t="shared" si="24"/>
        <v>https://api.bcb.gov.br/dados/serie/bcdata.sgs.20651/dados?formato=json</v>
      </c>
      <c r="O193">
        <v>6</v>
      </c>
      <c r="P193" t="s">
        <v>19</v>
      </c>
      <c r="Q193" t="s">
        <v>19</v>
      </c>
      <c r="R193" t="s">
        <v>888</v>
      </c>
      <c r="S193" t="s">
        <v>622</v>
      </c>
      <c r="T193" t="e">
        <f t="shared" si="27"/>
        <v>#VALUE!</v>
      </c>
      <c r="U193">
        <f t="shared" si="26"/>
        <v>20</v>
      </c>
    </row>
    <row r="194" spans="1:21" x14ac:dyDescent="0.25">
      <c r="A194" s="1"/>
      <c r="B194" s="1">
        <v>20652</v>
      </c>
      <c r="C194" s="2" t="s">
        <v>139</v>
      </c>
      <c r="D194" s="1" t="s">
        <v>25</v>
      </c>
      <c r="E194" s="3" t="s">
        <v>0</v>
      </c>
      <c r="F194" s="4">
        <v>40603</v>
      </c>
      <c r="G194" s="5">
        <v>45597</v>
      </c>
      <c r="H194" s="6" t="s">
        <v>1</v>
      </c>
      <c r="I194" s="1" t="s">
        <v>2</v>
      </c>
      <c r="J194" s="7"/>
      <c r="K194" s="15" t="s">
        <v>297</v>
      </c>
      <c r="L194" t="s">
        <v>313</v>
      </c>
      <c r="M194" t="s">
        <v>15</v>
      </c>
      <c r="N194" t="str">
        <f t="shared" si="24"/>
        <v>https://api.bcb.gov.br/dados/serie/bcdata.sgs.20652/dados?formato=json</v>
      </c>
      <c r="O194">
        <v>6</v>
      </c>
      <c r="P194" t="s">
        <v>19</v>
      </c>
      <c r="Q194" t="s">
        <v>19</v>
      </c>
      <c r="R194" t="s">
        <v>889</v>
      </c>
      <c r="S194" t="s">
        <v>622</v>
      </c>
      <c r="T194" t="e">
        <f t="shared" si="27"/>
        <v>#VALUE!</v>
      </c>
      <c r="U194">
        <f t="shared" si="26"/>
        <v>20</v>
      </c>
    </row>
    <row r="195" spans="1:21" x14ac:dyDescent="0.25">
      <c r="A195" s="8"/>
      <c r="B195" s="8">
        <v>20653</v>
      </c>
      <c r="C195" s="9" t="s">
        <v>140</v>
      </c>
      <c r="D195" s="1" t="s">
        <v>25</v>
      </c>
      <c r="E195" s="10" t="s">
        <v>0</v>
      </c>
      <c r="F195" s="11">
        <v>40603</v>
      </c>
      <c r="G195" s="12">
        <v>45597</v>
      </c>
      <c r="H195" s="13" t="s">
        <v>1</v>
      </c>
      <c r="I195" s="8" t="s">
        <v>2</v>
      </c>
      <c r="J195" s="14"/>
      <c r="K195" s="15" t="s">
        <v>297</v>
      </c>
      <c r="L195" t="s">
        <v>314</v>
      </c>
      <c r="M195" t="s">
        <v>15</v>
      </c>
      <c r="N195" t="str">
        <f t="shared" si="24"/>
        <v>https://api.bcb.gov.br/dados/serie/bcdata.sgs.20653/dados?formato=json</v>
      </c>
      <c r="O195">
        <v>6</v>
      </c>
      <c r="P195" t="s">
        <v>19</v>
      </c>
      <c r="Q195" t="s">
        <v>19</v>
      </c>
      <c r="R195" t="s">
        <v>890</v>
      </c>
      <c r="S195" t="s">
        <v>622</v>
      </c>
      <c r="T195" t="e">
        <f t="shared" si="27"/>
        <v>#VALUE!</v>
      </c>
      <c r="U195">
        <f t="shared" si="26"/>
        <v>20</v>
      </c>
    </row>
    <row r="196" spans="1:21" x14ac:dyDescent="0.25">
      <c r="A196" s="1"/>
      <c r="B196" s="1">
        <v>20654</v>
      </c>
      <c r="C196" s="2" t="s">
        <v>141</v>
      </c>
      <c r="D196" s="1" t="s">
        <v>25</v>
      </c>
      <c r="E196" s="3" t="s">
        <v>0</v>
      </c>
      <c r="F196" s="4">
        <v>40603</v>
      </c>
      <c r="G196" s="5">
        <v>45597</v>
      </c>
      <c r="H196" s="6" t="s">
        <v>1</v>
      </c>
      <c r="I196" s="1" t="s">
        <v>2</v>
      </c>
      <c r="J196" s="7"/>
      <c r="K196" s="15" t="s">
        <v>297</v>
      </c>
      <c r="L196" t="s">
        <v>315</v>
      </c>
      <c r="M196" t="s">
        <v>15</v>
      </c>
      <c r="N196" t="str">
        <f t="shared" si="24"/>
        <v>https://api.bcb.gov.br/dados/serie/bcdata.sgs.20654/dados?formato=json</v>
      </c>
      <c r="O196">
        <v>6</v>
      </c>
      <c r="P196" t="s">
        <v>19</v>
      </c>
      <c r="Q196" t="s">
        <v>19</v>
      </c>
      <c r="R196" t="s">
        <v>891</v>
      </c>
      <c r="S196" t="s">
        <v>622</v>
      </c>
      <c r="T196" t="e">
        <f t="shared" si="27"/>
        <v>#VALUE!</v>
      </c>
      <c r="U196">
        <f t="shared" si="26"/>
        <v>20</v>
      </c>
    </row>
    <row r="197" spans="1:21" x14ac:dyDescent="0.25">
      <c r="A197" s="8"/>
      <c r="B197" s="8">
        <v>20655</v>
      </c>
      <c r="C197" s="9" t="s">
        <v>142</v>
      </c>
      <c r="D197" s="1" t="s">
        <v>25</v>
      </c>
      <c r="E197" s="10" t="s">
        <v>0</v>
      </c>
      <c r="F197" s="11">
        <v>40603</v>
      </c>
      <c r="G197" s="12">
        <v>45597</v>
      </c>
      <c r="H197" s="13" t="s">
        <v>1</v>
      </c>
      <c r="I197" s="8" t="s">
        <v>2</v>
      </c>
      <c r="J197" s="14"/>
      <c r="K197" s="15" t="s">
        <v>297</v>
      </c>
      <c r="L197" t="s">
        <v>316</v>
      </c>
      <c r="M197" t="s">
        <v>15</v>
      </c>
      <c r="N197" t="str">
        <f t="shared" si="24"/>
        <v>https://api.bcb.gov.br/dados/serie/bcdata.sgs.20655/dados?formato=json</v>
      </c>
      <c r="O197">
        <v>6</v>
      </c>
      <c r="P197" t="s">
        <v>19</v>
      </c>
      <c r="Q197" t="s">
        <v>19</v>
      </c>
      <c r="R197" t="s">
        <v>892</v>
      </c>
      <c r="S197" t="s">
        <v>622</v>
      </c>
      <c r="T197" t="e">
        <f t="shared" si="27"/>
        <v>#VALUE!</v>
      </c>
      <c r="U197">
        <f t="shared" si="26"/>
        <v>20</v>
      </c>
    </row>
    <row r="198" spans="1:21" x14ac:dyDescent="0.25">
      <c r="A198" s="1"/>
      <c r="B198" s="1">
        <v>20656</v>
      </c>
      <c r="C198" s="2" t="s">
        <v>143</v>
      </c>
      <c r="D198" s="1" t="s">
        <v>25</v>
      </c>
      <c r="E198" s="3" t="s">
        <v>0</v>
      </c>
      <c r="F198" s="4">
        <v>40603</v>
      </c>
      <c r="G198" s="5">
        <v>45597</v>
      </c>
      <c r="H198" s="6" t="s">
        <v>1</v>
      </c>
      <c r="I198" s="1" t="s">
        <v>2</v>
      </c>
      <c r="J198" s="7"/>
      <c r="K198" s="15" t="s">
        <v>297</v>
      </c>
      <c r="L198" t="s">
        <v>317</v>
      </c>
      <c r="M198" t="s">
        <v>15</v>
      </c>
      <c r="N198" t="str">
        <f t="shared" si="24"/>
        <v>https://api.bcb.gov.br/dados/serie/bcdata.sgs.20656/dados?formato=json</v>
      </c>
      <c r="O198">
        <v>6</v>
      </c>
      <c r="P198" t="s">
        <v>19</v>
      </c>
      <c r="Q198" t="s">
        <v>19</v>
      </c>
      <c r="R198" t="s">
        <v>893</v>
      </c>
      <c r="S198" t="s">
        <v>622</v>
      </c>
      <c r="T198" t="e">
        <f t="shared" si="27"/>
        <v>#VALUE!</v>
      </c>
      <c r="U198">
        <f t="shared" si="26"/>
        <v>20</v>
      </c>
    </row>
    <row r="199" spans="1:21" x14ac:dyDescent="0.25">
      <c r="A199" s="8"/>
      <c r="B199" s="8">
        <v>20657</v>
      </c>
      <c r="C199" s="9" t="s">
        <v>144</v>
      </c>
      <c r="D199" s="1" t="s">
        <v>25</v>
      </c>
      <c r="E199" s="10" t="s">
        <v>0</v>
      </c>
      <c r="F199" s="11">
        <v>40603</v>
      </c>
      <c r="G199" s="12">
        <v>45597</v>
      </c>
      <c r="H199" s="13" t="s">
        <v>1</v>
      </c>
      <c r="I199" s="8" t="s">
        <v>2</v>
      </c>
      <c r="J199" s="14"/>
      <c r="K199" s="15" t="s">
        <v>297</v>
      </c>
      <c r="L199" t="s">
        <v>318</v>
      </c>
      <c r="M199" t="s">
        <v>15</v>
      </c>
      <c r="N199" t="str">
        <f t="shared" si="24"/>
        <v>https://api.bcb.gov.br/dados/serie/bcdata.sgs.20657/dados?formato=json</v>
      </c>
      <c r="O199">
        <v>6</v>
      </c>
      <c r="P199" t="s">
        <v>19</v>
      </c>
      <c r="Q199" t="s">
        <v>19</v>
      </c>
      <c r="R199" t="s">
        <v>894</v>
      </c>
      <c r="S199" t="s">
        <v>622</v>
      </c>
      <c r="T199" t="e">
        <f t="shared" si="27"/>
        <v>#VALUE!</v>
      </c>
      <c r="U199">
        <f t="shared" si="26"/>
        <v>20</v>
      </c>
    </row>
    <row r="200" spans="1:21" x14ac:dyDescent="0.25">
      <c r="A200" s="1"/>
      <c r="B200" s="1">
        <v>20658</v>
      </c>
      <c r="C200" s="2" t="s">
        <v>145</v>
      </c>
      <c r="D200" s="1" t="s">
        <v>25</v>
      </c>
      <c r="E200" s="3" t="s">
        <v>0</v>
      </c>
      <c r="F200" s="4">
        <v>40603</v>
      </c>
      <c r="G200" s="5">
        <v>45597</v>
      </c>
      <c r="H200" s="6" t="s">
        <v>1</v>
      </c>
      <c r="I200" s="1" t="s">
        <v>2</v>
      </c>
      <c r="J200" s="7"/>
      <c r="K200" s="15" t="s">
        <v>297</v>
      </c>
      <c r="L200" t="s">
        <v>319</v>
      </c>
      <c r="M200" t="s">
        <v>15</v>
      </c>
      <c r="N200" t="str">
        <f t="shared" si="24"/>
        <v>https://api.bcb.gov.br/dados/serie/bcdata.sgs.20658/dados?formato=json</v>
      </c>
      <c r="O200">
        <v>6</v>
      </c>
      <c r="P200" t="s">
        <v>19</v>
      </c>
      <c r="Q200" t="s">
        <v>19</v>
      </c>
      <c r="R200" t="s">
        <v>895</v>
      </c>
      <c r="S200" t="s">
        <v>622</v>
      </c>
      <c r="T200" t="e">
        <f t="shared" si="27"/>
        <v>#VALUE!</v>
      </c>
      <c r="U200">
        <f t="shared" si="26"/>
        <v>20</v>
      </c>
    </row>
    <row r="201" spans="1:21" x14ac:dyDescent="0.25">
      <c r="A201" s="8"/>
      <c r="B201" s="8">
        <v>20659</v>
      </c>
      <c r="C201" s="9" t="s">
        <v>146</v>
      </c>
      <c r="D201" s="1" t="s">
        <v>25</v>
      </c>
      <c r="E201" s="10" t="s">
        <v>0</v>
      </c>
      <c r="F201" s="11">
        <v>40603</v>
      </c>
      <c r="G201" s="12">
        <v>45597</v>
      </c>
      <c r="H201" s="13" t="s">
        <v>1</v>
      </c>
      <c r="I201" s="8" t="s">
        <v>2</v>
      </c>
      <c r="J201" s="14"/>
      <c r="K201" s="15" t="s">
        <v>297</v>
      </c>
      <c r="L201" t="s">
        <v>320</v>
      </c>
      <c r="M201" t="s">
        <v>15</v>
      </c>
      <c r="N201" t="str">
        <f t="shared" si="24"/>
        <v>https://api.bcb.gov.br/dados/serie/bcdata.sgs.20659/dados?formato=json</v>
      </c>
      <c r="O201">
        <v>6</v>
      </c>
      <c r="P201" t="s">
        <v>19</v>
      </c>
      <c r="Q201" t="s">
        <v>19</v>
      </c>
      <c r="R201" t="s">
        <v>896</v>
      </c>
      <c r="S201" t="s">
        <v>622</v>
      </c>
      <c r="T201" t="e">
        <f t="shared" si="27"/>
        <v>#VALUE!</v>
      </c>
      <c r="U201">
        <f t="shared" si="26"/>
        <v>20</v>
      </c>
    </row>
    <row r="202" spans="1:21" x14ac:dyDescent="0.25">
      <c r="A202" s="1"/>
      <c r="B202" s="1">
        <v>20660</v>
      </c>
      <c r="C202" s="2" t="s">
        <v>147</v>
      </c>
      <c r="D202" s="1" t="s">
        <v>25</v>
      </c>
      <c r="E202" s="3" t="s">
        <v>0</v>
      </c>
      <c r="F202" s="4">
        <v>40603</v>
      </c>
      <c r="G202" s="5">
        <v>45597</v>
      </c>
      <c r="H202" s="6" t="s">
        <v>1</v>
      </c>
      <c r="I202" s="1" t="s">
        <v>2</v>
      </c>
      <c r="J202" s="7"/>
      <c r="K202" s="15" t="s">
        <v>297</v>
      </c>
      <c r="L202" t="s">
        <v>321</v>
      </c>
      <c r="M202" t="s">
        <v>15</v>
      </c>
      <c r="N202" t="str">
        <f t="shared" si="24"/>
        <v>https://api.bcb.gov.br/dados/serie/bcdata.sgs.20660/dados?formato=json</v>
      </c>
      <c r="O202">
        <v>6</v>
      </c>
      <c r="P202" t="s">
        <v>19</v>
      </c>
      <c r="Q202" t="s">
        <v>19</v>
      </c>
      <c r="R202" t="s">
        <v>897</v>
      </c>
      <c r="S202" t="s">
        <v>622</v>
      </c>
      <c r="T202" t="e">
        <f t="shared" si="27"/>
        <v>#VALUE!</v>
      </c>
      <c r="U202">
        <f t="shared" si="26"/>
        <v>20</v>
      </c>
    </row>
    <row r="203" spans="1:21" x14ac:dyDescent="0.25">
      <c r="A203" s="8"/>
      <c r="B203" s="8">
        <v>20661</v>
      </c>
      <c r="C203" s="9" t="s">
        <v>148</v>
      </c>
      <c r="D203" s="1" t="s">
        <v>25</v>
      </c>
      <c r="E203" s="10" t="s">
        <v>0</v>
      </c>
      <c r="F203" s="11">
        <v>40603</v>
      </c>
      <c r="G203" s="12">
        <v>45597</v>
      </c>
      <c r="H203" s="13" t="s">
        <v>1</v>
      </c>
      <c r="I203" s="8" t="s">
        <v>2</v>
      </c>
      <c r="J203" s="14"/>
      <c r="K203" s="15" t="s">
        <v>297</v>
      </c>
      <c r="L203" t="s">
        <v>322</v>
      </c>
      <c r="M203" t="s">
        <v>15</v>
      </c>
      <c r="N203" t="str">
        <f t="shared" si="24"/>
        <v>https://api.bcb.gov.br/dados/serie/bcdata.sgs.20661/dados?formato=json</v>
      </c>
      <c r="O203">
        <v>6</v>
      </c>
      <c r="P203" t="s">
        <v>19</v>
      </c>
      <c r="Q203" t="s">
        <v>19</v>
      </c>
      <c r="R203" t="s">
        <v>898</v>
      </c>
      <c r="S203" t="s">
        <v>622</v>
      </c>
      <c r="T203" t="e">
        <f t="shared" si="27"/>
        <v>#VALUE!</v>
      </c>
      <c r="U203">
        <f t="shared" si="26"/>
        <v>20</v>
      </c>
    </row>
    <row r="204" spans="1:21" x14ac:dyDescent="0.25">
      <c r="A204" s="1"/>
      <c r="B204" s="1">
        <v>20662</v>
      </c>
      <c r="C204" s="2" t="s">
        <v>120</v>
      </c>
      <c r="D204" s="1" t="s">
        <v>25</v>
      </c>
      <c r="E204" s="3" t="s">
        <v>0</v>
      </c>
      <c r="F204" s="4">
        <v>40603</v>
      </c>
      <c r="G204" s="5">
        <v>45597</v>
      </c>
      <c r="H204" s="6" t="s">
        <v>1</v>
      </c>
      <c r="I204" s="1" t="s">
        <v>2</v>
      </c>
      <c r="J204" s="7"/>
      <c r="K204" s="15" t="s">
        <v>297</v>
      </c>
      <c r="L204" t="s">
        <v>323</v>
      </c>
      <c r="M204" t="s">
        <v>15</v>
      </c>
      <c r="N204" t="str">
        <f t="shared" si="24"/>
        <v>https://api.bcb.gov.br/dados/serie/bcdata.sgs.20662/dados?formato=json</v>
      </c>
      <c r="O204">
        <v>6</v>
      </c>
      <c r="P204" t="s">
        <v>19</v>
      </c>
      <c r="Q204" t="s">
        <v>19</v>
      </c>
      <c r="R204" t="s">
        <v>118</v>
      </c>
      <c r="S204" t="s">
        <v>621</v>
      </c>
      <c r="T204" t="e">
        <f t="shared" ref="T204" si="28">RIGHT(S204,LEN(S204)-U204)</f>
        <v>#VALUE!</v>
      </c>
      <c r="U204">
        <f>LEN("Pessoas físicas - ")</f>
        <v>18</v>
      </c>
    </row>
    <row r="205" spans="1:21" x14ac:dyDescent="0.25">
      <c r="A205" s="8"/>
      <c r="B205" s="8">
        <v>20663</v>
      </c>
      <c r="C205" s="9" t="s">
        <v>149</v>
      </c>
      <c r="D205" s="1" t="s">
        <v>25</v>
      </c>
      <c r="E205" s="10" t="s">
        <v>0</v>
      </c>
      <c r="F205" s="11">
        <v>40603</v>
      </c>
      <c r="G205" s="12">
        <v>45597</v>
      </c>
      <c r="H205" s="13" t="s">
        <v>1</v>
      </c>
      <c r="I205" s="8" t="s">
        <v>2</v>
      </c>
      <c r="J205" s="14"/>
      <c r="K205" s="15" t="s">
        <v>297</v>
      </c>
      <c r="L205" t="s">
        <v>325</v>
      </c>
      <c r="M205" t="s">
        <v>15</v>
      </c>
      <c r="N205" t="str">
        <f t="shared" si="24"/>
        <v>https://api.bcb.gov.br/dados/serie/bcdata.sgs.20663/dados?formato=json</v>
      </c>
      <c r="O205">
        <v>6</v>
      </c>
      <c r="P205" t="s">
        <v>19</v>
      </c>
      <c r="Q205" t="s">
        <v>19</v>
      </c>
      <c r="R205" t="s">
        <v>871</v>
      </c>
      <c r="S205" t="s">
        <v>621</v>
      </c>
      <c r="T205" t="e">
        <f t="shared" ref="T205:T223" si="29">RIGHT(S205,LEN(S205)-U205)</f>
        <v>#VALUE!</v>
      </c>
      <c r="U205">
        <f t="shared" ref="U205:U223" si="30">LEN("Pessoas físicas - ")</f>
        <v>18</v>
      </c>
    </row>
    <row r="206" spans="1:21" x14ac:dyDescent="0.25">
      <c r="A206" s="1"/>
      <c r="B206" s="1">
        <v>20664</v>
      </c>
      <c r="C206" s="2" t="s">
        <v>150</v>
      </c>
      <c r="D206" s="1" t="s">
        <v>25</v>
      </c>
      <c r="E206" s="3" t="s">
        <v>0</v>
      </c>
      <c r="F206" s="4">
        <v>40603</v>
      </c>
      <c r="G206" s="5">
        <v>45597</v>
      </c>
      <c r="H206" s="6" t="s">
        <v>1</v>
      </c>
      <c r="I206" s="1" t="s">
        <v>2</v>
      </c>
      <c r="J206" s="7"/>
      <c r="K206" s="15" t="s">
        <v>297</v>
      </c>
      <c r="L206" t="s">
        <v>326</v>
      </c>
      <c r="M206" t="s">
        <v>15</v>
      </c>
      <c r="N206" t="str">
        <f t="shared" si="24"/>
        <v>https://api.bcb.gov.br/dados/serie/bcdata.sgs.20664/dados?formato=json</v>
      </c>
      <c r="O206">
        <v>6</v>
      </c>
      <c r="P206" t="s">
        <v>19</v>
      </c>
      <c r="Q206" t="s">
        <v>19</v>
      </c>
      <c r="R206" t="s">
        <v>872</v>
      </c>
      <c r="S206" t="s">
        <v>621</v>
      </c>
      <c r="T206" t="e">
        <f t="shared" si="29"/>
        <v>#VALUE!</v>
      </c>
      <c r="U206">
        <f t="shared" si="30"/>
        <v>18</v>
      </c>
    </row>
    <row r="207" spans="1:21" x14ac:dyDescent="0.25">
      <c r="A207" s="8"/>
      <c r="B207" s="8">
        <v>20665</v>
      </c>
      <c r="C207" s="9" t="s">
        <v>151</v>
      </c>
      <c r="D207" s="1" t="s">
        <v>25</v>
      </c>
      <c r="E207" s="10" t="s">
        <v>0</v>
      </c>
      <c r="F207" s="11">
        <v>40603</v>
      </c>
      <c r="G207" s="12">
        <v>45597</v>
      </c>
      <c r="H207" s="13" t="s">
        <v>1</v>
      </c>
      <c r="I207" s="8" t="s">
        <v>2</v>
      </c>
      <c r="J207" s="14"/>
      <c r="K207" s="15" t="s">
        <v>297</v>
      </c>
      <c r="L207" t="s">
        <v>309</v>
      </c>
      <c r="M207" t="s">
        <v>15</v>
      </c>
      <c r="N207" t="str">
        <f t="shared" si="24"/>
        <v>https://api.bcb.gov.br/dados/serie/bcdata.sgs.20665/dados?formato=json</v>
      </c>
      <c r="O207">
        <v>6</v>
      </c>
      <c r="P207" t="s">
        <v>19</v>
      </c>
      <c r="Q207" t="s">
        <v>19</v>
      </c>
      <c r="R207" t="s">
        <v>881</v>
      </c>
      <c r="S207" t="s">
        <v>621</v>
      </c>
      <c r="T207" t="e">
        <f t="shared" si="29"/>
        <v>#VALUE!</v>
      </c>
      <c r="U207">
        <f t="shared" si="30"/>
        <v>18</v>
      </c>
    </row>
    <row r="208" spans="1:21" x14ac:dyDescent="0.25">
      <c r="A208" s="1"/>
      <c r="B208" s="1">
        <v>20666</v>
      </c>
      <c r="C208" s="2" t="s">
        <v>152</v>
      </c>
      <c r="D208" s="1" t="s">
        <v>25</v>
      </c>
      <c r="E208" s="3" t="s">
        <v>0</v>
      </c>
      <c r="F208" s="4">
        <v>40603</v>
      </c>
      <c r="G208" s="5">
        <v>45597</v>
      </c>
      <c r="H208" s="6" t="s">
        <v>1</v>
      </c>
      <c r="I208" s="1" t="s">
        <v>2</v>
      </c>
      <c r="J208" s="7"/>
      <c r="K208" s="15" t="s">
        <v>297</v>
      </c>
      <c r="L208" t="s">
        <v>327</v>
      </c>
      <c r="M208" t="s">
        <v>15</v>
      </c>
      <c r="N208" t="str">
        <f t="shared" si="24"/>
        <v>https://api.bcb.gov.br/dados/serie/bcdata.sgs.20666/dados?formato=json</v>
      </c>
      <c r="O208">
        <v>6</v>
      </c>
      <c r="P208" t="s">
        <v>19</v>
      </c>
      <c r="Q208" t="s">
        <v>19</v>
      </c>
      <c r="R208" t="s">
        <v>899</v>
      </c>
      <c r="S208" t="s">
        <v>621</v>
      </c>
      <c r="T208" t="e">
        <f t="shared" si="29"/>
        <v>#VALUE!</v>
      </c>
      <c r="U208">
        <f t="shared" si="30"/>
        <v>18</v>
      </c>
    </row>
    <row r="209" spans="1:21" x14ac:dyDescent="0.25">
      <c r="A209" s="8"/>
      <c r="B209" s="8">
        <v>20667</v>
      </c>
      <c r="C209" s="9" t="s">
        <v>153</v>
      </c>
      <c r="D209" s="1" t="s">
        <v>25</v>
      </c>
      <c r="E209" s="10" t="s">
        <v>0</v>
      </c>
      <c r="F209" s="11">
        <v>40603</v>
      </c>
      <c r="G209" s="12">
        <v>45597</v>
      </c>
      <c r="H209" s="13" t="s">
        <v>1</v>
      </c>
      <c r="I209" s="8" t="s">
        <v>2</v>
      </c>
      <c r="J209" s="14"/>
      <c r="K209" s="15" t="s">
        <v>297</v>
      </c>
      <c r="L209" t="s">
        <v>328</v>
      </c>
      <c r="M209" t="s">
        <v>15</v>
      </c>
      <c r="N209" t="str">
        <f t="shared" si="24"/>
        <v>https://api.bcb.gov.br/dados/serie/bcdata.sgs.20667/dados?formato=json</v>
      </c>
      <c r="O209">
        <v>6</v>
      </c>
      <c r="P209" t="s">
        <v>19</v>
      </c>
      <c r="Q209" t="s">
        <v>19</v>
      </c>
      <c r="R209" t="s">
        <v>900</v>
      </c>
      <c r="S209" t="s">
        <v>621</v>
      </c>
      <c r="T209" t="e">
        <f t="shared" si="29"/>
        <v>#VALUE!</v>
      </c>
      <c r="U209">
        <f t="shared" si="30"/>
        <v>18</v>
      </c>
    </row>
    <row r="210" spans="1:21" x14ac:dyDescent="0.25">
      <c r="A210" s="1"/>
      <c r="B210" s="1">
        <v>20668</v>
      </c>
      <c r="C210" s="2" t="s">
        <v>154</v>
      </c>
      <c r="D210" s="1" t="s">
        <v>25</v>
      </c>
      <c r="E210" s="3" t="s">
        <v>0</v>
      </c>
      <c r="F210" s="4">
        <v>40603</v>
      </c>
      <c r="G210" s="5">
        <v>45597</v>
      </c>
      <c r="H210" s="6" t="s">
        <v>1</v>
      </c>
      <c r="I210" s="1" t="s">
        <v>2</v>
      </c>
      <c r="J210" s="7"/>
      <c r="K210" s="15" t="s">
        <v>297</v>
      </c>
      <c r="L210" t="s">
        <v>329</v>
      </c>
      <c r="M210" t="s">
        <v>15</v>
      </c>
      <c r="N210" t="str">
        <f t="shared" si="24"/>
        <v>https://api.bcb.gov.br/dados/serie/bcdata.sgs.20668/dados?formato=json</v>
      </c>
      <c r="O210">
        <v>6</v>
      </c>
      <c r="P210" t="s">
        <v>19</v>
      </c>
      <c r="Q210" t="s">
        <v>19</v>
      </c>
      <c r="R210" t="s">
        <v>901</v>
      </c>
      <c r="S210" t="s">
        <v>621</v>
      </c>
      <c r="T210" t="e">
        <f t="shared" si="29"/>
        <v>#VALUE!</v>
      </c>
      <c r="U210">
        <f t="shared" si="30"/>
        <v>18</v>
      </c>
    </row>
    <row r="211" spans="1:21" x14ac:dyDescent="0.25">
      <c r="A211" s="8"/>
      <c r="B211" s="8">
        <v>20669</v>
      </c>
      <c r="C211" s="9" t="s">
        <v>155</v>
      </c>
      <c r="D211" s="1" t="s">
        <v>25</v>
      </c>
      <c r="E211" s="10" t="s">
        <v>0</v>
      </c>
      <c r="F211" s="11">
        <v>40603</v>
      </c>
      <c r="G211" s="12">
        <v>45597</v>
      </c>
      <c r="H211" s="13" t="s">
        <v>1</v>
      </c>
      <c r="I211" s="8" t="s">
        <v>2</v>
      </c>
      <c r="J211" s="14"/>
      <c r="K211" s="15" t="s">
        <v>297</v>
      </c>
      <c r="L211" t="s">
        <v>330</v>
      </c>
      <c r="M211" t="s">
        <v>15</v>
      </c>
      <c r="N211" t="str">
        <f t="shared" si="24"/>
        <v>https://api.bcb.gov.br/dados/serie/bcdata.sgs.20669/dados?formato=json</v>
      </c>
      <c r="O211">
        <v>6</v>
      </c>
      <c r="P211" t="s">
        <v>19</v>
      </c>
      <c r="Q211" t="s">
        <v>19</v>
      </c>
      <c r="R211" t="s">
        <v>902</v>
      </c>
      <c r="S211" t="s">
        <v>621</v>
      </c>
      <c r="T211" t="e">
        <f t="shared" si="29"/>
        <v>#VALUE!</v>
      </c>
      <c r="U211">
        <f t="shared" si="30"/>
        <v>18</v>
      </c>
    </row>
    <row r="212" spans="1:21" x14ac:dyDescent="0.25">
      <c r="A212" s="1"/>
      <c r="B212" s="1">
        <v>20670</v>
      </c>
      <c r="C212" s="2" t="s">
        <v>156</v>
      </c>
      <c r="D212" s="1" t="s">
        <v>25</v>
      </c>
      <c r="E212" s="3" t="s">
        <v>0</v>
      </c>
      <c r="F212" s="4">
        <v>40603</v>
      </c>
      <c r="G212" s="5">
        <v>45597</v>
      </c>
      <c r="H212" s="6" t="s">
        <v>1</v>
      </c>
      <c r="I212" s="1" t="s">
        <v>2</v>
      </c>
      <c r="J212" s="7"/>
      <c r="K212" s="15" t="s">
        <v>297</v>
      </c>
      <c r="L212" t="s">
        <v>331</v>
      </c>
      <c r="M212" t="s">
        <v>15</v>
      </c>
      <c r="N212" t="str">
        <f t="shared" si="24"/>
        <v>https://api.bcb.gov.br/dados/serie/bcdata.sgs.20670/dados?formato=json</v>
      </c>
      <c r="O212">
        <v>6</v>
      </c>
      <c r="P212" t="s">
        <v>19</v>
      </c>
      <c r="Q212" t="s">
        <v>19</v>
      </c>
      <c r="R212" t="s">
        <v>903</v>
      </c>
      <c r="S212" t="s">
        <v>621</v>
      </c>
      <c r="T212" t="e">
        <f t="shared" si="29"/>
        <v>#VALUE!</v>
      </c>
      <c r="U212">
        <f t="shared" si="30"/>
        <v>18</v>
      </c>
    </row>
    <row r="213" spans="1:21" x14ac:dyDescent="0.25">
      <c r="A213" s="8"/>
      <c r="B213" s="8">
        <v>20671</v>
      </c>
      <c r="C213" s="9" t="s">
        <v>157</v>
      </c>
      <c r="D213" s="1" t="s">
        <v>25</v>
      </c>
      <c r="E213" s="10" t="s">
        <v>0</v>
      </c>
      <c r="F213" s="11">
        <v>40603</v>
      </c>
      <c r="G213" s="12">
        <v>45597</v>
      </c>
      <c r="H213" s="13" t="s">
        <v>1</v>
      </c>
      <c r="I213" s="8" t="s">
        <v>2</v>
      </c>
      <c r="J213" s="14"/>
      <c r="K213" s="15" t="s">
        <v>297</v>
      </c>
      <c r="L213" t="s">
        <v>332</v>
      </c>
      <c r="M213" t="s">
        <v>15</v>
      </c>
      <c r="N213" t="str">
        <f t="shared" si="24"/>
        <v>https://api.bcb.gov.br/dados/serie/bcdata.sgs.20671/dados?formato=json</v>
      </c>
      <c r="O213">
        <v>6</v>
      </c>
      <c r="P213" t="s">
        <v>19</v>
      </c>
      <c r="Q213" t="s">
        <v>19</v>
      </c>
      <c r="R213" t="s">
        <v>904</v>
      </c>
      <c r="S213" t="s">
        <v>621</v>
      </c>
      <c r="T213" t="e">
        <f t="shared" si="29"/>
        <v>#VALUE!</v>
      </c>
      <c r="U213">
        <f t="shared" si="30"/>
        <v>18</v>
      </c>
    </row>
    <row r="214" spans="1:21" x14ac:dyDescent="0.25">
      <c r="A214" s="1"/>
      <c r="B214" s="1">
        <v>20672</v>
      </c>
      <c r="C214" s="2" t="s">
        <v>158</v>
      </c>
      <c r="D214" s="1" t="s">
        <v>25</v>
      </c>
      <c r="E214" s="3" t="s">
        <v>0</v>
      </c>
      <c r="F214" s="4">
        <v>40603</v>
      </c>
      <c r="G214" s="5">
        <v>45597</v>
      </c>
      <c r="H214" s="6" t="s">
        <v>1</v>
      </c>
      <c r="I214" s="1" t="s">
        <v>2</v>
      </c>
      <c r="J214" s="7"/>
      <c r="K214" s="15" t="s">
        <v>297</v>
      </c>
      <c r="L214" t="s">
        <v>333</v>
      </c>
      <c r="M214" t="s">
        <v>15</v>
      </c>
      <c r="N214" t="str">
        <f t="shared" si="24"/>
        <v>https://api.bcb.gov.br/dados/serie/bcdata.sgs.20672/dados?formato=json</v>
      </c>
      <c r="O214">
        <v>6</v>
      </c>
      <c r="P214" t="s">
        <v>19</v>
      </c>
      <c r="Q214" t="s">
        <v>19</v>
      </c>
      <c r="R214" t="s">
        <v>905</v>
      </c>
      <c r="S214" t="s">
        <v>621</v>
      </c>
      <c r="T214" t="e">
        <f t="shared" si="29"/>
        <v>#VALUE!</v>
      </c>
      <c r="U214">
        <f t="shared" si="30"/>
        <v>18</v>
      </c>
    </row>
    <row r="215" spans="1:21" x14ac:dyDescent="0.25">
      <c r="A215" s="8"/>
      <c r="B215" s="8">
        <v>20673</v>
      </c>
      <c r="C215" s="9" t="s">
        <v>159</v>
      </c>
      <c r="D215" s="1" t="s">
        <v>25</v>
      </c>
      <c r="E215" s="10" t="s">
        <v>0</v>
      </c>
      <c r="F215" s="11">
        <v>40603</v>
      </c>
      <c r="G215" s="12">
        <v>45597</v>
      </c>
      <c r="H215" s="13" t="s">
        <v>1</v>
      </c>
      <c r="I215" s="8" t="s">
        <v>2</v>
      </c>
      <c r="J215" s="14"/>
      <c r="K215" s="15" t="s">
        <v>297</v>
      </c>
      <c r="L215" t="s">
        <v>311</v>
      </c>
      <c r="M215" t="s">
        <v>15</v>
      </c>
      <c r="N215" t="str">
        <f t="shared" si="24"/>
        <v>https://api.bcb.gov.br/dados/serie/bcdata.sgs.20673/dados?formato=json</v>
      </c>
      <c r="O215">
        <v>6</v>
      </c>
      <c r="P215" t="s">
        <v>19</v>
      </c>
      <c r="Q215" t="s">
        <v>19</v>
      </c>
      <c r="R215" t="s">
        <v>882</v>
      </c>
      <c r="S215" t="s">
        <v>621</v>
      </c>
      <c r="T215" t="e">
        <f t="shared" si="29"/>
        <v>#VALUE!</v>
      </c>
      <c r="U215">
        <f t="shared" si="30"/>
        <v>18</v>
      </c>
    </row>
    <row r="216" spans="1:21" x14ac:dyDescent="0.25">
      <c r="A216" s="1"/>
      <c r="B216" s="1">
        <v>20674</v>
      </c>
      <c r="C216" s="2" t="s">
        <v>160</v>
      </c>
      <c r="D216" s="1" t="s">
        <v>25</v>
      </c>
      <c r="E216" s="3" t="s">
        <v>0</v>
      </c>
      <c r="F216" s="4">
        <v>40603</v>
      </c>
      <c r="G216" s="5">
        <v>45597</v>
      </c>
      <c r="H216" s="6" t="s">
        <v>1</v>
      </c>
      <c r="I216" s="1" t="s">
        <v>2</v>
      </c>
      <c r="J216" s="7"/>
      <c r="K216" s="15" t="s">
        <v>297</v>
      </c>
      <c r="L216" t="s">
        <v>311</v>
      </c>
      <c r="M216" t="s">
        <v>15</v>
      </c>
      <c r="N216" t="str">
        <f t="shared" si="24"/>
        <v>https://api.bcb.gov.br/dados/serie/bcdata.sgs.20674/dados?formato=json</v>
      </c>
      <c r="O216">
        <v>6</v>
      </c>
      <c r="P216" t="s">
        <v>19</v>
      </c>
      <c r="Q216" t="s">
        <v>19</v>
      </c>
      <c r="R216" t="s">
        <v>883</v>
      </c>
      <c r="S216" t="s">
        <v>621</v>
      </c>
      <c r="T216" t="e">
        <f t="shared" si="29"/>
        <v>#VALUE!</v>
      </c>
      <c r="U216">
        <f t="shared" si="30"/>
        <v>18</v>
      </c>
    </row>
    <row r="217" spans="1:21" x14ac:dyDescent="0.25">
      <c r="A217" s="8"/>
      <c r="B217" s="8">
        <v>20675</v>
      </c>
      <c r="C217" s="9" t="s">
        <v>161</v>
      </c>
      <c r="D217" s="1" t="s">
        <v>25</v>
      </c>
      <c r="E217" s="10" t="s">
        <v>0</v>
      </c>
      <c r="F217" s="11">
        <v>40603</v>
      </c>
      <c r="G217" s="12">
        <v>45597</v>
      </c>
      <c r="H217" s="13" t="s">
        <v>1</v>
      </c>
      <c r="I217" s="8" t="s">
        <v>2</v>
      </c>
      <c r="J217" s="14"/>
      <c r="K217" s="15" t="s">
        <v>297</v>
      </c>
      <c r="L217" t="s">
        <v>311</v>
      </c>
      <c r="M217" t="s">
        <v>15</v>
      </c>
      <c r="N217" t="str">
        <f t="shared" si="24"/>
        <v>https://api.bcb.gov.br/dados/serie/bcdata.sgs.20675/dados?formato=json</v>
      </c>
      <c r="O217">
        <v>6</v>
      </c>
      <c r="P217" t="s">
        <v>19</v>
      </c>
      <c r="Q217" t="s">
        <v>19</v>
      </c>
      <c r="R217" t="s">
        <v>884</v>
      </c>
      <c r="S217" t="s">
        <v>621</v>
      </c>
      <c r="T217" t="e">
        <f t="shared" si="29"/>
        <v>#VALUE!</v>
      </c>
      <c r="U217">
        <f t="shared" si="30"/>
        <v>18</v>
      </c>
    </row>
    <row r="218" spans="1:21" x14ac:dyDescent="0.25">
      <c r="A218" s="1"/>
      <c r="B218" s="1">
        <v>20676</v>
      </c>
      <c r="C218" s="2" t="s">
        <v>162</v>
      </c>
      <c r="D218" s="1" t="s">
        <v>25</v>
      </c>
      <c r="E218" s="3" t="s">
        <v>0</v>
      </c>
      <c r="F218" s="4">
        <v>40603</v>
      </c>
      <c r="G218" s="5">
        <v>45597</v>
      </c>
      <c r="H218" s="6" t="s">
        <v>1</v>
      </c>
      <c r="I218" s="1" t="s">
        <v>2</v>
      </c>
      <c r="J218" s="7"/>
      <c r="K218" s="15" t="s">
        <v>297</v>
      </c>
      <c r="L218" t="s">
        <v>310</v>
      </c>
      <c r="M218" t="s">
        <v>15</v>
      </c>
      <c r="N218" t="str">
        <f t="shared" si="24"/>
        <v>https://api.bcb.gov.br/dados/serie/bcdata.sgs.20676/dados?formato=json</v>
      </c>
      <c r="O218">
        <v>6</v>
      </c>
      <c r="P218" t="s">
        <v>19</v>
      </c>
      <c r="Q218" t="s">
        <v>19</v>
      </c>
      <c r="R218" t="s">
        <v>885</v>
      </c>
      <c r="S218" t="s">
        <v>621</v>
      </c>
      <c r="T218" t="e">
        <f t="shared" si="29"/>
        <v>#VALUE!</v>
      </c>
      <c r="U218">
        <f t="shared" si="30"/>
        <v>18</v>
      </c>
    </row>
    <row r="219" spans="1:21" x14ac:dyDescent="0.25">
      <c r="A219" s="8"/>
      <c r="B219" s="8">
        <v>20677</v>
      </c>
      <c r="C219" s="9" t="s">
        <v>163</v>
      </c>
      <c r="D219" s="1" t="s">
        <v>25</v>
      </c>
      <c r="E219" s="10" t="s">
        <v>0</v>
      </c>
      <c r="F219" s="11">
        <v>40603</v>
      </c>
      <c r="G219" s="12">
        <v>45597</v>
      </c>
      <c r="H219" s="13" t="s">
        <v>1</v>
      </c>
      <c r="I219" s="8" t="s">
        <v>2</v>
      </c>
      <c r="J219" s="14"/>
      <c r="K219" s="15" t="s">
        <v>297</v>
      </c>
      <c r="L219" t="s">
        <v>310</v>
      </c>
      <c r="M219" t="s">
        <v>15</v>
      </c>
      <c r="N219" t="str">
        <f t="shared" si="24"/>
        <v>https://api.bcb.gov.br/dados/serie/bcdata.sgs.20677/dados?formato=json</v>
      </c>
      <c r="O219">
        <v>6</v>
      </c>
      <c r="P219" t="s">
        <v>19</v>
      </c>
      <c r="Q219" t="s">
        <v>19</v>
      </c>
      <c r="R219" t="s">
        <v>886</v>
      </c>
      <c r="S219" t="s">
        <v>621</v>
      </c>
      <c r="T219" t="e">
        <f t="shared" si="29"/>
        <v>#VALUE!</v>
      </c>
      <c r="U219">
        <f t="shared" si="30"/>
        <v>18</v>
      </c>
    </row>
    <row r="220" spans="1:21" x14ac:dyDescent="0.25">
      <c r="A220" s="1"/>
      <c r="B220" s="1">
        <v>20678</v>
      </c>
      <c r="C220" s="2" t="s">
        <v>164</v>
      </c>
      <c r="D220" s="1" t="s">
        <v>25</v>
      </c>
      <c r="E220" s="3" t="s">
        <v>0</v>
      </c>
      <c r="F220" s="4">
        <v>40603</v>
      </c>
      <c r="G220" s="5">
        <v>45597</v>
      </c>
      <c r="H220" s="6" t="s">
        <v>1</v>
      </c>
      <c r="I220" s="1" t="s">
        <v>2</v>
      </c>
      <c r="J220" s="7"/>
      <c r="K220" s="15" t="s">
        <v>297</v>
      </c>
      <c r="L220" t="s">
        <v>310</v>
      </c>
      <c r="M220" t="s">
        <v>15</v>
      </c>
      <c r="N220" t="str">
        <f t="shared" si="24"/>
        <v>https://api.bcb.gov.br/dados/serie/bcdata.sgs.20678/dados?formato=json</v>
      </c>
      <c r="O220">
        <v>6</v>
      </c>
      <c r="P220" t="s">
        <v>19</v>
      </c>
      <c r="Q220" t="s">
        <v>19</v>
      </c>
      <c r="R220" t="s">
        <v>887</v>
      </c>
      <c r="S220" t="s">
        <v>621</v>
      </c>
      <c r="T220" t="e">
        <f t="shared" si="29"/>
        <v>#VALUE!</v>
      </c>
      <c r="U220">
        <f t="shared" si="30"/>
        <v>18</v>
      </c>
    </row>
    <row r="221" spans="1:21" x14ac:dyDescent="0.25">
      <c r="A221" s="8"/>
      <c r="B221" s="8">
        <v>20679</v>
      </c>
      <c r="C221" s="9" t="s">
        <v>165</v>
      </c>
      <c r="D221" s="1" t="s">
        <v>25</v>
      </c>
      <c r="E221" s="10" t="s">
        <v>0</v>
      </c>
      <c r="F221" s="11">
        <v>40603</v>
      </c>
      <c r="G221" s="12">
        <v>45597</v>
      </c>
      <c r="H221" s="13" t="s">
        <v>1</v>
      </c>
      <c r="I221" s="8" t="s">
        <v>2</v>
      </c>
      <c r="J221" s="14"/>
      <c r="K221" s="15" t="s">
        <v>297</v>
      </c>
      <c r="L221" t="s">
        <v>314</v>
      </c>
      <c r="M221" t="s">
        <v>15</v>
      </c>
      <c r="N221" t="str">
        <f t="shared" si="24"/>
        <v>https://api.bcb.gov.br/dados/serie/bcdata.sgs.20679/dados?formato=json</v>
      </c>
      <c r="O221">
        <v>6</v>
      </c>
      <c r="P221" t="s">
        <v>19</v>
      </c>
      <c r="Q221" t="s">
        <v>19</v>
      </c>
      <c r="R221" t="s">
        <v>890</v>
      </c>
      <c r="S221" t="s">
        <v>621</v>
      </c>
      <c r="T221" t="e">
        <f t="shared" si="29"/>
        <v>#VALUE!</v>
      </c>
      <c r="U221">
        <f t="shared" si="30"/>
        <v>18</v>
      </c>
    </row>
    <row r="222" spans="1:21" x14ac:dyDescent="0.25">
      <c r="A222" s="1"/>
      <c r="B222" s="1">
        <v>20680</v>
      </c>
      <c r="C222" s="2" t="s">
        <v>166</v>
      </c>
      <c r="D222" s="1" t="s">
        <v>25</v>
      </c>
      <c r="E222" s="3" t="s">
        <v>0</v>
      </c>
      <c r="F222" s="4">
        <v>40603</v>
      </c>
      <c r="G222" s="5">
        <v>45597</v>
      </c>
      <c r="H222" s="6" t="s">
        <v>1</v>
      </c>
      <c r="I222" s="1" t="s">
        <v>2</v>
      </c>
      <c r="J222" s="7"/>
      <c r="K222" s="15" t="s">
        <v>297</v>
      </c>
      <c r="L222" t="s">
        <v>315</v>
      </c>
      <c r="M222" t="s">
        <v>15</v>
      </c>
      <c r="N222" t="str">
        <f t="shared" si="24"/>
        <v>https://api.bcb.gov.br/dados/serie/bcdata.sgs.20680/dados?formato=json</v>
      </c>
      <c r="O222">
        <v>6</v>
      </c>
      <c r="P222" t="s">
        <v>19</v>
      </c>
      <c r="Q222" t="s">
        <v>19</v>
      </c>
      <c r="R222" t="s">
        <v>891</v>
      </c>
      <c r="S222" t="s">
        <v>621</v>
      </c>
      <c r="T222" t="e">
        <f t="shared" si="29"/>
        <v>#VALUE!</v>
      </c>
      <c r="U222">
        <f t="shared" si="30"/>
        <v>18</v>
      </c>
    </row>
    <row r="223" spans="1:21" x14ac:dyDescent="0.25">
      <c r="A223" s="8"/>
      <c r="B223" s="8">
        <v>20681</v>
      </c>
      <c r="C223" s="9" t="s">
        <v>167</v>
      </c>
      <c r="D223" s="1" t="s">
        <v>25</v>
      </c>
      <c r="E223" s="10" t="s">
        <v>0</v>
      </c>
      <c r="F223" s="11">
        <v>40603</v>
      </c>
      <c r="G223" s="12">
        <v>45597</v>
      </c>
      <c r="H223" s="13" t="s">
        <v>1</v>
      </c>
      <c r="I223" s="8" t="s">
        <v>2</v>
      </c>
      <c r="J223" s="14"/>
      <c r="K223" s="15" t="s">
        <v>297</v>
      </c>
      <c r="L223" t="s">
        <v>316</v>
      </c>
      <c r="M223" t="s">
        <v>15</v>
      </c>
      <c r="N223" t="str">
        <f t="shared" si="24"/>
        <v>https://api.bcb.gov.br/dados/serie/bcdata.sgs.20681/dados?formato=json</v>
      </c>
      <c r="O223">
        <v>6</v>
      </c>
      <c r="P223" t="s">
        <v>19</v>
      </c>
      <c r="Q223" t="s">
        <v>19</v>
      </c>
      <c r="R223" t="s">
        <v>892</v>
      </c>
      <c r="S223" t="s">
        <v>621</v>
      </c>
      <c r="T223" t="e">
        <f t="shared" si="29"/>
        <v>#VALUE!</v>
      </c>
      <c r="U223">
        <f t="shared" si="30"/>
        <v>18</v>
      </c>
    </row>
    <row r="224" spans="1:21" x14ac:dyDescent="0.25">
      <c r="A224" s="1"/>
      <c r="B224" s="1">
        <v>20685</v>
      </c>
      <c r="C224" s="2" t="s">
        <v>118</v>
      </c>
      <c r="D224" s="1" t="s">
        <v>25</v>
      </c>
      <c r="E224" s="3" t="s">
        <v>0</v>
      </c>
      <c r="F224" s="4">
        <v>40603</v>
      </c>
      <c r="G224" s="5">
        <v>45597</v>
      </c>
      <c r="H224" s="6" t="s">
        <v>1</v>
      </c>
      <c r="I224" s="1" t="s">
        <v>2</v>
      </c>
      <c r="J224" s="7"/>
      <c r="K224" s="15" t="s">
        <v>334</v>
      </c>
      <c r="L224" t="s">
        <v>335</v>
      </c>
      <c r="M224" t="s">
        <v>15</v>
      </c>
      <c r="N224" t="str">
        <f t="shared" ref="N224:N251" si="31">_xlfn.CONCAT("https://api.bcb.gov.br/dados/serie/bcdata.sgs.",B224,"/dados?formato=json")</f>
        <v>https://api.bcb.gov.br/dados/serie/bcdata.sgs.20685/dados?formato=json</v>
      </c>
      <c r="O224">
        <v>6</v>
      </c>
      <c r="P224" t="s">
        <v>19</v>
      </c>
      <c r="Q224" t="s">
        <v>19</v>
      </c>
      <c r="R224" t="s">
        <v>118</v>
      </c>
      <c r="S224" t="s">
        <v>118</v>
      </c>
    </row>
    <row r="225" spans="1:21" x14ac:dyDescent="0.25">
      <c r="A225" s="8"/>
      <c r="B225" s="8">
        <v>20686</v>
      </c>
      <c r="C225" s="9" t="s">
        <v>119</v>
      </c>
      <c r="D225" s="1" t="s">
        <v>25</v>
      </c>
      <c r="E225" s="10" t="s">
        <v>0</v>
      </c>
      <c r="F225" s="11">
        <v>40603</v>
      </c>
      <c r="G225" s="12">
        <v>45597</v>
      </c>
      <c r="H225" s="13" t="s">
        <v>1</v>
      </c>
      <c r="I225" s="8" t="s">
        <v>2</v>
      </c>
      <c r="J225" s="14"/>
      <c r="K225" s="15" t="s">
        <v>334</v>
      </c>
      <c r="L225" t="s">
        <v>336</v>
      </c>
      <c r="M225" t="s">
        <v>15</v>
      </c>
      <c r="N225" t="str">
        <f t="shared" si="31"/>
        <v>https://api.bcb.gov.br/dados/serie/bcdata.sgs.20686/dados?formato=json</v>
      </c>
      <c r="O225">
        <v>6</v>
      </c>
      <c r="P225" t="s">
        <v>19</v>
      </c>
      <c r="Q225" t="s">
        <v>19</v>
      </c>
      <c r="R225" t="s">
        <v>118</v>
      </c>
      <c r="S225" t="s">
        <v>622</v>
      </c>
      <c r="T225" t="e">
        <f t="shared" ref="T225" si="32">RIGHT(S225,LEN(S225)-U225)</f>
        <v>#VALUE!</v>
      </c>
      <c r="U225">
        <f t="shared" ref="U225:U236" si="33">LEN("Setor de serviços - ")</f>
        <v>20</v>
      </c>
    </row>
    <row r="226" spans="1:21" x14ac:dyDescent="0.25">
      <c r="A226" s="1"/>
      <c r="B226" s="1">
        <v>20687</v>
      </c>
      <c r="C226" s="2" t="s">
        <v>171</v>
      </c>
      <c r="D226" s="1" t="s">
        <v>25</v>
      </c>
      <c r="E226" s="3" t="s">
        <v>0</v>
      </c>
      <c r="F226" s="4">
        <v>40603</v>
      </c>
      <c r="G226" s="5">
        <v>45597</v>
      </c>
      <c r="H226" s="6" t="s">
        <v>1</v>
      </c>
      <c r="I226" s="1" t="s">
        <v>2</v>
      </c>
      <c r="J226" s="7"/>
      <c r="K226" s="15" t="s">
        <v>334</v>
      </c>
      <c r="L226" t="s">
        <v>337</v>
      </c>
      <c r="M226" t="s">
        <v>15</v>
      </c>
      <c r="N226" t="str">
        <f t="shared" si="31"/>
        <v>https://api.bcb.gov.br/dados/serie/bcdata.sgs.20687/dados?formato=json</v>
      </c>
      <c r="O226">
        <v>6</v>
      </c>
      <c r="P226" t="s">
        <v>19</v>
      </c>
      <c r="Q226" t="s">
        <v>19</v>
      </c>
      <c r="R226" t="s">
        <v>906</v>
      </c>
      <c r="S226" t="s">
        <v>622</v>
      </c>
      <c r="T226" t="e">
        <f t="shared" ref="T226:T237" si="34">RIGHT(S226,LEN(S226)-U226)</f>
        <v>#VALUE!</v>
      </c>
      <c r="U226">
        <f t="shared" si="33"/>
        <v>20</v>
      </c>
    </row>
    <row r="227" spans="1:21" x14ac:dyDescent="0.25">
      <c r="A227" s="8"/>
      <c r="B227" s="8">
        <v>20688</v>
      </c>
      <c r="C227" s="9" t="s">
        <v>172</v>
      </c>
      <c r="D227" s="1" t="s">
        <v>25</v>
      </c>
      <c r="E227" s="10" t="s">
        <v>0</v>
      </c>
      <c r="F227" s="11">
        <v>40603</v>
      </c>
      <c r="G227" s="12">
        <v>45597</v>
      </c>
      <c r="H227" s="13" t="s">
        <v>1</v>
      </c>
      <c r="I227" s="8" t="s">
        <v>2</v>
      </c>
      <c r="J227" s="14"/>
      <c r="K227" s="15" t="s">
        <v>334</v>
      </c>
      <c r="L227" t="s">
        <v>338</v>
      </c>
      <c r="M227" t="s">
        <v>15</v>
      </c>
      <c r="N227" t="str">
        <f t="shared" si="31"/>
        <v>https://api.bcb.gov.br/dados/serie/bcdata.sgs.20688/dados?formato=json</v>
      </c>
      <c r="O227">
        <v>6</v>
      </c>
      <c r="P227" t="s">
        <v>19</v>
      </c>
      <c r="Q227" t="s">
        <v>19</v>
      </c>
      <c r="R227" t="s">
        <v>907</v>
      </c>
      <c r="S227" t="s">
        <v>622</v>
      </c>
      <c r="T227" t="e">
        <f t="shared" si="34"/>
        <v>#VALUE!</v>
      </c>
      <c r="U227">
        <f t="shared" si="33"/>
        <v>20</v>
      </c>
    </row>
    <row r="228" spans="1:21" x14ac:dyDescent="0.25">
      <c r="A228" s="1"/>
      <c r="B228" s="1">
        <v>20689</v>
      </c>
      <c r="C228" s="2" t="s">
        <v>173</v>
      </c>
      <c r="D228" s="1" t="s">
        <v>25</v>
      </c>
      <c r="E228" s="3" t="s">
        <v>0</v>
      </c>
      <c r="F228" s="4">
        <v>40603</v>
      </c>
      <c r="G228" s="5">
        <v>45597</v>
      </c>
      <c r="H228" s="6" t="s">
        <v>1</v>
      </c>
      <c r="I228" s="1" t="s">
        <v>2</v>
      </c>
      <c r="J228" s="7"/>
      <c r="K228" s="15" t="s">
        <v>334</v>
      </c>
      <c r="L228" t="s">
        <v>339</v>
      </c>
      <c r="M228" t="s">
        <v>15</v>
      </c>
      <c r="N228" t="str">
        <f t="shared" si="31"/>
        <v>https://api.bcb.gov.br/dados/serie/bcdata.sgs.20689/dados?formato=json</v>
      </c>
      <c r="O228">
        <v>6</v>
      </c>
      <c r="P228" t="s">
        <v>19</v>
      </c>
      <c r="Q228" t="s">
        <v>19</v>
      </c>
      <c r="R228" t="s">
        <v>908</v>
      </c>
      <c r="S228" t="s">
        <v>622</v>
      </c>
      <c r="T228" t="e">
        <f t="shared" si="34"/>
        <v>#VALUE!</v>
      </c>
      <c r="U228">
        <f t="shared" si="33"/>
        <v>20</v>
      </c>
    </row>
    <row r="229" spans="1:21" x14ac:dyDescent="0.25">
      <c r="A229" s="8"/>
      <c r="B229" s="8">
        <v>20690</v>
      </c>
      <c r="C229" s="9" t="s">
        <v>174</v>
      </c>
      <c r="D229" s="1" t="s">
        <v>25</v>
      </c>
      <c r="E229" s="10" t="s">
        <v>0</v>
      </c>
      <c r="F229" s="11">
        <v>40603</v>
      </c>
      <c r="G229" s="12">
        <v>45597</v>
      </c>
      <c r="H229" s="13" t="s">
        <v>1</v>
      </c>
      <c r="I229" s="8" t="s">
        <v>2</v>
      </c>
      <c r="J229" s="14"/>
      <c r="K229" s="15" t="s">
        <v>334</v>
      </c>
      <c r="L229" t="s">
        <v>340</v>
      </c>
      <c r="M229" t="s">
        <v>15</v>
      </c>
      <c r="N229" t="str">
        <f t="shared" si="31"/>
        <v>https://api.bcb.gov.br/dados/serie/bcdata.sgs.20690/dados?formato=json</v>
      </c>
      <c r="O229">
        <v>6</v>
      </c>
      <c r="P229" t="s">
        <v>19</v>
      </c>
      <c r="Q229" t="s">
        <v>19</v>
      </c>
      <c r="R229" t="s">
        <v>909</v>
      </c>
      <c r="S229" t="s">
        <v>622</v>
      </c>
      <c r="T229" t="e">
        <f t="shared" si="34"/>
        <v>#VALUE!</v>
      </c>
      <c r="U229">
        <f t="shared" si="33"/>
        <v>20</v>
      </c>
    </row>
    <row r="230" spans="1:21" x14ac:dyDescent="0.25">
      <c r="A230" s="1"/>
      <c r="B230" s="1">
        <v>20691</v>
      </c>
      <c r="C230" s="2" t="s">
        <v>175</v>
      </c>
      <c r="D230" s="1" t="s">
        <v>25</v>
      </c>
      <c r="E230" s="3" t="s">
        <v>0</v>
      </c>
      <c r="F230" s="4">
        <v>40603</v>
      </c>
      <c r="G230" s="5">
        <v>45597</v>
      </c>
      <c r="H230" s="6" t="s">
        <v>1</v>
      </c>
      <c r="I230" s="1" t="s">
        <v>2</v>
      </c>
      <c r="J230" s="7"/>
      <c r="K230" s="15" t="s">
        <v>334</v>
      </c>
      <c r="L230" t="s">
        <v>341</v>
      </c>
      <c r="M230" t="s">
        <v>15</v>
      </c>
      <c r="N230" t="str">
        <f t="shared" si="31"/>
        <v>https://api.bcb.gov.br/dados/serie/bcdata.sgs.20691/dados?formato=json</v>
      </c>
      <c r="O230">
        <v>6</v>
      </c>
      <c r="P230" t="s">
        <v>19</v>
      </c>
      <c r="Q230" t="s">
        <v>19</v>
      </c>
      <c r="R230" t="s">
        <v>910</v>
      </c>
      <c r="S230" t="s">
        <v>622</v>
      </c>
      <c r="T230" t="e">
        <f t="shared" si="34"/>
        <v>#VALUE!</v>
      </c>
      <c r="U230">
        <f t="shared" si="33"/>
        <v>20</v>
      </c>
    </row>
    <row r="231" spans="1:21" x14ac:dyDescent="0.25">
      <c r="A231" s="8"/>
      <c r="B231" s="8">
        <v>20692</v>
      </c>
      <c r="C231" s="9" t="s">
        <v>176</v>
      </c>
      <c r="D231" s="1" t="s">
        <v>25</v>
      </c>
      <c r="E231" s="10" t="s">
        <v>0</v>
      </c>
      <c r="F231" s="11">
        <v>40603</v>
      </c>
      <c r="G231" s="12">
        <v>45597</v>
      </c>
      <c r="H231" s="13" t="s">
        <v>1</v>
      </c>
      <c r="I231" s="8" t="s">
        <v>2</v>
      </c>
      <c r="J231" s="14"/>
      <c r="K231" s="15" t="s">
        <v>334</v>
      </c>
      <c r="L231" t="s">
        <v>342</v>
      </c>
      <c r="M231" t="s">
        <v>15</v>
      </c>
      <c r="N231" t="str">
        <f t="shared" si="31"/>
        <v>https://api.bcb.gov.br/dados/serie/bcdata.sgs.20692/dados?formato=json</v>
      </c>
      <c r="O231">
        <v>6</v>
      </c>
      <c r="P231" t="s">
        <v>19</v>
      </c>
      <c r="Q231" t="s">
        <v>19</v>
      </c>
      <c r="R231" t="s">
        <v>911</v>
      </c>
      <c r="S231" t="s">
        <v>622</v>
      </c>
      <c r="T231" t="e">
        <f t="shared" si="34"/>
        <v>#VALUE!</v>
      </c>
      <c r="U231">
        <f t="shared" si="33"/>
        <v>20</v>
      </c>
    </row>
    <row r="232" spans="1:21" x14ac:dyDescent="0.25">
      <c r="A232" s="1"/>
      <c r="B232" s="1">
        <v>20693</v>
      </c>
      <c r="C232" s="2" t="s">
        <v>177</v>
      </c>
      <c r="D232" s="1" t="s">
        <v>25</v>
      </c>
      <c r="E232" s="3" t="s">
        <v>0</v>
      </c>
      <c r="F232" s="4">
        <v>40603</v>
      </c>
      <c r="G232" s="5">
        <v>45597</v>
      </c>
      <c r="H232" s="6" t="s">
        <v>1</v>
      </c>
      <c r="I232" s="1" t="s">
        <v>2</v>
      </c>
      <c r="J232" s="7"/>
      <c r="K232" s="15" t="s">
        <v>334</v>
      </c>
      <c r="L232" t="s">
        <v>343</v>
      </c>
      <c r="M232" t="s">
        <v>15</v>
      </c>
      <c r="N232" t="str">
        <f t="shared" si="31"/>
        <v>https://api.bcb.gov.br/dados/serie/bcdata.sgs.20693/dados?formato=json</v>
      </c>
      <c r="O232">
        <v>6</v>
      </c>
      <c r="P232" t="s">
        <v>19</v>
      </c>
      <c r="Q232" t="s">
        <v>19</v>
      </c>
      <c r="R232" t="s">
        <v>912</v>
      </c>
      <c r="S232" t="s">
        <v>622</v>
      </c>
      <c r="T232" t="e">
        <f t="shared" si="34"/>
        <v>#VALUE!</v>
      </c>
      <c r="U232">
        <f t="shared" si="33"/>
        <v>20</v>
      </c>
    </row>
    <row r="233" spans="1:21" x14ac:dyDescent="0.25">
      <c r="A233" s="8"/>
      <c r="B233" s="8">
        <v>20694</v>
      </c>
      <c r="C233" s="9" t="s">
        <v>178</v>
      </c>
      <c r="D233" s="1" t="s">
        <v>25</v>
      </c>
      <c r="E233" s="10" t="s">
        <v>0</v>
      </c>
      <c r="F233" s="11">
        <v>40603</v>
      </c>
      <c r="G233" s="12">
        <v>45597</v>
      </c>
      <c r="H233" s="13" t="s">
        <v>1</v>
      </c>
      <c r="I233" s="8" t="s">
        <v>2</v>
      </c>
      <c r="J233" s="14"/>
      <c r="K233" s="15" t="s">
        <v>334</v>
      </c>
      <c r="L233" t="s">
        <v>344</v>
      </c>
      <c r="M233" t="s">
        <v>15</v>
      </c>
      <c r="N233" t="str">
        <f t="shared" si="31"/>
        <v>https://api.bcb.gov.br/dados/serie/bcdata.sgs.20694/dados?formato=json</v>
      </c>
      <c r="O233">
        <v>6</v>
      </c>
      <c r="P233" t="s">
        <v>19</v>
      </c>
      <c r="Q233" t="s">
        <v>19</v>
      </c>
      <c r="R233" t="s">
        <v>913</v>
      </c>
      <c r="S233" t="s">
        <v>622</v>
      </c>
      <c r="T233" t="e">
        <f t="shared" si="34"/>
        <v>#VALUE!</v>
      </c>
      <c r="U233">
        <f t="shared" si="33"/>
        <v>20</v>
      </c>
    </row>
    <row r="234" spans="1:21" x14ac:dyDescent="0.25">
      <c r="A234" s="1"/>
      <c r="B234" s="1">
        <v>20695</v>
      </c>
      <c r="C234" s="2" t="s">
        <v>179</v>
      </c>
      <c r="D234" s="1" t="s">
        <v>25</v>
      </c>
      <c r="E234" s="3" t="s">
        <v>0</v>
      </c>
      <c r="F234" s="4">
        <v>40603</v>
      </c>
      <c r="G234" s="5">
        <v>45597</v>
      </c>
      <c r="H234" s="6" t="s">
        <v>1</v>
      </c>
      <c r="I234" s="1" t="s">
        <v>2</v>
      </c>
      <c r="J234" s="7"/>
      <c r="K234" s="15" t="s">
        <v>334</v>
      </c>
      <c r="L234" t="s">
        <v>345</v>
      </c>
      <c r="M234" t="s">
        <v>15</v>
      </c>
      <c r="N234" t="str">
        <f t="shared" si="31"/>
        <v>https://api.bcb.gov.br/dados/serie/bcdata.sgs.20695/dados?formato=json</v>
      </c>
      <c r="O234">
        <v>6</v>
      </c>
      <c r="P234" t="s">
        <v>19</v>
      </c>
      <c r="Q234" t="s">
        <v>19</v>
      </c>
      <c r="R234" t="s">
        <v>914</v>
      </c>
      <c r="S234" t="s">
        <v>622</v>
      </c>
      <c r="T234" t="e">
        <f t="shared" si="34"/>
        <v>#VALUE!</v>
      </c>
      <c r="U234">
        <f t="shared" si="33"/>
        <v>20</v>
      </c>
    </row>
    <row r="235" spans="1:21" x14ac:dyDescent="0.25">
      <c r="A235" s="8"/>
      <c r="B235" s="8">
        <v>20696</v>
      </c>
      <c r="C235" s="9" t="s">
        <v>180</v>
      </c>
      <c r="D235" s="1" t="s">
        <v>25</v>
      </c>
      <c r="E235" s="10" t="s">
        <v>0</v>
      </c>
      <c r="F235" s="11">
        <v>40603</v>
      </c>
      <c r="G235" s="12">
        <v>45597</v>
      </c>
      <c r="H235" s="13" t="s">
        <v>1</v>
      </c>
      <c r="I235" s="8" t="s">
        <v>2</v>
      </c>
      <c r="J235" s="14"/>
      <c r="K235" s="15" t="s">
        <v>334</v>
      </c>
      <c r="L235" t="s">
        <v>346</v>
      </c>
      <c r="M235" t="s">
        <v>15</v>
      </c>
      <c r="N235" t="str">
        <f t="shared" si="31"/>
        <v>https://api.bcb.gov.br/dados/serie/bcdata.sgs.20696/dados?formato=json</v>
      </c>
      <c r="O235">
        <v>6</v>
      </c>
      <c r="P235" t="s">
        <v>19</v>
      </c>
      <c r="Q235" t="s">
        <v>19</v>
      </c>
      <c r="R235" t="s">
        <v>915</v>
      </c>
      <c r="S235" t="s">
        <v>622</v>
      </c>
      <c r="T235" t="e">
        <f t="shared" si="34"/>
        <v>#VALUE!</v>
      </c>
      <c r="U235">
        <f t="shared" si="33"/>
        <v>20</v>
      </c>
    </row>
    <row r="236" spans="1:21" x14ac:dyDescent="0.25">
      <c r="A236" s="1"/>
      <c r="B236" s="1">
        <v>20697</v>
      </c>
      <c r="C236" s="2" t="s">
        <v>181</v>
      </c>
      <c r="D236" s="1" t="s">
        <v>25</v>
      </c>
      <c r="E236" s="3" t="s">
        <v>0</v>
      </c>
      <c r="F236" s="4">
        <v>40603</v>
      </c>
      <c r="G236" s="5">
        <v>45597</v>
      </c>
      <c r="H236" s="6" t="s">
        <v>1</v>
      </c>
      <c r="I236" s="1" t="s">
        <v>2</v>
      </c>
      <c r="J236" s="7"/>
      <c r="K236" s="15" t="s">
        <v>334</v>
      </c>
      <c r="L236" t="s">
        <v>346</v>
      </c>
      <c r="M236" t="s">
        <v>15</v>
      </c>
      <c r="N236" t="str">
        <f t="shared" si="31"/>
        <v>https://api.bcb.gov.br/dados/serie/bcdata.sgs.20697/dados?formato=json</v>
      </c>
      <c r="O236">
        <v>6</v>
      </c>
      <c r="P236" t="s">
        <v>19</v>
      </c>
      <c r="Q236" t="s">
        <v>19</v>
      </c>
      <c r="R236" t="s">
        <v>916</v>
      </c>
      <c r="S236" t="s">
        <v>622</v>
      </c>
      <c r="T236" t="e">
        <f t="shared" si="34"/>
        <v>#VALUE!</v>
      </c>
      <c r="U236">
        <f t="shared" si="33"/>
        <v>20</v>
      </c>
    </row>
    <row r="237" spans="1:21" x14ac:dyDescent="0.25">
      <c r="A237" s="8"/>
      <c r="B237" s="8">
        <v>20698</v>
      </c>
      <c r="C237" s="9" t="s">
        <v>120</v>
      </c>
      <c r="D237" s="1" t="s">
        <v>25</v>
      </c>
      <c r="E237" s="10" t="s">
        <v>0</v>
      </c>
      <c r="F237" s="11">
        <v>40603</v>
      </c>
      <c r="G237" s="12">
        <v>45597</v>
      </c>
      <c r="H237" s="13" t="s">
        <v>1</v>
      </c>
      <c r="I237" s="8" t="s">
        <v>2</v>
      </c>
      <c r="J237" s="14"/>
      <c r="K237" s="15" t="s">
        <v>334</v>
      </c>
      <c r="L237" t="s">
        <v>347</v>
      </c>
      <c r="M237" t="s">
        <v>15</v>
      </c>
      <c r="N237" t="str">
        <f t="shared" si="31"/>
        <v>https://api.bcb.gov.br/dados/serie/bcdata.sgs.20698/dados?formato=json</v>
      </c>
      <c r="O237">
        <v>6</v>
      </c>
      <c r="P237" t="s">
        <v>19</v>
      </c>
      <c r="Q237" t="s">
        <v>19</v>
      </c>
      <c r="R237" t="s">
        <v>118</v>
      </c>
      <c r="S237" t="s">
        <v>621</v>
      </c>
      <c r="T237" t="e">
        <f t="shared" si="34"/>
        <v>#VALUE!</v>
      </c>
      <c r="U237">
        <f t="shared" ref="U237:U251" si="35">LEN("Pessoas físicas - ")</f>
        <v>18</v>
      </c>
    </row>
    <row r="238" spans="1:21" x14ac:dyDescent="0.25">
      <c r="A238" s="1"/>
      <c r="B238" s="1">
        <v>20699</v>
      </c>
      <c r="C238" s="2" t="s">
        <v>182</v>
      </c>
      <c r="D238" s="1" t="s">
        <v>25</v>
      </c>
      <c r="E238" s="3" t="s">
        <v>0</v>
      </c>
      <c r="F238" s="4">
        <v>40603</v>
      </c>
      <c r="G238" s="5">
        <v>45597</v>
      </c>
      <c r="H238" s="6" t="s">
        <v>1</v>
      </c>
      <c r="I238" s="1" t="s">
        <v>2</v>
      </c>
      <c r="J238" s="7"/>
      <c r="K238" s="15" t="s">
        <v>334</v>
      </c>
      <c r="L238" t="s">
        <v>337</v>
      </c>
      <c r="M238" t="s">
        <v>15</v>
      </c>
      <c r="N238" t="str">
        <f t="shared" si="31"/>
        <v>https://api.bcb.gov.br/dados/serie/bcdata.sgs.20699/dados?formato=json</v>
      </c>
      <c r="O238">
        <v>6</v>
      </c>
      <c r="P238" t="s">
        <v>19</v>
      </c>
      <c r="Q238" t="s">
        <v>19</v>
      </c>
      <c r="R238" t="s">
        <v>906</v>
      </c>
      <c r="S238" t="s">
        <v>621</v>
      </c>
      <c r="T238" t="e">
        <f t="shared" ref="T238:T251" si="36">RIGHT(S238,LEN(S238)-U238)</f>
        <v>#VALUE!</v>
      </c>
      <c r="U238">
        <f t="shared" si="35"/>
        <v>18</v>
      </c>
    </row>
    <row r="239" spans="1:21" x14ac:dyDescent="0.25">
      <c r="A239" s="8"/>
      <c r="B239" s="8">
        <v>20700</v>
      </c>
      <c r="C239" s="9" t="s">
        <v>183</v>
      </c>
      <c r="D239" s="1" t="s">
        <v>25</v>
      </c>
      <c r="E239" s="10" t="s">
        <v>0</v>
      </c>
      <c r="F239" s="11">
        <v>40603</v>
      </c>
      <c r="G239" s="12">
        <v>45597</v>
      </c>
      <c r="H239" s="13" t="s">
        <v>1</v>
      </c>
      <c r="I239" s="8" t="s">
        <v>2</v>
      </c>
      <c r="J239" s="14"/>
      <c r="K239" s="15" t="s">
        <v>334</v>
      </c>
      <c r="L239" t="s">
        <v>338</v>
      </c>
      <c r="M239" t="s">
        <v>15</v>
      </c>
      <c r="N239" t="str">
        <f t="shared" si="31"/>
        <v>https://api.bcb.gov.br/dados/serie/bcdata.sgs.20700/dados?formato=json</v>
      </c>
      <c r="O239">
        <v>6</v>
      </c>
      <c r="P239" t="s">
        <v>19</v>
      </c>
      <c r="Q239" t="s">
        <v>19</v>
      </c>
      <c r="R239" t="s">
        <v>907</v>
      </c>
      <c r="S239" t="s">
        <v>621</v>
      </c>
      <c r="T239" t="e">
        <f t="shared" si="36"/>
        <v>#VALUE!</v>
      </c>
      <c r="U239">
        <f t="shared" si="35"/>
        <v>18</v>
      </c>
    </row>
    <row r="240" spans="1:21" x14ac:dyDescent="0.25">
      <c r="A240" s="1"/>
      <c r="B240" s="1">
        <v>20701</v>
      </c>
      <c r="C240" s="2" t="s">
        <v>184</v>
      </c>
      <c r="D240" s="1" t="s">
        <v>25</v>
      </c>
      <c r="E240" s="3" t="s">
        <v>0</v>
      </c>
      <c r="F240" s="4">
        <v>40603</v>
      </c>
      <c r="G240" s="5">
        <v>45597</v>
      </c>
      <c r="H240" s="6" t="s">
        <v>1</v>
      </c>
      <c r="I240" s="1" t="s">
        <v>2</v>
      </c>
      <c r="J240" s="7"/>
      <c r="K240" s="15" t="s">
        <v>334</v>
      </c>
      <c r="L240" t="s">
        <v>339</v>
      </c>
      <c r="M240" t="s">
        <v>15</v>
      </c>
      <c r="N240" t="str">
        <f t="shared" si="31"/>
        <v>https://api.bcb.gov.br/dados/serie/bcdata.sgs.20701/dados?formato=json</v>
      </c>
      <c r="O240">
        <v>6</v>
      </c>
      <c r="P240" t="s">
        <v>19</v>
      </c>
      <c r="Q240" t="s">
        <v>19</v>
      </c>
      <c r="R240" t="s">
        <v>908</v>
      </c>
      <c r="S240" t="s">
        <v>621</v>
      </c>
      <c r="T240" t="e">
        <f t="shared" si="36"/>
        <v>#VALUE!</v>
      </c>
      <c r="U240">
        <f t="shared" si="35"/>
        <v>18</v>
      </c>
    </row>
    <row r="241" spans="1:21" x14ac:dyDescent="0.25">
      <c r="A241" s="8"/>
      <c r="B241" s="8">
        <v>20702</v>
      </c>
      <c r="C241" s="9" t="s">
        <v>185</v>
      </c>
      <c r="D241" s="1" t="s">
        <v>25</v>
      </c>
      <c r="E241" s="10" t="s">
        <v>0</v>
      </c>
      <c r="F241" s="11">
        <v>40603</v>
      </c>
      <c r="G241" s="12">
        <v>45597</v>
      </c>
      <c r="H241" s="13" t="s">
        <v>1</v>
      </c>
      <c r="I241" s="8" t="s">
        <v>2</v>
      </c>
      <c r="J241" s="14"/>
      <c r="K241" s="15" t="s">
        <v>334</v>
      </c>
      <c r="L241" t="s">
        <v>340</v>
      </c>
      <c r="M241" t="s">
        <v>15</v>
      </c>
      <c r="N241" t="str">
        <f t="shared" si="31"/>
        <v>https://api.bcb.gov.br/dados/serie/bcdata.sgs.20702/dados?formato=json</v>
      </c>
      <c r="O241">
        <v>6</v>
      </c>
      <c r="P241" t="s">
        <v>19</v>
      </c>
      <c r="Q241" t="s">
        <v>19</v>
      </c>
      <c r="R241" t="s">
        <v>909</v>
      </c>
      <c r="S241" t="s">
        <v>621</v>
      </c>
      <c r="T241" t="e">
        <f t="shared" si="36"/>
        <v>#VALUE!</v>
      </c>
      <c r="U241">
        <f t="shared" si="35"/>
        <v>18</v>
      </c>
    </row>
    <row r="242" spans="1:21" x14ac:dyDescent="0.25">
      <c r="A242" s="1"/>
      <c r="B242" s="1">
        <v>20703</v>
      </c>
      <c r="C242" s="2" t="s">
        <v>186</v>
      </c>
      <c r="D242" s="1" t="s">
        <v>25</v>
      </c>
      <c r="E242" s="3" t="s">
        <v>0</v>
      </c>
      <c r="F242" s="4">
        <v>40603</v>
      </c>
      <c r="G242" s="5">
        <v>45597</v>
      </c>
      <c r="H242" s="6" t="s">
        <v>1</v>
      </c>
      <c r="I242" s="1" t="s">
        <v>2</v>
      </c>
      <c r="J242" s="7"/>
      <c r="K242" s="15" t="s">
        <v>334</v>
      </c>
      <c r="L242" t="s">
        <v>341</v>
      </c>
      <c r="M242" t="s">
        <v>15</v>
      </c>
      <c r="N242" t="str">
        <f t="shared" si="31"/>
        <v>https://api.bcb.gov.br/dados/serie/bcdata.sgs.20703/dados?formato=json</v>
      </c>
      <c r="O242">
        <v>6</v>
      </c>
      <c r="P242" t="s">
        <v>19</v>
      </c>
      <c r="Q242" t="s">
        <v>19</v>
      </c>
      <c r="R242" t="s">
        <v>910</v>
      </c>
      <c r="S242" t="s">
        <v>621</v>
      </c>
      <c r="T242" t="e">
        <f t="shared" si="36"/>
        <v>#VALUE!</v>
      </c>
      <c r="U242">
        <f t="shared" si="35"/>
        <v>18</v>
      </c>
    </row>
    <row r="243" spans="1:21" x14ac:dyDescent="0.25">
      <c r="A243" s="8"/>
      <c r="B243" s="8">
        <v>20704</v>
      </c>
      <c r="C243" s="9" t="s">
        <v>187</v>
      </c>
      <c r="D243" s="1" t="s">
        <v>25</v>
      </c>
      <c r="E243" s="10" t="s">
        <v>0</v>
      </c>
      <c r="F243" s="11">
        <v>40603</v>
      </c>
      <c r="G243" s="12">
        <v>45597</v>
      </c>
      <c r="H243" s="13" t="s">
        <v>1</v>
      </c>
      <c r="I243" s="8" t="s">
        <v>2</v>
      </c>
      <c r="J243" s="14"/>
      <c r="K243" s="15" t="s">
        <v>334</v>
      </c>
      <c r="L243" t="s">
        <v>342</v>
      </c>
      <c r="M243" t="s">
        <v>15</v>
      </c>
      <c r="N243" t="str">
        <f t="shared" si="31"/>
        <v>https://api.bcb.gov.br/dados/serie/bcdata.sgs.20704/dados?formato=json</v>
      </c>
      <c r="O243">
        <v>6</v>
      </c>
      <c r="P243" t="s">
        <v>19</v>
      </c>
      <c r="Q243" t="s">
        <v>19</v>
      </c>
      <c r="R243" t="s">
        <v>911</v>
      </c>
      <c r="S243" t="s">
        <v>621</v>
      </c>
      <c r="T243" t="e">
        <f t="shared" si="36"/>
        <v>#VALUE!</v>
      </c>
      <c r="U243">
        <f t="shared" si="35"/>
        <v>18</v>
      </c>
    </row>
    <row r="244" spans="1:21" x14ac:dyDescent="0.25">
      <c r="A244" s="1"/>
      <c r="B244" s="1">
        <v>20705</v>
      </c>
      <c r="C244" s="2" t="s">
        <v>188</v>
      </c>
      <c r="D244" s="1" t="s">
        <v>25</v>
      </c>
      <c r="E244" s="3" t="s">
        <v>0</v>
      </c>
      <c r="F244" s="4">
        <v>40603</v>
      </c>
      <c r="G244" s="5">
        <v>45597</v>
      </c>
      <c r="H244" s="6" t="s">
        <v>1</v>
      </c>
      <c r="I244" s="1" t="s">
        <v>2</v>
      </c>
      <c r="J244" s="7"/>
      <c r="K244" s="15" t="s">
        <v>334</v>
      </c>
      <c r="L244" t="s">
        <v>343</v>
      </c>
      <c r="M244" t="s">
        <v>15</v>
      </c>
      <c r="N244" t="str">
        <f t="shared" si="31"/>
        <v>https://api.bcb.gov.br/dados/serie/bcdata.sgs.20705/dados?formato=json</v>
      </c>
      <c r="O244">
        <v>6</v>
      </c>
      <c r="P244" t="s">
        <v>19</v>
      </c>
      <c r="Q244" t="s">
        <v>19</v>
      </c>
      <c r="R244" t="s">
        <v>912</v>
      </c>
      <c r="S244" t="s">
        <v>621</v>
      </c>
      <c r="T244" t="e">
        <f t="shared" si="36"/>
        <v>#VALUE!</v>
      </c>
      <c r="U244">
        <f t="shared" si="35"/>
        <v>18</v>
      </c>
    </row>
    <row r="245" spans="1:21" x14ac:dyDescent="0.25">
      <c r="A245" s="8"/>
      <c r="B245" s="8">
        <v>20706</v>
      </c>
      <c r="C245" s="9" t="s">
        <v>189</v>
      </c>
      <c r="D245" s="1" t="s">
        <v>25</v>
      </c>
      <c r="E245" s="10" t="s">
        <v>0</v>
      </c>
      <c r="F245" s="11">
        <v>40603</v>
      </c>
      <c r="G245" s="12">
        <v>45597</v>
      </c>
      <c r="H245" s="13" t="s">
        <v>1</v>
      </c>
      <c r="I245" s="8" t="s">
        <v>2</v>
      </c>
      <c r="J245" s="14"/>
      <c r="K245" s="15" t="s">
        <v>334</v>
      </c>
      <c r="L245" t="s">
        <v>344</v>
      </c>
      <c r="M245" t="s">
        <v>15</v>
      </c>
      <c r="N245" t="str">
        <f t="shared" si="31"/>
        <v>https://api.bcb.gov.br/dados/serie/bcdata.sgs.20706/dados?formato=json</v>
      </c>
      <c r="O245">
        <v>6</v>
      </c>
      <c r="P245" t="s">
        <v>19</v>
      </c>
      <c r="Q245" t="s">
        <v>19</v>
      </c>
      <c r="R245" t="s">
        <v>913</v>
      </c>
      <c r="S245" t="s">
        <v>621</v>
      </c>
      <c r="T245" t="e">
        <f t="shared" si="36"/>
        <v>#VALUE!</v>
      </c>
      <c r="U245">
        <f t="shared" si="35"/>
        <v>18</v>
      </c>
    </row>
    <row r="246" spans="1:21" x14ac:dyDescent="0.25">
      <c r="A246" s="1"/>
      <c r="B246" s="1">
        <v>20707</v>
      </c>
      <c r="C246" s="2" t="s">
        <v>190</v>
      </c>
      <c r="D246" s="1" t="s">
        <v>25</v>
      </c>
      <c r="E246" s="3" t="s">
        <v>0</v>
      </c>
      <c r="F246" s="4">
        <v>40603</v>
      </c>
      <c r="G246" s="5">
        <v>45597</v>
      </c>
      <c r="H246" s="6" t="s">
        <v>1</v>
      </c>
      <c r="I246" s="1" t="s">
        <v>2</v>
      </c>
      <c r="J246" s="7"/>
      <c r="K246" s="15" t="s">
        <v>334</v>
      </c>
      <c r="L246" t="s">
        <v>345</v>
      </c>
      <c r="M246" t="s">
        <v>15</v>
      </c>
      <c r="N246" t="str">
        <f t="shared" si="31"/>
        <v>https://api.bcb.gov.br/dados/serie/bcdata.sgs.20707/dados?formato=json</v>
      </c>
      <c r="O246">
        <v>6</v>
      </c>
      <c r="P246" t="s">
        <v>19</v>
      </c>
      <c r="Q246" t="s">
        <v>19</v>
      </c>
      <c r="R246" t="s">
        <v>914</v>
      </c>
      <c r="S246" t="s">
        <v>621</v>
      </c>
      <c r="T246" t="e">
        <f t="shared" si="36"/>
        <v>#VALUE!</v>
      </c>
      <c r="U246">
        <f t="shared" si="35"/>
        <v>18</v>
      </c>
    </row>
    <row r="247" spans="1:21" x14ac:dyDescent="0.25">
      <c r="A247" s="8"/>
      <c r="B247" s="8">
        <v>20708</v>
      </c>
      <c r="C247" s="9" t="s">
        <v>191</v>
      </c>
      <c r="D247" s="1" t="s">
        <v>25</v>
      </c>
      <c r="E247" s="10" t="s">
        <v>0</v>
      </c>
      <c r="F247" s="11">
        <v>40603</v>
      </c>
      <c r="G247" s="12">
        <v>45597</v>
      </c>
      <c r="H247" s="13" t="s">
        <v>1</v>
      </c>
      <c r="I247" s="8" t="s">
        <v>2</v>
      </c>
      <c r="J247" s="14"/>
      <c r="K247" s="15" t="s">
        <v>334</v>
      </c>
      <c r="L247" t="s">
        <v>346</v>
      </c>
      <c r="M247" t="s">
        <v>15</v>
      </c>
      <c r="N247" t="str">
        <f t="shared" si="31"/>
        <v>https://api.bcb.gov.br/dados/serie/bcdata.sgs.20708/dados?formato=json</v>
      </c>
      <c r="O247">
        <v>6</v>
      </c>
      <c r="P247" t="s">
        <v>19</v>
      </c>
      <c r="Q247" t="s">
        <v>19</v>
      </c>
      <c r="R247" t="s">
        <v>915</v>
      </c>
      <c r="S247" t="s">
        <v>621</v>
      </c>
      <c r="T247" t="e">
        <f t="shared" si="36"/>
        <v>#VALUE!</v>
      </c>
      <c r="U247">
        <f t="shared" si="35"/>
        <v>18</v>
      </c>
    </row>
    <row r="248" spans="1:21" x14ac:dyDescent="0.25">
      <c r="A248" s="1"/>
      <c r="B248" s="1">
        <v>20709</v>
      </c>
      <c r="C248" s="2" t="s">
        <v>192</v>
      </c>
      <c r="D248" s="1" t="s">
        <v>25</v>
      </c>
      <c r="E248" s="3" t="s">
        <v>0</v>
      </c>
      <c r="F248" s="4">
        <v>40603</v>
      </c>
      <c r="G248" s="5">
        <v>45597</v>
      </c>
      <c r="H248" s="6" t="s">
        <v>1</v>
      </c>
      <c r="I248" s="1" t="s">
        <v>2</v>
      </c>
      <c r="J248" s="7"/>
      <c r="K248" s="15" t="s">
        <v>334</v>
      </c>
      <c r="L248" t="s">
        <v>348</v>
      </c>
      <c r="M248" t="s">
        <v>15</v>
      </c>
      <c r="N248" t="str">
        <f t="shared" si="31"/>
        <v>https://api.bcb.gov.br/dados/serie/bcdata.sgs.20709/dados?formato=json</v>
      </c>
      <c r="O248">
        <v>6</v>
      </c>
      <c r="P248" t="s">
        <v>19</v>
      </c>
      <c r="Q248" t="s">
        <v>19</v>
      </c>
      <c r="R248" t="s">
        <v>917</v>
      </c>
      <c r="S248" t="s">
        <v>621</v>
      </c>
      <c r="T248" t="e">
        <f t="shared" si="36"/>
        <v>#VALUE!</v>
      </c>
      <c r="U248">
        <f t="shared" si="35"/>
        <v>18</v>
      </c>
    </row>
    <row r="249" spans="1:21" x14ac:dyDescent="0.25">
      <c r="A249" s="8"/>
      <c r="B249" s="8">
        <v>20710</v>
      </c>
      <c r="C249" s="9" t="s">
        <v>193</v>
      </c>
      <c r="D249" s="1" t="s">
        <v>25</v>
      </c>
      <c r="E249" s="10" t="s">
        <v>0</v>
      </c>
      <c r="F249" s="11">
        <v>40603</v>
      </c>
      <c r="G249" s="12">
        <v>45597</v>
      </c>
      <c r="H249" s="13" t="s">
        <v>1</v>
      </c>
      <c r="I249" s="8" t="s">
        <v>2</v>
      </c>
      <c r="J249" s="14"/>
      <c r="K249" s="15" t="s">
        <v>334</v>
      </c>
      <c r="L249" t="s">
        <v>349</v>
      </c>
      <c r="M249" t="s">
        <v>15</v>
      </c>
      <c r="N249" t="str">
        <f t="shared" si="31"/>
        <v>https://api.bcb.gov.br/dados/serie/bcdata.sgs.20710/dados?formato=json</v>
      </c>
      <c r="O249">
        <v>6</v>
      </c>
      <c r="P249" t="s">
        <v>19</v>
      </c>
      <c r="Q249" t="s">
        <v>19</v>
      </c>
      <c r="R249" t="s">
        <v>918</v>
      </c>
      <c r="S249" t="s">
        <v>621</v>
      </c>
      <c r="T249" t="e">
        <f t="shared" si="36"/>
        <v>#VALUE!</v>
      </c>
      <c r="U249">
        <f t="shared" si="35"/>
        <v>18</v>
      </c>
    </row>
    <row r="250" spans="1:21" x14ac:dyDescent="0.25">
      <c r="A250" s="1"/>
      <c r="B250" s="1">
        <v>20712</v>
      </c>
      <c r="C250" s="2" t="s">
        <v>194</v>
      </c>
      <c r="D250" s="1" t="s">
        <v>25</v>
      </c>
      <c r="E250" s="3" t="s">
        <v>0</v>
      </c>
      <c r="F250" s="4">
        <v>40603</v>
      </c>
      <c r="G250" s="5">
        <v>45597</v>
      </c>
      <c r="H250" s="6" t="s">
        <v>1</v>
      </c>
      <c r="I250" s="1" t="s">
        <v>2</v>
      </c>
      <c r="J250" s="7"/>
      <c r="K250" s="15" t="s">
        <v>334</v>
      </c>
      <c r="L250" t="s">
        <v>350</v>
      </c>
      <c r="M250" t="s">
        <v>15</v>
      </c>
      <c r="N250" t="str">
        <f t="shared" si="31"/>
        <v>https://api.bcb.gov.br/dados/serie/bcdata.sgs.20712/dados?formato=json</v>
      </c>
      <c r="O250">
        <v>6</v>
      </c>
      <c r="P250" t="s">
        <v>19</v>
      </c>
      <c r="Q250" t="s">
        <v>19</v>
      </c>
      <c r="R250" t="s">
        <v>919</v>
      </c>
      <c r="S250" t="s">
        <v>621</v>
      </c>
      <c r="T250" t="e">
        <f t="shared" si="36"/>
        <v>#VALUE!</v>
      </c>
      <c r="U250">
        <f t="shared" si="35"/>
        <v>18</v>
      </c>
    </row>
    <row r="251" spans="1:21" x14ac:dyDescent="0.25">
      <c r="A251" s="8"/>
      <c r="B251" s="8">
        <v>20713</v>
      </c>
      <c r="C251" s="9" t="s">
        <v>195</v>
      </c>
      <c r="D251" s="1" t="s">
        <v>25</v>
      </c>
      <c r="E251" s="10" t="s">
        <v>0</v>
      </c>
      <c r="F251" s="11">
        <v>40603</v>
      </c>
      <c r="G251" s="12">
        <v>45597</v>
      </c>
      <c r="H251" s="13" t="s">
        <v>1</v>
      </c>
      <c r="I251" s="8" t="s">
        <v>2</v>
      </c>
      <c r="J251" s="14"/>
      <c r="K251" s="15" t="s">
        <v>334</v>
      </c>
      <c r="L251" t="s">
        <v>351</v>
      </c>
      <c r="M251" t="s">
        <v>15</v>
      </c>
      <c r="N251" t="str">
        <f t="shared" si="31"/>
        <v>https://api.bcb.gov.br/dados/serie/bcdata.sgs.20713/dados?formato=json</v>
      </c>
      <c r="O251">
        <v>6</v>
      </c>
      <c r="P251" t="s">
        <v>19</v>
      </c>
      <c r="Q251" t="s">
        <v>19</v>
      </c>
      <c r="R251" t="s">
        <v>916</v>
      </c>
      <c r="S251" t="s">
        <v>621</v>
      </c>
      <c r="T251" t="e">
        <f t="shared" si="36"/>
        <v>#VALUE!</v>
      </c>
      <c r="U251">
        <f t="shared" si="35"/>
        <v>18</v>
      </c>
    </row>
    <row r="252" spans="1:21" x14ac:dyDescent="0.25">
      <c r="A252" s="1"/>
      <c r="B252" s="1">
        <v>24439</v>
      </c>
      <c r="C252" s="2" t="s">
        <v>118</v>
      </c>
      <c r="D252" s="1" t="s">
        <v>25</v>
      </c>
      <c r="E252" s="3" t="s">
        <v>0</v>
      </c>
      <c r="F252" s="4">
        <v>40603</v>
      </c>
      <c r="G252" s="5">
        <v>45597</v>
      </c>
      <c r="H252" s="6" t="s">
        <v>1</v>
      </c>
      <c r="I252" s="1" t="s">
        <v>2</v>
      </c>
      <c r="J252" s="7"/>
      <c r="K252" s="15" t="s">
        <v>352</v>
      </c>
      <c r="L252" t="s">
        <v>353</v>
      </c>
      <c r="M252" t="s">
        <v>15</v>
      </c>
      <c r="N252" t="str">
        <f t="shared" ref="N252:N266" si="37">_xlfn.CONCAT("https://api.bcb.gov.br/dados/serie/bcdata.sgs.",B252,"/dados?formato=json")</f>
        <v>https://api.bcb.gov.br/dados/serie/bcdata.sgs.24439/dados?formato=json</v>
      </c>
      <c r="O252">
        <v>6</v>
      </c>
      <c r="P252" t="s">
        <v>19</v>
      </c>
      <c r="Q252" t="s">
        <v>19</v>
      </c>
      <c r="R252" t="s">
        <v>118</v>
      </c>
      <c r="S252" t="s">
        <v>118</v>
      </c>
    </row>
    <row r="253" spans="1:21" x14ac:dyDescent="0.25">
      <c r="A253" s="8"/>
      <c r="B253" s="8">
        <v>24440</v>
      </c>
      <c r="C253" s="9" t="s">
        <v>119</v>
      </c>
      <c r="D253" s="1" t="s">
        <v>25</v>
      </c>
      <c r="E253" s="10" t="s">
        <v>0</v>
      </c>
      <c r="F253" s="11">
        <v>40603</v>
      </c>
      <c r="G253" s="12">
        <v>45597</v>
      </c>
      <c r="H253" s="13" t="s">
        <v>1</v>
      </c>
      <c r="I253" s="8" t="s">
        <v>2</v>
      </c>
      <c r="J253" s="14"/>
      <c r="K253" s="15" t="s">
        <v>352</v>
      </c>
      <c r="L253" t="s">
        <v>353</v>
      </c>
      <c r="M253" t="s">
        <v>15</v>
      </c>
      <c r="N253" t="str">
        <f t="shared" si="37"/>
        <v>https://api.bcb.gov.br/dados/serie/bcdata.sgs.24440/dados?formato=json</v>
      </c>
      <c r="O253">
        <v>6</v>
      </c>
      <c r="P253" t="s">
        <v>19</v>
      </c>
      <c r="Q253" t="s">
        <v>19</v>
      </c>
      <c r="R253" t="s">
        <v>118</v>
      </c>
      <c r="S253" t="s">
        <v>622</v>
      </c>
    </row>
    <row r="254" spans="1:21" x14ac:dyDescent="0.25">
      <c r="A254" s="1"/>
      <c r="B254" s="1">
        <v>24441</v>
      </c>
      <c r="C254" s="2" t="s">
        <v>120</v>
      </c>
      <c r="D254" s="1" t="s">
        <v>25</v>
      </c>
      <c r="E254" s="3" t="s">
        <v>0</v>
      </c>
      <c r="F254" s="4">
        <v>40603</v>
      </c>
      <c r="G254" s="5">
        <v>45597</v>
      </c>
      <c r="H254" s="6" t="s">
        <v>1</v>
      </c>
      <c r="I254" s="1" t="s">
        <v>2</v>
      </c>
      <c r="J254" s="7"/>
      <c r="K254" s="15" t="s">
        <v>352</v>
      </c>
      <c r="L254" t="s">
        <v>353</v>
      </c>
      <c r="M254" t="s">
        <v>15</v>
      </c>
      <c r="N254" t="str">
        <f t="shared" si="37"/>
        <v>https://api.bcb.gov.br/dados/serie/bcdata.sgs.24441/dados?formato=json</v>
      </c>
      <c r="O254">
        <v>6</v>
      </c>
      <c r="P254" t="s">
        <v>19</v>
      </c>
      <c r="Q254" t="s">
        <v>19</v>
      </c>
      <c r="R254" t="s">
        <v>118</v>
      </c>
      <c r="S254" t="s">
        <v>621</v>
      </c>
    </row>
    <row r="255" spans="1:21" x14ac:dyDescent="0.25">
      <c r="A255" s="8"/>
      <c r="B255" s="8">
        <v>24442</v>
      </c>
      <c r="C255" s="9" t="s">
        <v>368</v>
      </c>
      <c r="D255" s="1" t="s">
        <v>25</v>
      </c>
      <c r="E255" s="10" t="s">
        <v>0</v>
      </c>
      <c r="F255" s="11">
        <v>40603</v>
      </c>
      <c r="G255" s="12">
        <v>45597</v>
      </c>
      <c r="H255" s="13" t="s">
        <v>1</v>
      </c>
      <c r="I255" s="8" t="s">
        <v>2</v>
      </c>
      <c r="J255" s="14"/>
      <c r="K255" s="15" t="s">
        <v>352</v>
      </c>
      <c r="L255" t="s">
        <v>354</v>
      </c>
      <c r="M255" t="s">
        <v>15</v>
      </c>
      <c r="N255" t="str">
        <f t="shared" si="37"/>
        <v>https://api.bcb.gov.br/dados/serie/bcdata.sgs.24442/dados?formato=json</v>
      </c>
      <c r="O255">
        <v>6</v>
      </c>
      <c r="P255" t="s">
        <v>19</v>
      </c>
      <c r="Q255" t="s">
        <v>19</v>
      </c>
      <c r="R255" t="s">
        <v>118</v>
      </c>
      <c r="S255" t="s">
        <v>967</v>
      </c>
      <c r="T255" t="e">
        <f>RIGHT(S255,LEN(S255)-U255)</f>
        <v>#VALUE!</v>
      </c>
      <c r="U255">
        <f>LEN("Recursos livres - ")</f>
        <v>18</v>
      </c>
    </row>
    <row r="256" spans="1:21" x14ac:dyDescent="0.25">
      <c r="A256" s="1"/>
      <c r="B256" s="1">
        <v>24443</v>
      </c>
      <c r="C256" s="2" t="s">
        <v>369</v>
      </c>
      <c r="D256" s="1" t="s">
        <v>25</v>
      </c>
      <c r="E256" s="3" t="s">
        <v>0</v>
      </c>
      <c r="F256" s="4">
        <v>40603</v>
      </c>
      <c r="G256" s="5">
        <v>45597</v>
      </c>
      <c r="H256" s="6" t="s">
        <v>1</v>
      </c>
      <c r="I256" s="1" t="s">
        <v>2</v>
      </c>
      <c r="J256" s="7"/>
      <c r="K256" s="15" t="s">
        <v>352</v>
      </c>
      <c r="L256" t="s">
        <v>354</v>
      </c>
      <c r="M256" t="s">
        <v>15</v>
      </c>
      <c r="N256" t="str">
        <f t="shared" si="37"/>
        <v>https://api.bcb.gov.br/dados/serie/bcdata.sgs.24443/dados?formato=json</v>
      </c>
      <c r="O256">
        <v>6</v>
      </c>
      <c r="P256" t="s">
        <v>19</v>
      </c>
      <c r="Q256" t="s">
        <v>19</v>
      </c>
      <c r="R256" t="s">
        <v>119</v>
      </c>
      <c r="S256" t="s">
        <v>967</v>
      </c>
      <c r="T256" t="e">
        <f t="shared" ref="T256:T262" si="38">RIGHT(S256,LEN(S256)-U256)</f>
        <v>#VALUE!</v>
      </c>
      <c r="U256">
        <f t="shared" ref="U256:U262" si="39">LEN("Pessoas físicas - ")</f>
        <v>18</v>
      </c>
    </row>
    <row r="257" spans="1:21" x14ac:dyDescent="0.25">
      <c r="A257" s="8"/>
      <c r="B257" s="8">
        <v>28167</v>
      </c>
      <c r="C257" s="9" t="s">
        <v>396</v>
      </c>
      <c r="D257" s="1" t="s">
        <v>25</v>
      </c>
      <c r="E257" s="10" t="s">
        <v>0</v>
      </c>
      <c r="F257" s="11">
        <v>40603</v>
      </c>
      <c r="G257" s="12">
        <v>45597</v>
      </c>
      <c r="H257" s="13" t="s">
        <v>1</v>
      </c>
      <c r="I257" s="8" t="s">
        <v>2</v>
      </c>
      <c r="J257" s="14"/>
      <c r="K257" s="15" t="s">
        <v>352</v>
      </c>
      <c r="L257" t="s">
        <v>354</v>
      </c>
      <c r="M257" t="s">
        <v>15</v>
      </c>
      <c r="N257" t="str">
        <f t="shared" si="37"/>
        <v>https://api.bcb.gov.br/dados/serie/bcdata.sgs.28167/dados?formato=json</v>
      </c>
      <c r="O257">
        <v>6</v>
      </c>
      <c r="P257" t="s">
        <v>19</v>
      </c>
      <c r="Q257" t="s">
        <v>19</v>
      </c>
      <c r="R257" t="s">
        <v>121</v>
      </c>
      <c r="S257" t="s">
        <v>967</v>
      </c>
      <c r="T257" t="e">
        <f t="shared" si="38"/>
        <v>#VALUE!</v>
      </c>
      <c r="U257">
        <f t="shared" si="39"/>
        <v>18</v>
      </c>
    </row>
    <row r="258" spans="1:21" x14ac:dyDescent="0.25">
      <c r="A258" s="1"/>
      <c r="B258" s="1">
        <v>28169</v>
      </c>
      <c r="C258" s="2" t="s">
        <v>397</v>
      </c>
      <c r="D258" s="1" t="s">
        <v>25</v>
      </c>
      <c r="E258" s="3" t="s">
        <v>0</v>
      </c>
      <c r="F258" s="4">
        <v>40603</v>
      </c>
      <c r="G258" s="5">
        <v>45597</v>
      </c>
      <c r="H258" s="6" t="s">
        <v>1</v>
      </c>
      <c r="I258" s="1" t="s">
        <v>2</v>
      </c>
      <c r="J258" s="7"/>
      <c r="K258" s="15" t="s">
        <v>352</v>
      </c>
      <c r="L258" t="s">
        <v>354</v>
      </c>
      <c r="M258" t="s">
        <v>15</v>
      </c>
      <c r="N258" t="str">
        <f t="shared" si="37"/>
        <v>https://api.bcb.gov.br/dados/serie/bcdata.sgs.28169/dados?formato=json</v>
      </c>
      <c r="O258">
        <v>6</v>
      </c>
      <c r="P258" t="s">
        <v>19</v>
      </c>
      <c r="Q258" t="s">
        <v>19</v>
      </c>
      <c r="R258" t="s">
        <v>129</v>
      </c>
      <c r="S258" t="s">
        <v>967</v>
      </c>
      <c r="T258" t="e">
        <f t="shared" si="38"/>
        <v>#VALUE!</v>
      </c>
      <c r="U258">
        <f t="shared" si="39"/>
        <v>18</v>
      </c>
    </row>
    <row r="259" spans="1:21" x14ac:dyDescent="0.25">
      <c r="A259" s="8"/>
      <c r="B259" s="8">
        <v>24444</v>
      </c>
      <c r="C259" s="9" t="s">
        <v>370</v>
      </c>
      <c r="D259" s="1" t="s">
        <v>25</v>
      </c>
      <c r="E259" s="10" t="s">
        <v>0</v>
      </c>
      <c r="F259" s="11">
        <v>40603</v>
      </c>
      <c r="G259" s="12">
        <v>45597</v>
      </c>
      <c r="H259" s="13" t="s">
        <v>1</v>
      </c>
      <c r="I259" s="8" t="s">
        <v>2</v>
      </c>
      <c r="J259" s="14"/>
      <c r="K259" s="15" t="s">
        <v>352</v>
      </c>
      <c r="L259" t="s">
        <v>354</v>
      </c>
      <c r="M259" t="s">
        <v>15</v>
      </c>
      <c r="N259" t="str">
        <f t="shared" si="37"/>
        <v>https://api.bcb.gov.br/dados/serie/bcdata.sgs.24444/dados?formato=json</v>
      </c>
      <c r="O259">
        <v>6</v>
      </c>
      <c r="P259" t="s">
        <v>19</v>
      </c>
      <c r="Q259" t="s">
        <v>19</v>
      </c>
      <c r="R259" t="s">
        <v>120</v>
      </c>
      <c r="S259" t="s">
        <v>967</v>
      </c>
      <c r="T259" t="e">
        <f t="shared" si="38"/>
        <v>#VALUE!</v>
      </c>
      <c r="U259">
        <f t="shared" si="39"/>
        <v>18</v>
      </c>
    </row>
    <row r="260" spans="1:21" x14ac:dyDescent="0.25">
      <c r="A260" s="1"/>
      <c r="B260" s="1">
        <v>28168</v>
      </c>
      <c r="C260" s="2" t="s">
        <v>398</v>
      </c>
      <c r="D260" s="1" t="s">
        <v>25</v>
      </c>
      <c r="E260" s="3" t="s">
        <v>0</v>
      </c>
      <c r="F260" s="4">
        <v>40603</v>
      </c>
      <c r="G260" s="5">
        <v>45597</v>
      </c>
      <c r="H260" s="6" t="s">
        <v>1</v>
      </c>
      <c r="I260" s="1" t="s">
        <v>2</v>
      </c>
      <c r="J260" s="7"/>
      <c r="K260" s="15" t="s">
        <v>352</v>
      </c>
      <c r="L260" t="s">
        <v>354</v>
      </c>
      <c r="M260" t="s">
        <v>15</v>
      </c>
      <c r="N260" t="str">
        <f t="shared" si="37"/>
        <v>https://api.bcb.gov.br/dados/serie/bcdata.sgs.28168/dados?formato=json</v>
      </c>
      <c r="O260">
        <v>6</v>
      </c>
      <c r="P260" t="s">
        <v>19</v>
      </c>
      <c r="Q260" t="s">
        <v>19</v>
      </c>
      <c r="R260" t="s">
        <v>149</v>
      </c>
      <c r="S260" t="s">
        <v>967</v>
      </c>
      <c r="T260" t="e">
        <f t="shared" si="38"/>
        <v>#VALUE!</v>
      </c>
      <c r="U260">
        <f t="shared" si="39"/>
        <v>18</v>
      </c>
    </row>
    <row r="261" spans="1:21" x14ac:dyDescent="0.25">
      <c r="A261" s="8"/>
      <c r="B261" s="8">
        <v>28170</v>
      </c>
      <c r="C261" s="9" t="s">
        <v>399</v>
      </c>
      <c r="D261" s="1" t="s">
        <v>25</v>
      </c>
      <c r="E261" s="10" t="s">
        <v>0</v>
      </c>
      <c r="F261" s="11">
        <v>40603</v>
      </c>
      <c r="G261" s="12">
        <v>45597</v>
      </c>
      <c r="H261" s="13" t="s">
        <v>1</v>
      </c>
      <c r="I261" s="8" t="s">
        <v>2</v>
      </c>
      <c r="J261" s="14"/>
      <c r="K261" s="15" t="s">
        <v>352</v>
      </c>
      <c r="L261" t="s">
        <v>354</v>
      </c>
      <c r="M261" t="s">
        <v>15</v>
      </c>
      <c r="N261" t="str">
        <f t="shared" si="37"/>
        <v>https://api.bcb.gov.br/dados/serie/bcdata.sgs.28170/dados?formato=json</v>
      </c>
      <c r="O261">
        <v>6</v>
      </c>
      <c r="P261" t="s">
        <v>19</v>
      </c>
      <c r="Q261" t="s">
        <v>19</v>
      </c>
      <c r="R261" t="s">
        <v>159</v>
      </c>
      <c r="S261" t="s">
        <v>967</v>
      </c>
      <c r="T261" t="e">
        <f t="shared" si="38"/>
        <v>#VALUE!</v>
      </c>
      <c r="U261">
        <f t="shared" si="39"/>
        <v>18</v>
      </c>
    </row>
    <row r="262" spans="1:21" x14ac:dyDescent="0.25">
      <c r="A262" s="1"/>
      <c r="B262" s="1">
        <v>28171</v>
      </c>
      <c r="C262" s="2" t="s">
        <v>400</v>
      </c>
      <c r="D262" s="1" t="s">
        <v>25</v>
      </c>
      <c r="E262" s="3" t="s">
        <v>0</v>
      </c>
      <c r="F262" s="4">
        <v>40603</v>
      </c>
      <c r="G262" s="5">
        <v>45597</v>
      </c>
      <c r="H262" s="6" t="s">
        <v>1</v>
      </c>
      <c r="I262" s="1" t="s">
        <v>2</v>
      </c>
      <c r="J262" s="7"/>
      <c r="K262" s="15" t="s">
        <v>352</v>
      </c>
      <c r="L262" t="s">
        <v>354</v>
      </c>
      <c r="M262" t="s">
        <v>15</v>
      </c>
      <c r="N262" t="str">
        <f t="shared" si="37"/>
        <v>https://api.bcb.gov.br/dados/serie/bcdata.sgs.28171/dados?formato=json</v>
      </c>
      <c r="O262">
        <v>6</v>
      </c>
      <c r="P262" t="s">
        <v>19</v>
      </c>
      <c r="Q262" t="s">
        <v>19</v>
      </c>
      <c r="R262" t="s">
        <v>167</v>
      </c>
      <c r="S262" t="s">
        <v>967</v>
      </c>
      <c r="T262" t="e">
        <f t="shared" si="38"/>
        <v>#VALUE!</v>
      </c>
      <c r="U262">
        <f t="shared" si="39"/>
        <v>18</v>
      </c>
    </row>
    <row r="263" spans="1:21" x14ac:dyDescent="0.25">
      <c r="A263" s="8"/>
      <c r="B263" s="8">
        <v>24445</v>
      </c>
      <c r="C263" s="9" t="s">
        <v>387</v>
      </c>
      <c r="D263" s="1" t="s">
        <v>25</v>
      </c>
      <c r="E263" s="10" t="s">
        <v>0</v>
      </c>
      <c r="F263" s="11">
        <v>40603</v>
      </c>
      <c r="G263" s="12">
        <v>45597</v>
      </c>
      <c r="H263" s="13" t="s">
        <v>1</v>
      </c>
      <c r="I263" s="8" t="s">
        <v>2</v>
      </c>
      <c r="J263" s="14"/>
      <c r="K263" s="15" t="s">
        <v>352</v>
      </c>
      <c r="L263" t="s">
        <v>355</v>
      </c>
      <c r="M263" t="s">
        <v>15</v>
      </c>
      <c r="N263" t="str">
        <f t="shared" si="37"/>
        <v>https://api.bcb.gov.br/dados/serie/bcdata.sgs.24445/dados?formato=json</v>
      </c>
      <c r="O263">
        <v>6</v>
      </c>
      <c r="P263" t="s">
        <v>19</v>
      </c>
      <c r="Q263" t="s">
        <v>19</v>
      </c>
      <c r="R263" t="s">
        <v>118</v>
      </c>
      <c r="S263" t="s">
        <v>968</v>
      </c>
    </row>
    <row r="264" spans="1:21" x14ac:dyDescent="0.25">
      <c r="A264" s="1"/>
      <c r="B264" s="1">
        <v>24446</v>
      </c>
      <c r="C264" s="2" t="s">
        <v>388</v>
      </c>
      <c r="D264" s="1" t="s">
        <v>25</v>
      </c>
      <c r="E264" s="3" t="s">
        <v>0</v>
      </c>
      <c r="F264" s="4">
        <v>40603</v>
      </c>
      <c r="G264" s="5">
        <v>45597</v>
      </c>
      <c r="H264" s="6" t="s">
        <v>1</v>
      </c>
      <c r="I264" s="1" t="s">
        <v>2</v>
      </c>
      <c r="J264" s="7"/>
      <c r="K264" s="15" t="s">
        <v>352</v>
      </c>
      <c r="L264" t="s">
        <v>355</v>
      </c>
      <c r="M264" t="s">
        <v>15</v>
      </c>
      <c r="N264" t="str">
        <f t="shared" si="37"/>
        <v>https://api.bcb.gov.br/dados/serie/bcdata.sgs.24446/dados?formato=json</v>
      </c>
      <c r="O264">
        <v>6</v>
      </c>
      <c r="P264" t="s">
        <v>19</v>
      </c>
      <c r="Q264" t="s">
        <v>19</v>
      </c>
      <c r="R264" t="s">
        <v>119</v>
      </c>
      <c r="S264" t="s">
        <v>968</v>
      </c>
    </row>
    <row r="265" spans="1:21" x14ac:dyDescent="0.25">
      <c r="A265" s="8"/>
      <c r="B265" s="8">
        <v>24447</v>
      </c>
      <c r="C265" s="9" t="s">
        <v>390</v>
      </c>
      <c r="D265" s="1" t="s">
        <v>25</v>
      </c>
      <c r="E265" s="10" t="s">
        <v>0</v>
      </c>
      <c r="F265" s="11">
        <v>40603</v>
      </c>
      <c r="G265" s="12">
        <v>45597</v>
      </c>
      <c r="H265" s="13" t="s">
        <v>1</v>
      </c>
      <c r="I265" s="8" t="s">
        <v>2</v>
      </c>
      <c r="J265" s="14"/>
      <c r="K265" s="15" t="s">
        <v>352</v>
      </c>
      <c r="L265" t="s">
        <v>355</v>
      </c>
      <c r="M265" t="s">
        <v>15</v>
      </c>
      <c r="N265" t="str">
        <f t="shared" si="37"/>
        <v>https://api.bcb.gov.br/dados/serie/bcdata.sgs.24447/dados?formato=json</v>
      </c>
      <c r="O265">
        <v>6</v>
      </c>
      <c r="P265" t="s">
        <v>19</v>
      </c>
      <c r="Q265" t="s">
        <v>19</v>
      </c>
      <c r="R265" t="s">
        <v>120</v>
      </c>
      <c r="S265" t="s">
        <v>968</v>
      </c>
    </row>
    <row r="266" spans="1:21" x14ac:dyDescent="0.25">
      <c r="A266" s="1"/>
      <c r="B266" s="1">
        <v>28172</v>
      </c>
      <c r="C266" s="2" t="s">
        <v>401</v>
      </c>
      <c r="D266" s="1" t="s">
        <v>25</v>
      </c>
      <c r="E266" s="3" t="s">
        <v>0</v>
      </c>
      <c r="F266" s="4">
        <v>40603</v>
      </c>
      <c r="G266" s="5">
        <v>45597</v>
      </c>
      <c r="H266" s="6" t="s">
        <v>1</v>
      </c>
      <c r="I266" s="1" t="s">
        <v>2</v>
      </c>
      <c r="J266" s="7"/>
      <c r="K266" s="15" t="s">
        <v>352</v>
      </c>
      <c r="L266" t="s">
        <v>355</v>
      </c>
      <c r="M266" t="s">
        <v>15</v>
      </c>
      <c r="N266" t="str">
        <f t="shared" si="37"/>
        <v>https://api.bcb.gov.br/dados/serie/bcdata.sgs.28172/dados?formato=json</v>
      </c>
      <c r="O266">
        <v>6</v>
      </c>
      <c r="P266" t="s">
        <v>19</v>
      </c>
      <c r="Q266" t="s">
        <v>19</v>
      </c>
      <c r="R266" t="s">
        <v>908</v>
      </c>
      <c r="S266" t="s">
        <v>968</v>
      </c>
    </row>
    <row r="267" spans="1:21" x14ac:dyDescent="0.25">
      <c r="A267" s="1"/>
      <c r="B267" s="1">
        <v>21277</v>
      </c>
      <c r="C267" s="2" t="s">
        <v>393</v>
      </c>
      <c r="D267" s="1" t="s">
        <v>25</v>
      </c>
      <c r="E267" s="3" t="s">
        <v>0</v>
      </c>
      <c r="F267" s="4">
        <v>36678</v>
      </c>
      <c r="G267" s="5">
        <v>45597</v>
      </c>
      <c r="H267" s="6" t="s">
        <v>1</v>
      </c>
      <c r="I267" s="1" t="s">
        <v>2</v>
      </c>
      <c r="J267" s="7"/>
      <c r="K267" s="15" t="s">
        <v>357</v>
      </c>
      <c r="L267" t="s">
        <v>356</v>
      </c>
      <c r="M267" t="s">
        <v>15</v>
      </c>
      <c r="N267" t="str">
        <f t="shared" ref="N267:N269" si="40">_xlfn.CONCAT("https://api.bcb.gov.br/dados/serie/bcdata.sgs.",B267,"/dados?formato=json")</f>
        <v>https://api.bcb.gov.br/dados/serie/bcdata.sgs.21277/dados?formato=json</v>
      </c>
      <c r="O267">
        <v>6</v>
      </c>
      <c r="P267" t="s">
        <v>19</v>
      </c>
      <c r="Q267" t="s">
        <v>19</v>
      </c>
      <c r="R267" t="s">
        <v>118</v>
      </c>
      <c r="S267" t="s">
        <v>969</v>
      </c>
    </row>
    <row r="268" spans="1:21" x14ac:dyDescent="0.25">
      <c r="A268" s="8"/>
      <c r="B268" s="8">
        <v>21278</v>
      </c>
      <c r="C268" s="9" t="s">
        <v>394</v>
      </c>
      <c r="D268" s="1" t="s">
        <v>25</v>
      </c>
      <c r="E268" s="10" t="s">
        <v>0</v>
      </c>
      <c r="F268" s="11">
        <v>36678</v>
      </c>
      <c r="G268" s="12">
        <v>45597</v>
      </c>
      <c r="H268" s="13" t="s">
        <v>1</v>
      </c>
      <c r="I268" s="8" t="s">
        <v>2</v>
      </c>
      <c r="J268" s="14"/>
      <c r="K268" s="15" t="s">
        <v>357</v>
      </c>
      <c r="L268" t="s">
        <v>356</v>
      </c>
      <c r="M268" t="s">
        <v>15</v>
      </c>
      <c r="N268" t="str">
        <f t="shared" si="40"/>
        <v>https://api.bcb.gov.br/dados/serie/bcdata.sgs.21278/dados?formato=json</v>
      </c>
      <c r="O268">
        <v>6</v>
      </c>
      <c r="P268" t="s">
        <v>19</v>
      </c>
      <c r="Q268" t="s">
        <v>19</v>
      </c>
      <c r="R268" t="s">
        <v>622</v>
      </c>
      <c r="S268" t="s">
        <v>969</v>
      </c>
    </row>
    <row r="269" spans="1:21" x14ac:dyDescent="0.25">
      <c r="A269" s="1"/>
      <c r="B269" s="1">
        <v>21279</v>
      </c>
      <c r="C269" s="2" t="s">
        <v>395</v>
      </c>
      <c r="D269" s="1" t="s">
        <v>25</v>
      </c>
      <c r="E269" s="3" t="s">
        <v>0</v>
      </c>
      <c r="F269" s="4">
        <v>36678</v>
      </c>
      <c r="G269" s="5">
        <v>45597</v>
      </c>
      <c r="H269" s="6" t="s">
        <v>1</v>
      </c>
      <c r="I269" s="1" t="s">
        <v>2</v>
      </c>
      <c r="J269" s="7"/>
      <c r="K269" s="15" t="s">
        <v>357</v>
      </c>
      <c r="L269" t="s">
        <v>356</v>
      </c>
      <c r="M269" t="s">
        <v>15</v>
      </c>
      <c r="N269" t="str">
        <f t="shared" si="40"/>
        <v>https://api.bcb.gov.br/dados/serie/bcdata.sgs.21279/dados?formato=json</v>
      </c>
      <c r="O269">
        <v>6</v>
      </c>
      <c r="P269" t="s">
        <v>19</v>
      </c>
      <c r="Q269" t="s">
        <v>19</v>
      </c>
      <c r="R269" t="s">
        <v>621</v>
      </c>
      <c r="S269" t="s">
        <v>969</v>
      </c>
    </row>
    <row r="270" spans="1:21" x14ac:dyDescent="0.25">
      <c r="A270" s="1"/>
      <c r="B270" s="1">
        <v>25351</v>
      </c>
      <c r="C270" s="2" t="s">
        <v>118</v>
      </c>
      <c r="D270" s="1" t="s">
        <v>358</v>
      </c>
      <c r="E270" s="3" t="s">
        <v>0</v>
      </c>
      <c r="F270" s="4">
        <v>41275</v>
      </c>
      <c r="G270" s="5">
        <v>45597</v>
      </c>
      <c r="H270" s="6" t="s">
        <v>1</v>
      </c>
      <c r="I270" s="1" t="s">
        <v>2</v>
      </c>
      <c r="J270" s="7"/>
      <c r="K270" s="15" t="s">
        <v>359</v>
      </c>
      <c r="L270" t="s">
        <v>360</v>
      </c>
      <c r="M270" t="s">
        <v>15</v>
      </c>
      <c r="N270" t="str">
        <f t="shared" ref="N270:N275" si="41">_xlfn.CONCAT("https://api.bcb.gov.br/dados/serie/bcdata.sgs.",B270,"/dados?formato=json")</f>
        <v>https://api.bcb.gov.br/dados/serie/bcdata.sgs.25351/dados?formato=json</v>
      </c>
      <c r="O270">
        <v>6</v>
      </c>
      <c r="P270" t="s">
        <v>19</v>
      </c>
      <c r="Q270" t="s">
        <v>19</v>
      </c>
      <c r="R270" t="s">
        <v>118</v>
      </c>
      <c r="S270" t="s">
        <v>118</v>
      </c>
    </row>
    <row r="271" spans="1:21" x14ac:dyDescent="0.25">
      <c r="A271" s="8"/>
      <c r="B271" s="8">
        <v>27645</v>
      </c>
      <c r="C271" s="9" t="s">
        <v>371</v>
      </c>
      <c r="D271" s="1" t="s">
        <v>358</v>
      </c>
      <c r="E271" s="10" t="s">
        <v>0</v>
      </c>
      <c r="F271" s="11">
        <v>41275</v>
      </c>
      <c r="G271" s="12">
        <v>45597</v>
      </c>
      <c r="H271" s="13" t="s">
        <v>1</v>
      </c>
      <c r="I271" s="8" t="s">
        <v>2</v>
      </c>
      <c r="J271" s="14"/>
      <c r="K271" s="15" t="s">
        <v>359</v>
      </c>
      <c r="L271" t="s">
        <v>360</v>
      </c>
      <c r="M271" t="s">
        <v>15</v>
      </c>
      <c r="N271" t="str">
        <f t="shared" si="41"/>
        <v>https://api.bcb.gov.br/dados/serie/bcdata.sgs.27645/dados?formato=json</v>
      </c>
      <c r="O271">
        <v>6</v>
      </c>
      <c r="P271" t="s">
        <v>19</v>
      </c>
      <c r="Q271" t="s">
        <v>19</v>
      </c>
      <c r="R271" t="s">
        <v>970</v>
      </c>
      <c r="S271" t="s">
        <v>118</v>
      </c>
    </row>
    <row r="272" spans="1:21" x14ac:dyDescent="0.25">
      <c r="A272" s="1"/>
      <c r="B272" s="1">
        <v>25352</v>
      </c>
      <c r="C272" s="2" t="s">
        <v>119</v>
      </c>
      <c r="D272" s="1" t="s">
        <v>358</v>
      </c>
      <c r="E272" s="3" t="s">
        <v>0</v>
      </c>
      <c r="F272" s="4">
        <v>41275</v>
      </c>
      <c r="G272" s="5">
        <v>45597</v>
      </c>
      <c r="H272" s="6" t="s">
        <v>1</v>
      </c>
      <c r="I272" s="1" t="s">
        <v>2</v>
      </c>
      <c r="J272" s="7"/>
      <c r="K272" s="15" t="s">
        <v>359</v>
      </c>
      <c r="L272" t="s">
        <v>360</v>
      </c>
      <c r="M272" t="s">
        <v>15</v>
      </c>
      <c r="N272" t="str">
        <f t="shared" si="41"/>
        <v>https://api.bcb.gov.br/dados/serie/bcdata.sgs.25352/dados?formato=json</v>
      </c>
      <c r="O272">
        <v>6</v>
      </c>
      <c r="P272" t="s">
        <v>19</v>
      </c>
      <c r="Q272" t="s">
        <v>19</v>
      </c>
      <c r="R272" t="s">
        <v>118</v>
      </c>
      <c r="S272" t="s">
        <v>622</v>
      </c>
    </row>
    <row r="273" spans="1:21" x14ac:dyDescent="0.25">
      <c r="A273" s="8"/>
      <c r="B273" s="8">
        <v>27646</v>
      </c>
      <c r="C273" s="9" t="s">
        <v>377</v>
      </c>
      <c r="D273" s="1" t="s">
        <v>358</v>
      </c>
      <c r="E273" s="10" t="s">
        <v>0</v>
      </c>
      <c r="F273" s="11">
        <v>41275</v>
      </c>
      <c r="G273" s="12">
        <v>45597</v>
      </c>
      <c r="H273" s="13" t="s">
        <v>1</v>
      </c>
      <c r="I273" s="8" t="s">
        <v>2</v>
      </c>
      <c r="J273" s="14"/>
      <c r="K273" s="15" t="s">
        <v>359</v>
      </c>
      <c r="L273" t="s">
        <v>360</v>
      </c>
      <c r="M273" t="s">
        <v>15</v>
      </c>
      <c r="N273" t="str">
        <f t="shared" si="41"/>
        <v>https://api.bcb.gov.br/dados/serie/bcdata.sgs.27646/dados?formato=json</v>
      </c>
      <c r="O273">
        <v>6</v>
      </c>
      <c r="P273" t="s">
        <v>19</v>
      </c>
      <c r="Q273" t="s">
        <v>19</v>
      </c>
      <c r="R273" t="s">
        <v>970</v>
      </c>
      <c r="S273" t="s">
        <v>622</v>
      </c>
    </row>
    <row r="274" spans="1:21" x14ac:dyDescent="0.25">
      <c r="A274" s="1"/>
      <c r="B274" s="1">
        <v>25353</v>
      </c>
      <c r="C274" s="2" t="s">
        <v>120</v>
      </c>
      <c r="D274" s="1" t="s">
        <v>358</v>
      </c>
      <c r="E274" s="3" t="s">
        <v>0</v>
      </c>
      <c r="F274" s="4">
        <v>41275</v>
      </c>
      <c r="G274" s="5">
        <v>45597</v>
      </c>
      <c r="H274" s="6" t="s">
        <v>1</v>
      </c>
      <c r="I274" s="1" t="s">
        <v>2</v>
      </c>
      <c r="J274" s="7"/>
      <c r="K274" s="15" t="s">
        <v>359</v>
      </c>
      <c r="L274" t="s">
        <v>360</v>
      </c>
      <c r="M274" t="s">
        <v>15</v>
      </c>
      <c r="N274" t="str">
        <f t="shared" si="41"/>
        <v>https://api.bcb.gov.br/dados/serie/bcdata.sgs.25353/dados?formato=json</v>
      </c>
      <c r="O274">
        <v>6</v>
      </c>
      <c r="P274" t="s">
        <v>19</v>
      </c>
      <c r="Q274" t="s">
        <v>19</v>
      </c>
      <c r="R274" t="s">
        <v>118</v>
      </c>
      <c r="S274" t="s">
        <v>621</v>
      </c>
    </row>
    <row r="275" spans="1:21" x14ac:dyDescent="0.25">
      <c r="A275" s="8"/>
      <c r="B275" s="8">
        <v>27647</v>
      </c>
      <c r="C275" s="9" t="s">
        <v>378</v>
      </c>
      <c r="D275" s="1" t="s">
        <v>358</v>
      </c>
      <c r="E275" s="10" t="s">
        <v>0</v>
      </c>
      <c r="F275" s="11">
        <v>41275</v>
      </c>
      <c r="G275" s="12">
        <v>45597</v>
      </c>
      <c r="H275" s="13" t="s">
        <v>1</v>
      </c>
      <c r="I275" s="8" t="s">
        <v>2</v>
      </c>
      <c r="J275" s="14"/>
      <c r="K275" s="15" t="s">
        <v>359</v>
      </c>
      <c r="L275" t="s">
        <v>360</v>
      </c>
      <c r="M275" t="s">
        <v>15</v>
      </c>
      <c r="N275" t="str">
        <f t="shared" si="41"/>
        <v>https://api.bcb.gov.br/dados/serie/bcdata.sgs.27647/dados?formato=json</v>
      </c>
      <c r="O275">
        <v>6</v>
      </c>
      <c r="P275" t="s">
        <v>19</v>
      </c>
      <c r="Q275" t="s">
        <v>19</v>
      </c>
      <c r="R275" t="s">
        <v>970</v>
      </c>
      <c r="S275" t="s">
        <v>621</v>
      </c>
    </row>
    <row r="276" spans="1:21" x14ac:dyDescent="0.25">
      <c r="A276" s="1"/>
      <c r="B276" s="1">
        <v>25354</v>
      </c>
      <c r="C276" s="2" t="s">
        <v>368</v>
      </c>
      <c r="D276" s="1" t="s">
        <v>358</v>
      </c>
      <c r="E276" s="3" t="s">
        <v>0</v>
      </c>
      <c r="F276" s="4">
        <v>41275</v>
      </c>
      <c r="G276" s="5">
        <v>45597</v>
      </c>
      <c r="H276" s="6" t="s">
        <v>1</v>
      </c>
      <c r="I276" s="1" t="s">
        <v>2</v>
      </c>
      <c r="J276" s="7"/>
      <c r="K276" s="15" t="s">
        <v>361</v>
      </c>
      <c r="L276" t="s">
        <v>362</v>
      </c>
      <c r="M276" t="s">
        <v>15</v>
      </c>
      <c r="N276" t="str">
        <f t="shared" ref="N276:N300" si="42">_xlfn.CONCAT("https://api.bcb.gov.br/dados/serie/bcdata.sgs.",B276,"/dados?formato=json")</f>
        <v>https://api.bcb.gov.br/dados/serie/bcdata.sgs.25354/dados?formato=json</v>
      </c>
      <c r="O276">
        <v>6</v>
      </c>
      <c r="P276" t="s">
        <v>19</v>
      </c>
      <c r="Q276" t="s">
        <v>19</v>
      </c>
      <c r="R276" t="s">
        <v>118</v>
      </c>
      <c r="S276" t="s">
        <v>118</v>
      </c>
    </row>
    <row r="277" spans="1:21" x14ac:dyDescent="0.25">
      <c r="A277" s="8"/>
      <c r="B277" s="8">
        <v>27644</v>
      </c>
      <c r="C277" s="9" t="s">
        <v>371</v>
      </c>
      <c r="D277" s="1" t="s">
        <v>358</v>
      </c>
      <c r="E277" s="10" t="s">
        <v>0</v>
      </c>
      <c r="F277" s="11">
        <v>41275</v>
      </c>
      <c r="G277" s="12">
        <v>45597</v>
      </c>
      <c r="H277" s="13" t="s">
        <v>1</v>
      </c>
      <c r="I277" s="8" t="s">
        <v>2</v>
      </c>
      <c r="J277" s="14"/>
      <c r="K277" s="15" t="s">
        <v>361</v>
      </c>
      <c r="L277" t="s">
        <v>362</v>
      </c>
      <c r="M277" t="s">
        <v>15</v>
      </c>
      <c r="N277" t="str">
        <f t="shared" si="42"/>
        <v>https://api.bcb.gov.br/dados/serie/bcdata.sgs.27644/dados?formato=json</v>
      </c>
      <c r="O277">
        <v>6</v>
      </c>
      <c r="P277" t="s">
        <v>19</v>
      </c>
      <c r="Q277" t="s">
        <v>19</v>
      </c>
      <c r="R277" t="s">
        <v>970</v>
      </c>
      <c r="S277" t="s">
        <v>118</v>
      </c>
    </row>
    <row r="278" spans="1:21" x14ac:dyDescent="0.25">
      <c r="A278" s="1"/>
      <c r="B278" s="1">
        <v>25355</v>
      </c>
      <c r="C278" s="2" t="s">
        <v>369</v>
      </c>
      <c r="D278" s="1" t="s">
        <v>358</v>
      </c>
      <c r="E278" s="3" t="s">
        <v>0</v>
      </c>
      <c r="F278" s="4">
        <v>41275</v>
      </c>
      <c r="G278" s="5">
        <v>45597</v>
      </c>
      <c r="H278" s="6" t="s">
        <v>1</v>
      </c>
      <c r="I278" s="1" t="s">
        <v>2</v>
      </c>
      <c r="J278" s="7"/>
      <c r="K278" s="15" t="s">
        <v>361</v>
      </c>
      <c r="L278" t="s">
        <v>362</v>
      </c>
      <c r="M278" t="s">
        <v>15</v>
      </c>
      <c r="N278" t="str">
        <f t="shared" si="42"/>
        <v>https://api.bcb.gov.br/dados/serie/bcdata.sgs.25355/dados?formato=json</v>
      </c>
      <c r="O278">
        <v>6</v>
      </c>
      <c r="P278" t="s">
        <v>19</v>
      </c>
      <c r="Q278" t="s">
        <v>19</v>
      </c>
      <c r="R278" t="s">
        <v>118</v>
      </c>
      <c r="S278" t="s">
        <v>622</v>
      </c>
    </row>
    <row r="279" spans="1:21" x14ac:dyDescent="0.25">
      <c r="A279" s="8"/>
      <c r="B279" s="8">
        <v>27648</v>
      </c>
      <c r="C279" s="9" t="s">
        <v>379</v>
      </c>
      <c r="D279" s="1" t="s">
        <v>358</v>
      </c>
      <c r="E279" s="10" t="s">
        <v>0</v>
      </c>
      <c r="F279" s="11">
        <v>41275</v>
      </c>
      <c r="G279" s="12">
        <v>45597</v>
      </c>
      <c r="H279" s="13" t="s">
        <v>1</v>
      </c>
      <c r="I279" s="8" t="s">
        <v>2</v>
      </c>
      <c r="J279" s="14"/>
      <c r="K279" s="15" t="s">
        <v>361</v>
      </c>
      <c r="L279" t="s">
        <v>362</v>
      </c>
      <c r="M279" t="s">
        <v>15</v>
      </c>
      <c r="N279" t="str">
        <f t="shared" si="42"/>
        <v>https://api.bcb.gov.br/dados/serie/bcdata.sgs.27648/dados?formato=json</v>
      </c>
      <c r="O279">
        <v>6</v>
      </c>
      <c r="P279" t="s">
        <v>19</v>
      </c>
      <c r="Q279" t="s">
        <v>19</v>
      </c>
      <c r="R279" t="s">
        <v>970</v>
      </c>
      <c r="S279" t="s">
        <v>622</v>
      </c>
      <c r="T279" t="e">
        <f t="shared" ref="T279" si="43">RIGHT(S279,LEN(S279)-U279)</f>
        <v>#VALUE!</v>
      </c>
      <c r="U279">
        <f t="shared" ref="U279:U301" si="44">LEN("Setor de serviços - ")</f>
        <v>20</v>
      </c>
    </row>
    <row r="280" spans="1:21" x14ac:dyDescent="0.25">
      <c r="A280" s="1"/>
      <c r="B280" s="1">
        <v>27649</v>
      </c>
      <c r="C280" s="2" t="s">
        <v>380</v>
      </c>
      <c r="D280" s="1" t="s">
        <v>358</v>
      </c>
      <c r="E280" s="3" t="s">
        <v>0</v>
      </c>
      <c r="F280" s="4">
        <v>41275</v>
      </c>
      <c r="G280" s="5">
        <v>45597</v>
      </c>
      <c r="H280" s="6" t="s">
        <v>1</v>
      </c>
      <c r="I280" s="1" t="s">
        <v>2</v>
      </c>
      <c r="J280" s="7"/>
      <c r="K280" s="15" t="s">
        <v>361</v>
      </c>
      <c r="L280" t="s">
        <v>362</v>
      </c>
      <c r="M280" t="s">
        <v>15</v>
      </c>
      <c r="N280" t="str">
        <f t="shared" si="42"/>
        <v>https://api.bcb.gov.br/dados/serie/bcdata.sgs.27649/dados?formato=json</v>
      </c>
      <c r="O280">
        <v>6</v>
      </c>
      <c r="P280" t="s">
        <v>19</v>
      </c>
      <c r="Q280" t="s">
        <v>19</v>
      </c>
      <c r="R280" t="s">
        <v>971</v>
      </c>
      <c r="S280" t="s">
        <v>622</v>
      </c>
      <c r="T280" t="e">
        <f t="shared" ref="T280:T301" si="45">RIGHT(S280,LEN(S280)-U280)</f>
        <v>#VALUE!</v>
      </c>
      <c r="U280">
        <f t="shared" si="44"/>
        <v>20</v>
      </c>
    </row>
    <row r="281" spans="1:21" x14ac:dyDescent="0.25">
      <c r="A281" s="8"/>
      <c r="B281" s="8">
        <v>27650</v>
      </c>
      <c r="C281" s="9" t="s">
        <v>381</v>
      </c>
      <c r="D281" s="1" t="s">
        <v>358</v>
      </c>
      <c r="E281" s="10" t="s">
        <v>0</v>
      </c>
      <c r="F281" s="11">
        <v>41275</v>
      </c>
      <c r="G281" s="12">
        <v>45597</v>
      </c>
      <c r="H281" s="13" t="s">
        <v>1</v>
      </c>
      <c r="I281" s="8" t="s">
        <v>2</v>
      </c>
      <c r="J281" s="14"/>
      <c r="K281" s="15" t="s">
        <v>361</v>
      </c>
      <c r="L281" t="s">
        <v>362</v>
      </c>
      <c r="M281" t="s">
        <v>15</v>
      </c>
      <c r="N281" t="str">
        <f t="shared" si="42"/>
        <v>https://api.bcb.gov.br/dados/serie/bcdata.sgs.27650/dados?formato=json</v>
      </c>
      <c r="O281">
        <v>6</v>
      </c>
      <c r="P281" t="s">
        <v>19</v>
      </c>
      <c r="Q281" t="s">
        <v>19</v>
      </c>
      <c r="R281" t="s">
        <v>972</v>
      </c>
      <c r="S281" t="s">
        <v>622</v>
      </c>
      <c r="T281" t="e">
        <f t="shared" si="45"/>
        <v>#VALUE!</v>
      </c>
      <c r="U281">
        <f t="shared" si="44"/>
        <v>20</v>
      </c>
    </row>
    <row r="282" spans="1:21" x14ac:dyDescent="0.25">
      <c r="A282" s="1"/>
      <c r="B282" s="1">
        <v>27651</v>
      </c>
      <c r="C282" s="2" t="s">
        <v>382</v>
      </c>
      <c r="D282" s="1" t="s">
        <v>358</v>
      </c>
      <c r="E282" s="3" t="s">
        <v>0</v>
      </c>
      <c r="F282" s="4">
        <v>41275</v>
      </c>
      <c r="G282" s="5">
        <v>45597</v>
      </c>
      <c r="H282" s="6" t="s">
        <v>1</v>
      </c>
      <c r="I282" s="1" t="s">
        <v>2</v>
      </c>
      <c r="J282" s="7"/>
      <c r="K282" s="15" t="s">
        <v>361</v>
      </c>
      <c r="L282" t="s">
        <v>362</v>
      </c>
      <c r="M282" t="s">
        <v>15</v>
      </c>
      <c r="N282" t="str">
        <f t="shared" si="42"/>
        <v>https://api.bcb.gov.br/dados/serie/bcdata.sgs.27651/dados?formato=json</v>
      </c>
      <c r="O282">
        <v>6</v>
      </c>
      <c r="P282" t="s">
        <v>19</v>
      </c>
      <c r="Q282" t="s">
        <v>19</v>
      </c>
      <c r="R282" t="s">
        <v>973</v>
      </c>
      <c r="S282" t="s">
        <v>622</v>
      </c>
      <c r="T282" t="e">
        <f t="shared" si="45"/>
        <v>#VALUE!</v>
      </c>
      <c r="U282">
        <f t="shared" si="44"/>
        <v>20</v>
      </c>
    </row>
    <row r="283" spans="1:21" x14ac:dyDescent="0.25">
      <c r="A283" s="8"/>
      <c r="B283" s="8">
        <v>27652</v>
      </c>
      <c r="C283" s="9" t="s">
        <v>126</v>
      </c>
      <c r="D283" s="1" t="s">
        <v>358</v>
      </c>
      <c r="E283" s="10" t="s">
        <v>0</v>
      </c>
      <c r="F283" s="11">
        <v>41275</v>
      </c>
      <c r="G283" s="12">
        <v>45597</v>
      </c>
      <c r="H283" s="13" t="s">
        <v>1</v>
      </c>
      <c r="I283" s="8" t="s">
        <v>2</v>
      </c>
      <c r="J283" s="14"/>
      <c r="K283" s="15" t="s">
        <v>361</v>
      </c>
      <c r="L283" t="s">
        <v>362</v>
      </c>
      <c r="M283" t="s">
        <v>15</v>
      </c>
      <c r="N283" t="str">
        <f t="shared" si="42"/>
        <v>https://api.bcb.gov.br/dados/serie/bcdata.sgs.27652/dados?formato=json</v>
      </c>
      <c r="O283">
        <v>6</v>
      </c>
      <c r="P283" t="s">
        <v>19</v>
      </c>
      <c r="Q283" t="s">
        <v>19</v>
      </c>
      <c r="R283" t="s">
        <v>876</v>
      </c>
      <c r="S283" t="s">
        <v>622</v>
      </c>
      <c r="T283" t="e">
        <f t="shared" si="45"/>
        <v>#VALUE!</v>
      </c>
      <c r="U283">
        <f t="shared" si="44"/>
        <v>20</v>
      </c>
    </row>
    <row r="284" spans="1:21" x14ac:dyDescent="0.25">
      <c r="A284" s="1"/>
      <c r="B284" s="1">
        <v>27653</v>
      </c>
      <c r="C284" s="2" t="s">
        <v>127</v>
      </c>
      <c r="D284" s="1" t="s">
        <v>358</v>
      </c>
      <c r="E284" s="3" t="s">
        <v>0</v>
      </c>
      <c r="F284" s="4">
        <v>41275</v>
      </c>
      <c r="G284" s="5">
        <v>45597</v>
      </c>
      <c r="H284" s="6" t="s">
        <v>1</v>
      </c>
      <c r="I284" s="1" t="s">
        <v>2</v>
      </c>
      <c r="J284" s="7"/>
      <c r="K284" s="15" t="s">
        <v>361</v>
      </c>
      <c r="L284" t="s">
        <v>362</v>
      </c>
      <c r="M284" t="s">
        <v>15</v>
      </c>
      <c r="N284" t="str">
        <f t="shared" si="42"/>
        <v>https://api.bcb.gov.br/dados/serie/bcdata.sgs.27653/dados?formato=json</v>
      </c>
      <c r="O284">
        <v>6</v>
      </c>
      <c r="P284" t="s">
        <v>19</v>
      </c>
      <c r="Q284" t="s">
        <v>19</v>
      </c>
      <c r="R284" t="s">
        <v>877</v>
      </c>
      <c r="S284" t="s">
        <v>622</v>
      </c>
      <c r="T284" t="e">
        <f t="shared" si="45"/>
        <v>#VALUE!</v>
      </c>
      <c r="U284">
        <f t="shared" si="44"/>
        <v>20</v>
      </c>
    </row>
    <row r="285" spans="1:21" x14ac:dyDescent="0.25">
      <c r="A285" s="8"/>
      <c r="B285" s="8">
        <v>27654</v>
      </c>
      <c r="C285" s="9" t="s">
        <v>128</v>
      </c>
      <c r="D285" s="1" t="s">
        <v>358</v>
      </c>
      <c r="E285" s="10" t="s">
        <v>0</v>
      </c>
      <c r="F285" s="11">
        <v>41275</v>
      </c>
      <c r="G285" s="12">
        <v>45597</v>
      </c>
      <c r="H285" s="13" t="s">
        <v>1</v>
      </c>
      <c r="I285" s="8" t="s">
        <v>2</v>
      </c>
      <c r="J285" s="14"/>
      <c r="K285" s="15" t="s">
        <v>361</v>
      </c>
      <c r="L285" t="s">
        <v>362</v>
      </c>
      <c r="M285" t="s">
        <v>15</v>
      </c>
      <c r="N285" t="str">
        <f t="shared" si="42"/>
        <v>https://api.bcb.gov.br/dados/serie/bcdata.sgs.27654/dados?formato=json</v>
      </c>
      <c r="O285">
        <v>6</v>
      </c>
      <c r="P285" t="s">
        <v>19</v>
      </c>
      <c r="Q285" t="s">
        <v>19</v>
      </c>
      <c r="R285" t="s">
        <v>878</v>
      </c>
      <c r="S285" t="s">
        <v>622</v>
      </c>
      <c r="T285" t="e">
        <f t="shared" si="45"/>
        <v>#VALUE!</v>
      </c>
      <c r="U285">
        <f t="shared" si="44"/>
        <v>20</v>
      </c>
    </row>
    <row r="286" spans="1:21" x14ac:dyDescent="0.25">
      <c r="A286" s="1"/>
      <c r="B286" s="1">
        <v>27655</v>
      </c>
      <c r="C286" s="2" t="s">
        <v>129</v>
      </c>
      <c r="D286" s="1" t="s">
        <v>358</v>
      </c>
      <c r="E286" s="3" t="s">
        <v>0</v>
      </c>
      <c r="F286" s="4">
        <v>41275</v>
      </c>
      <c r="G286" s="5">
        <v>45597</v>
      </c>
      <c r="H286" s="6" t="s">
        <v>1</v>
      </c>
      <c r="I286" s="1" t="s">
        <v>2</v>
      </c>
      <c r="J286" s="7"/>
      <c r="K286" s="15" t="s">
        <v>361</v>
      </c>
      <c r="L286" t="s">
        <v>362</v>
      </c>
      <c r="M286" t="s">
        <v>15</v>
      </c>
      <c r="N286" t="str">
        <f t="shared" si="42"/>
        <v>https://api.bcb.gov.br/dados/serie/bcdata.sgs.27655/dados?formato=json</v>
      </c>
      <c r="O286">
        <v>6</v>
      </c>
      <c r="P286" t="s">
        <v>19</v>
      </c>
      <c r="Q286" t="s">
        <v>19</v>
      </c>
      <c r="R286" t="s">
        <v>879</v>
      </c>
      <c r="S286" t="s">
        <v>622</v>
      </c>
      <c r="T286" t="e">
        <f t="shared" si="45"/>
        <v>#VALUE!</v>
      </c>
      <c r="U286">
        <f t="shared" si="44"/>
        <v>20</v>
      </c>
    </row>
    <row r="287" spans="1:21" x14ac:dyDescent="0.25">
      <c r="A287" s="8"/>
      <c r="B287" s="8">
        <v>27656</v>
      </c>
      <c r="C287" s="9" t="s">
        <v>130</v>
      </c>
      <c r="D287" s="1" t="s">
        <v>358</v>
      </c>
      <c r="E287" s="10" t="s">
        <v>0</v>
      </c>
      <c r="F287" s="11">
        <v>41275</v>
      </c>
      <c r="G287" s="12">
        <v>45597</v>
      </c>
      <c r="H287" s="13" t="s">
        <v>1</v>
      </c>
      <c r="I287" s="8" t="s">
        <v>2</v>
      </c>
      <c r="J287" s="14"/>
      <c r="K287" s="15" t="s">
        <v>361</v>
      </c>
      <c r="L287" t="s">
        <v>362</v>
      </c>
      <c r="M287" t="s">
        <v>15</v>
      </c>
      <c r="N287" t="str">
        <f t="shared" si="42"/>
        <v>https://api.bcb.gov.br/dados/serie/bcdata.sgs.27656/dados?formato=json</v>
      </c>
      <c r="O287">
        <v>6</v>
      </c>
      <c r="P287" t="s">
        <v>19</v>
      </c>
      <c r="Q287" t="s">
        <v>19</v>
      </c>
      <c r="R287" t="s">
        <v>880</v>
      </c>
      <c r="S287" t="s">
        <v>622</v>
      </c>
      <c r="T287" t="e">
        <f t="shared" si="45"/>
        <v>#VALUE!</v>
      </c>
      <c r="U287">
        <f t="shared" si="44"/>
        <v>20</v>
      </c>
    </row>
    <row r="288" spans="1:21" x14ac:dyDescent="0.25">
      <c r="A288" s="1"/>
      <c r="B288" s="1">
        <v>27657</v>
      </c>
      <c r="C288" s="2" t="s">
        <v>131</v>
      </c>
      <c r="D288" s="1" t="s">
        <v>358</v>
      </c>
      <c r="E288" s="3" t="s">
        <v>0</v>
      </c>
      <c r="F288" s="4">
        <v>41275</v>
      </c>
      <c r="G288" s="5">
        <v>45597</v>
      </c>
      <c r="H288" s="6" t="s">
        <v>1</v>
      </c>
      <c r="I288" s="1" t="s">
        <v>2</v>
      </c>
      <c r="J288" s="7"/>
      <c r="K288" s="15" t="s">
        <v>361</v>
      </c>
      <c r="L288" t="s">
        <v>362</v>
      </c>
      <c r="M288" t="s">
        <v>15</v>
      </c>
      <c r="N288" t="str">
        <f t="shared" si="42"/>
        <v>https://api.bcb.gov.br/dados/serie/bcdata.sgs.27657/dados?formato=json</v>
      </c>
      <c r="O288">
        <v>6</v>
      </c>
      <c r="P288" t="s">
        <v>19</v>
      </c>
      <c r="Q288" t="s">
        <v>19</v>
      </c>
      <c r="R288" t="s">
        <v>881</v>
      </c>
      <c r="S288" t="s">
        <v>622</v>
      </c>
      <c r="T288" t="e">
        <f t="shared" si="45"/>
        <v>#VALUE!</v>
      </c>
      <c r="U288">
        <f t="shared" si="44"/>
        <v>20</v>
      </c>
    </row>
    <row r="289" spans="1:21" x14ac:dyDescent="0.25">
      <c r="A289" s="8"/>
      <c r="B289" s="8">
        <v>27658</v>
      </c>
      <c r="C289" s="9" t="s">
        <v>132</v>
      </c>
      <c r="D289" s="1" t="s">
        <v>358</v>
      </c>
      <c r="E289" s="10" t="s">
        <v>0</v>
      </c>
      <c r="F289" s="11">
        <v>41275</v>
      </c>
      <c r="G289" s="12">
        <v>45597</v>
      </c>
      <c r="H289" s="13" t="s">
        <v>1</v>
      </c>
      <c r="I289" s="8" t="s">
        <v>2</v>
      </c>
      <c r="J289" s="14"/>
      <c r="K289" s="15" t="s">
        <v>361</v>
      </c>
      <c r="L289" t="s">
        <v>362</v>
      </c>
      <c r="M289" t="s">
        <v>15</v>
      </c>
      <c r="N289" t="str">
        <f t="shared" si="42"/>
        <v>https://api.bcb.gov.br/dados/serie/bcdata.sgs.27658/dados?formato=json</v>
      </c>
      <c r="O289">
        <v>6</v>
      </c>
      <c r="P289" t="s">
        <v>19</v>
      </c>
      <c r="Q289" t="s">
        <v>19</v>
      </c>
      <c r="R289" t="s">
        <v>882</v>
      </c>
      <c r="S289" t="s">
        <v>622</v>
      </c>
      <c r="T289" t="e">
        <f t="shared" si="45"/>
        <v>#VALUE!</v>
      </c>
      <c r="U289">
        <f t="shared" si="44"/>
        <v>20</v>
      </c>
    </row>
    <row r="290" spans="1:21" x14ac:dyDescent="0.25">
      <c r="A290" s="1"/>
      <c r="B290" s="1">
        <v>27659</v>
      </c>
      <c r="C290" s="2" t="s">
        <v>133</v>
      </c>
      <c r="D290" s="1" t="s">
        <v>358</v>
      </c>
      <c r="E290" s="3" t="s">
        <v>0</v>
      </c>
      <c r="F290" s="4">
        <v>41275</v>
      </c>
      <c r="G290" s="5">
        <v>45597</v>
      </c>
      <c r="H290" s="6" t="s">
        <v>1</v>
      </c>
      <c r="I290" s="1" t="s">
        <v>2</v>
      </c>
      <c r="J290" s="7"/>
      <c r="K290" s="15" t="s">
        <v>361</v>
      </c>
      <c r="L290" t="s">
        <v>362</v>
      </c>
      <c r="M290" t="s">
        <v>15</v>
      </c>
      <c r="N290" t="str">
        <f t="shared" si="42"/>
        <v>https://api.bcb.gov.br/dados/serie/bcdata.sgs.27659/dados?formato=json</v>
      </c>
      <c r="O290">
        <v>6</v>
      </c>
      <c r="P290" t="s">
        <v>19</v>
      </c>
      <c r="Q290" t="s">
        <v>19</v>
      </c>
      <c r="R290" t="s">
        <v>883</v>
      </c>
      <c r="S290" t="s">
        <v>622</v>
      </c>
      <c r="T290" t="e">
        <f t="shared" si="45"/>
        <v>#VALUE!</v>
      </c>
      <c r="U290">
        <f t="shared" si="44"/>
        <v>20</v>
      </c>
    </row>
    <row r="291" spans="1:21" x14ac:dyDescent="0.25">
      <c r="A291" s="8"/>
      <c r="B291" s="8">
        <v>27660</v>
      </c>
      <c r="C291" s="9" t="s">
        <v>135</v>
      </c>
      <c r="D291" s="1" t="s">
        <v>358</v>
      </c>
      <c r="E291" s="10" t="s">
        <v>0</v>
      </c>
      <c r="F291" s="11">
        <v>41275</v>
      </c>
      <c r="G291" s="12">
        <v>45597</v>
      </c>
      <c r="H291" s="13" t="s">
        <v>1</v>
      </c>
      <c r="I291" s="8" t="s">
        <v>2</v>
      </c>
      <c r="J291" s="14"/>
      <c r="K291" s="15" t="s">
        <v>361</v>
      </c>
      <c r="L291" t="s">
        <v>362</v>
      </c>
      <c r="M291" t="s">
        <v>15</v>
      </c>
      <c r="N291" t="str">
        <f t="shared" si="42"/>
        <v>https://api.bcb.gov.br/dados/serie/bcdata.sgs.27660/dados?formato=json</v>
      </c>
      <c r="O291">
        <v>6</v>
      </c>
      <c r="P291" t="s">
        <v>19</v>
      </c>
      <c r="Q291" t="s">
        <v>19</v>
      </c>
      <c r="R291" t="s">
        <v>885</v>
      </c>
      <c r="S291" t="s">
        <v>622</v>
      </c>
      <c r="T291" t="e">
        <f t="shared" si="45"/>
        <v>#VALUE!</v>
      </c>
      <c r="U291">
        <f t="shared" si="44"/>
        <v>20</v>
      </c>
    </row>
    <row r="292" spans="1:21" x14ac:dyDescent="0.25">
      <c r="A292" s="1"/>
      <c r="B292" s="1">
        <v>27661</v>
      </c>
      <c r="C292" s="2" t="s">
        <v>136</v>
      </c>
      <c r="D292" s="1" t="s">
        <v>358</v>
      </c>
      <c r="E292" s="3" t="s">
        <v>0</v>
      </c>
      <c r="F292" s="4">
        <v>41275</v>
      </c>
      <c r="G292" s="5">
        <v>45597</v>
      </c>
      <c r="H292" s="6" t="s">
        <v>1</v>
      </c>
      <c r="I292" s="1" t="s">
        <v>2</v>
      </c>
      <c r="J292" s="7"/>
      <c r="K292" s="15" t="s">
        <v>361</v>
      </c>
      <c r="L292" t="s">
        <v>362</v>
      </c>
      <c r="M292" t="s">
        <v>15</v>
      </c>
      <c r="N292" t="str">
        <f t="shared" si="42"/>
        <v>https://api.bcb.gov.br/dados/serie/bcdata.sgs.27661/dados?formato=json</v>
      </c>
      <c r="O292">
        <v>6</v>
      </c>
      <c r="P292" t="s">
        <v>19</v>
      </c>
      <c r="Q292" t="s">
        <v>19</v>
      </c>
      <c r="R292" t="s">
        <v>886</v>
      </c>
      <c r="S292" t="s">
        <v>622</v>
      </c>
      <c r="T292" t="e">
        <f t="shared" si="45"/>
        <v>#VALUE!</v>
      </c>
      <c r="U292">
        <f t="shared" si="44"/>
        <v>20</v>
      </c>
    </row>
    <row r="293" spans="1:21" x14ac:dyDescent="0.25">
      <c r="A293" s="8"/>
      <c r="B293" s="8">
        <v>27662</v>
      </c>
      <c r="C293" s="9" t="s">
        <v>138</v>
      </c>
      <c r="D293" s="1" t="s">
        <v>358</v>
      </c>
      <c r="E293" s="10" t="s">
        <v>0</v>
      </c>
      <c r="F293" s="11">
        <v>41275</v>
      </c>
      <c r="G293" s="12">
        <v>45597</v>
      </c>
      <c r="H293" s="13" t="s">
        <v>1</v>
      </c>
      <c r="I293" s="8" t="s">
        <v>2</v>
      </c>
      <c r="J293" s="14"/>
      <c r="K293" s="15" t="s">
        <v>361</v>
      </c>
      <c r="L293" t="s">
        <v>362</v>
      </c>
      <c r="M293" t="s">
        <v>15</v>
      </c>
      <c r="N293" t="str">
        <f t="shared" si="42"/>
        <v>https://api.bcb.gov.br/dados/serie/bcdata.sgs.27662/dados?formato=json</v>
      </c>
      <c r="O293">
        <v>6</v>
      </c>
      <c r="P293" t="s">
        <v>19</v>
      </c>
      <c r="Q293" t="s">
        <v>19</v>
      </c>
      <c r="R293" t="s">
        <v>888</v>
      </c>
      <c r="S293" t="s">
        <v>622</v>
      </c>
      <c r="T293" t="e">
        <f t="shared" si="45"/>
        <v>#VALUE!</v>
      </c>
      <c r="U293">
        <f t="shared" si="44"/>
        <v>20</v>
      </c>
    </row>
    <row r="294" spans="1:21" x14ac:dyDescent="0.25">
      <c r="A294" s="1"/>
      <c r="B294" s="1">
        <v>27663</v>
      </c>
      <c r="C294" s="2" t="s">
        <v>139</v>
      </c>
      <c r="D294" s="1" t="s">
        <v>358</v>
      </c>
      <c r="E294" s="3" t="s">
        <v>0</v>
      </c>
      <c r="F294" s="4">
        <v>41275</v>
      </c>
      <c r="G294" s="5">
        <v>45597</v>
      </c>
      <c r="H294" s="6" t="s">
        <v>1</v>
      </c>
      <c r="I294" s="1" t="s">
        <v>2</v>
      </c>
      <c r="J294" s="7"/>
      <c r="K294" s="15" t="s">
        <v>361</v>
      </c>
      <c r="L294" t="s">
        <v>362</v>
      </c>
      <c r="M294" t="s">
        <v>15</v>
      </c>
      <c r="N294" t="str">
        <f t="shared" si="42"/>
        <v>https://api.bcb.gov.br/dados/serie/bcdata.sgs.27663/dados?formato=json</v>
      </c>
      <c r="O294">
        <v>6</v>
      </c>
      <c r="P294" t="s">
        <v>19</v>
      </c>
      <c r="Q294" t="s">
        <v>19</v>
      </c>
      <c r="R294" t="s">
        <v>889</v>
      </c>
      <c r="S294" t="s">
        <v>622</v>
      </c>
      <c r="T294" t="e">
        <f t="shared" si="45"/>
        <v>#VALUE!</v>
      </c>
      <c r="U294">
        <f t="shared" si="44"/>
        <v>20</v>
      </c>
    </row>
    <row r="295" spans="1:21" x14ac:dyDescent="0.25">
      <c r="A295" s="8"/>
      <c r="B295" s="8">
        <v>27664</v>
      </c>
      <c r="C295" s="9" t="s">
        <v>140</v>
      </c>
      <c r="D295" s="1" t="s">
        <v>358</v>
      </c>
      <c r="E295" s="10" t="s">
        <v>0</v>
      </c>
      <c r="F295" s="11">
        <v>41275</v>
      </c>
      <c r="G295" s="12">
        <v>45597</v>
      </c>
      <c r="H295" s="13" t="s">
        <v>1</v>
      </c>
      <c r="I295" s="8" t="s">
        <v>2</v>
      </c>
      <c r="J295" s="14"/>
      <c r="K295" s="15" t="s">
        <v>361</v>
      </c>
      <c r="L295" t="s">
        <v>362</v>
      </c>
      <c r="M295" t="s">
        <v>15</v>
      </c>
      <c r="N295" t="str">
        <f t="shared" si="42"/>
        <v>https://api.bcb.gov.br/dados/serie/bcdata.sgs.27664/dados?formato=json</v>
      </c>
      <c r="O295">
        <v>6</v>
      </c>
      <c r="P295" t="s">
        <v>19</v>
      </c>
      <c r="Q295" t="s">
        <v>19</v>
      </c>
      <c r="R295" t="s">
        <v>890</v>
      </c>
      <c r="S295" t="s">
        <v>622</v>
      </c>
      <c r="T295" t="e">
        <f t="shared" si="45"/>
        <v>#VALUE!</v>
      </c>
      <c r="U295">
        <f t="shared" si="44"/>
        <v>20</v>
      </c>
    </row>
    <row r="296" spans="1:21" x14ac:dyDescent="0.25">
      <c r="A296" s="1"/>
      <c r="B296" s="1">
        <v>27665</v>
      </c>
      <c r="C296" s="2" t="s">
        <v>141</v>
      </c>
      <c r="D296" s="1" t="s">
        <v>358</v>
      </c>
      <c r="E296" s="3" t="s">
        <v>0</v>
      </c>
      <c r="F296" s="4">
        <v>41275</v>
      </c>
      <c r="G296" s="5">
        <v>45597</v>
      </c>
      <c r="H296" s="6" t="s">
        <v>1</v>
      </c>
      <c r="I296" s="1" t="s">
        <v>2</v>
      </c>
      <c r="J296" s="7"/>
      <c r="K296" s="15" t="s">
        <v>361</v>
      </c>
      <c r="L296" t="s">
        <v>362</v>
      </c>
      <c r="M296" t="s">
        <v>15</v>
      </c>
      <c r="N296" t="str">
        <f t="shared" si="42"/>
        <v>https://api.bcb.gov.br/dados/serie/bcdata.sgs.27665/dados?formato=json</v>
      </c>
      <c r="O296">
        <v>6</v>
      </c>
      <c r="P296" t="s">
        <v>19</v>
      </c>
      <c r="Q296" t="s">
        <v>19</v>
      </c>
      <c r="R296" t="s">
        <v>891</v>
      </c>
      <c r="S296" t="s">
        <v>622</v>
      </c>
      <c r="T296" t="e">
        <f t="shared" si="45"/>
        <v>#VALUE!</v>
      </c>
      <c r="U296">
        <f t="shared" si="44"/>
        <v>20</v>
      </c>
    </row>
    <row r="297" spans="1:21" x14ac:dyDescent="0.25">
      <c r="A297" s="8"/>
      <c r="B297" s="8">
        <v>27666</v>
      </c>
      <c r="C297" s="9" t="s">
        <v>143</v>
      </c>
      <c r="D297" s="1" t="s">
        <v>358</v>
      </c>
      <c r="E297" s="10" t="s">
        <v>0</v>
      </c>
      <c r="F297" s="11">
        <v>41275</v>
      </c>
      <c r="G297" s="12">
        <v>45597</v>
      </c>
      <c r="H297" s="13" t="s">
        <v>1</v>
      </c>
      <c r="I297" s="8" t="s">
        <v>2</v>
      </c>
      <c r="J297" s="14"/>
      <c r="K297" s="15" t="s">
        <v>361</v>
      </c>
      <c r="L297" t="s">
        <v>362</v>
      </c>
      <c r="M297" t="s">
        <v>15</v>
      </c>
      <c r="N297" t="str">
        <f t="shared" si="42"/>
        <v>https://api.bcb.gov.br/dados/serie/bcdata.sgs.27666/dados?formato=json</v>
      </c>
      <c r="O297">
        <v>6</v>
      </c>
      <c r="P297" t="s">
        <v>19</v>
      </c>
      <c r="Q297" t="s">
        <v>19</v>
      </c>
      <c r="R297" t="s">
        <v>893</v>
      </c>
      <c r="S297" t="s">
        <v>622</v>
      </c>
      <c r="T297" t="e">
        <f t="shared" si="45"/>
        <v>#VALUE!</v>
      </c>
      <c r="U297">
        <f t="shared" si="44"/>
        <v>20</v>
      </c>
    </row>
    <row r="298" spans="1:21" x14ac:dyDescent="0.25">
      <c r="A298" s="1"/>
      <c r="B298" s="1">
        <v>27667</v>
      </c>
      <c r="C298" s="2" t="s">
        <v>383</v>
      </c>
      <c r="D298" s="1" t="s">
        <v>358</v>
      </c>
      <c r="E298" s="3" t="s">
        <v>0</v>
      </c>
      <c r="F298" s="4">
        <v>41275</v>
      </c>
      <c r="G298" s="5">
        <v>45597</v>
      </c>
      <c r="H298" s="6" t="s">
        <v>1</v>
      </c>
      <c r="I298" s="1" t="s">
        <v>2</v>
      </c>
      <c r="J298" s="7"/>
      <c r="K298" s="15" t="s">
        <v>361</v>
      </c>
      <c r="L298" t="s">
        <v>362</v>
      </c>
      <c r="M298" t="s">
        <v>15</v>
      </c>
      <c r="N298" t="str">
        <f t="shared" si="42"/>
        <v>https://api.bcb.gov.br/dados/serie/bcdata.sgs.27667/dados?formato=json</v>
      </c>
      <c r="O298">
        <v>6</v>
      </c>
      <c r="P298" t="s">
        <v>19</v>
      </c>
      <c r="Q298" t="s">
        <v>19</v>
      </c>
      <c r="R298" t="s">
        <v>974</v>
      </c>
      <c r="S298" t="s">
        <v>622</v>
      </c>
      <c r="T298" t="e">
        <f t="shared" si="45"/>
        <v>#VALUE!</v>
      </c>
      <c r="U298">
        <f t="shared" si="44"/>
        <v>20</v>
      </c>
    </row>
    <row r="299" spans="1:21" x14ac:dyDescent="0.25">
      <c r="A299" s="8"/>
      <c r="B299" s="8">
        <v>27668</v>
      </c>
      <c r="C299" s="9" t="s">
        <v>145</v>
      </c>
      <c r="D299" s="1" t="s">
        <v>358</v>
      </c>
      <c r="E299" s="10" t="s">
        <v>0</v>
      </c>
      <c r="F299" s="11">
        <v>41275</v>
      </c>
      <c r="G299" s="12">
        <v>45597</v>
      </c>
      <c r="H299" s="13" t="s">
        <v>1</v>
      </c>
      <c r="I299" s="8" t="s">
        <v>2</v>
      </c>
      <c r="J299" s="14"/>
      <c r="K299" s="15" t="s">
        <v>361</v>
      </c>
      <c r="L299" t="s">
        <v>362</v>
      </c>
      <c r="M299" t="s">
        <v>15</v>
      </c>
      <c r="N299" t="str">
        <f t="shared" si="42"/>
        <v>https://api.bcb.gov.br/dados/serie/bcdata.sgs.27668/dados?formato=json</v>
      </c>
      <c r="O299">
        <v>6</v>
      </c>
      <c r="P299" t="s">
        <v>19</v>
      </c>
      <c r="Q299" t="s">
        <v>19</v>
      </c>
      <c r="R299" t="s">
        <v>895</v>
      </c>
      <c r="S299" t="s">
        <v>622</v>
      </c>
      <c r="T299" t="e">
        <f t="shared" si="45"/>
        <v>#VALUE!</v>
      </c>
      <c r="U299">
        <f t="shared" si="44"/>
        <v>20</v>
      </c>
    </row>
    <row r="300" spans="1:21" x14ac:dyDescent="0.25">
      <c r="A300" s="1"/>
      <c r="B300" s="1">
        <v>27669</v>
      </c>
      <c r="C300" s="2" t="s">
        <v>146</v>
      </c>
      <c r="D300" s="1" t="s">
        <v>358</v>
      </c>
      <c r="E300" s="3" t="s">
        <v>0</v>
      </c>
      <c r="F300" s="4">
        <v>41275</v>
      </c>
      <c r="G300" s="5">
        <v>45597</v>
      </c>
      <c r="H300" s="6" t="s">
        <v>1</v>
      </c>
      <c r="I300" s="1" t="s">
        <v>2</v>
      </c>
      <c r="J300" s="7"/>
      <c r="K300" s="15" t="s">
        <v>361</v>
      </c>
      <c r="L300" t="s">
        <v>362</v>
      </c>
      <c r="M300" t="s">
        <v>15</v>
      </c>
      <c r="N300" t="str">
        <f t="shared" si="42"/>
        <v>https://api.bcb.gov.br/dados/serie/bcdata.sgs.27669/dados?formato=json</v>
      </c>
      <c r="O300">
        <v>6</v>
      </c>
      <c r="P300" t="s">
        <v>19</v>
      </c>
      <c r="Q300" t="s">
        <v>19</v>
      </c>
      <c r="R300" t="s">
        <v>896</v>
      </c>
      <c r="S300" t="s">
        <v>622</v>
      </c>
      <c r="T300" t="e">
        <f t="shared" si="45"/>
        <v>#VALUE!</v>
      </c>
      <c r="U300">
        <f t="shared" si="44"/>
        <v>20</v>
      </c>
    </row>
    <row r="301" spans="1:21" x14ac:dyDescent="0.25">
      <c r="A301" s="8"/>
      <c r="B301" s="8">
        <v>27670</v>
      </c>
      <c r="C301" s="9" t="s">
        <v>147</v>
      </c>
      <c r="D301" s="1" t="s">
        <v>358</v>
      </c>
      <c r="E301" s="10" t="s">
        <v>0</v>
      </c>
      <c r="F301" s="11">
        <v>41275</v>
      </c>
      <c r="G301" s="12">
        <v>45597</v>
      </c>
      <c r="H301" s="13" t="s">
        <v>1</v>
      </c>
      <c r="I301" s="8" t="s">
        <v>2</v>
      </c>
      <c r="J301" s="14"/>
      <c r="K301" s="15" t="s">
        <v>361</v>
      </c>
      <c r="L301" t="s">
        <v>362</v>
      </c>
      <c r="M301" t="s">
        <v>15</v>
      </c>
      <c r="N301" t="str">
        <f t="shared" ref="N301:N319" si="46">_xlfn.CONCAT("https://api.bcb.gov.br/dados/serie/bcdata.sgs.",B301,"/dados?formato=json")</f>
        <v>https://api.bcb.gov.br/dados/serie/bcdata.sgs.27670/dados?formato=json</v>
      </c>
      <c r="O301">
        <v>6</v>
      </c>
      <c r="P301" t="s">
        <v>19</v>
      </c>
      <c r="Q301" t="s">
        <v>19</v>
      </c>
      <c r="R301" t="s">
        <v>897</v>
      </c>
      <c r="S301" t="s">
        <v>622</v>
      </c>
      <c r="T301" t="e">
        <f t="shared" si="45"/>
        <v>#VALUE!</v>
      </c>
      <c r="U301">
        <f t="shared" si="44"/>
        <v>20</v>
      </c>
    </row>
    <row r="302" spans="1:21" x14ac:dyDescent="0.25">
      <c r="A302" s="1"/>
      <c r="B302" s="1">
        <v>25356</v>
      </c>
      <c r="C302" s="2" t="s">
        <v>370</v>
      </c>
      <c r="D302" s="1" t="s">
        <v>358</v>
      </c>
      <c r="E302" s="3" t="s">
        <v>0</v>
      </c>
      <c r="F302" s="4">
        <v>41275</v>
      </c>
      <c r="G302" s="5">
        <v>45597</v>
      </c>
      <c r="H302" s="6" t="s">
        <v>1</v>
      </c>
      <c r="I302" s="1" t="s">
        <v>2</v>
      </c>
      <c r="J302" s="7"/>
      <c r="K302" s="15" t="s">
        <v>361</v>
      </c>
      <c r="L302" t="s">
        <v>362</v>
      </c>
      <c r="M302" t="s">
        <v>15</v>
      </c>
      <c r="N302" t="str">
        <f t="shared" si="46"/>
        <v>https://api.bcb.gov.br/dados/serie/bcdata.sgs.25356/dados?formato=json</v>
      </c>
      <c r="O302">
        <v>6</v>
      </c>
      <c r="P302" t="s">
        <v>19</v>
      </c>
      <c r="Q302" t="s">
        <v>19</v>
      </c>
      <c r="R302" t="s">
        <v>118</v>
      </c>
      <c r="S302" t="s">
        <v>621</v>
      </c>
    </row>
    <row r="303" spans="1:21" x14ac:dyDescent="0.25">
      <c r="A303" s="8"/>
      <c r="B303" s="8">
        <v>27671</v>
      </c>
      <c r="C303" s="9" t="s">
        <v>384</v>
      </c>
      <c r="D303" s="1" t="s">
        <v>358</v>
      </c>
      <c r="E303" s="10" t="s">
        <v>0</v>
      </c>
      <c r="F303" s="11">
        <v>41275</v>
      </c>
      <c r="G303" s="12">
        <v>45597</v>
      </c>
      <c r="H303" s="13" t="s">
        <v>1</v>
      </c>
      <c r="I303" s="8" t="s">
        <v>2</v>
      </c>
      <c r="J303" s="14"/>
      <c r="K303" s="15" t="s">
        <v>361</v>
      </c>
      <c r="L303" t="s">
        <v>362</v>
      </c>
      <c r="M303" t="s">
        <v>15</v>
      </c>
      <c r="N303" t="str">
        <f t="shared" si="46"/>
        <v>https://api.bcb.gov.br/dados/serie/bcdata.sgs.27671/dados?formato=json</v>
      </c>
      <c r="O303">
        <v>6</v>
      </c>
      <c r="P303" t="s">
        <v>19</v>
      </c>
      <c r="Q303" t="s">
        <v>19</v>
      </c>
      <c r="R303" t="s">
        <v>970</v>
      </c>
      <c r="S303" t="s">
        <v>621</v>
      </c>
      <c r="T303" t="e">
        <f t="shared" ref="T303:T319" si="47">RIGHT(S303,LEN(S303)-U303)</f>
        <v>#VALUE!</v>
      </c>
      <c r="U303">
        <f t="shared" ref="U303:U319" si="48">LEN("Pessoas físicas - ")</f>
        <v>18</v>
      </c>
    </row>
    <row r="304" spans="1:21" x14ac:dyDescent="0.25">
      <c r="A304" s="1"/>
      <c r="B304" s="1">
        <v>27672</v>
      </c>
      <c r="C304" s="2" t="s">
        <v>151</v>
      </c>
      <c r="D304" s="1" t="s">
        <v>358</v>
      </c>
      <c r="E304" s="3" t="s">
        <v>0</v>
      </c>
      <c r="F304" s="4">
        <v>41275</v>
      </c>
      <c r="G304" s="5">
        <v>45597</v>
      </c>
      <c r="H304" s="6" t="s">
        <v>1</v>
      </c>
      <c r="I304" s="1" t="s">
        <v>2</v>
      </c>
      <c r="J304" s="7"/>
      <c r="K304" s="15" t="s">
        <v>361</v>
      </c>
      <c r="L304" t="s">
        <v>362</v>
      </c>
      <c r="M304" t="s">
        <v>15</v>
      </c>
      <c r="N304" t="str">
        <f t="shared" si="46"/>
        <v>https://api.bcb.gov.br/dados/serie/bcdata.sgs.27672/dados?formato=json</v>
      </c>
      <c r="O304">
        <v>6</v>
      </c>
      <c r="P304" t="s">
        <v>19</v>
      </c>
      <c r="Q304" t="s">
        <v>19</v>
      </c>
      <c r="R304" t="s">
        <v>881</v>
      </c>
      <c r="S304" t="s">
        <v>621</v>
      </c>
      <c r="T304" t="e">
        <f t="shared" si="47"/>
        <v>#VALUE!</v>
      </c>
      <c r="U304">
        <f t="shared" si="48"/>
        <v>18</v>
      </c>
    </row>
    <row r="305" spans="1:21" x14ac:dyDescent="0.25">
      <c r="A305" s="8"/>
      <c r="B305" s="8">
        <v>27673</v>
      </c>
      <c r="C305" s="9" t="s">
        <v>385</v>
      </c>
      <c r="D305" s="1" t="s">
        <v>358</v>
      </c>
      <c r="E305" s="10" t="s">
        <v>0</v>
      </c>
      <c r="F305" s="11">
        <v>41275</v>
      </c>
      <c r="G305" s="12">
        <v>45597</v>
      </c>
      <c r="H305" s="13" t="s">
        <v>1</v>
      </c>
      <c r="I305" s="8" t="s">
        <v>2</v>
      </c>
      <c r="J305" s="14"/>
      <c r="K305" s="15" t="s">
        <v>361</v>
      </c>
      <c r="L305" t="s">
        <v>362</v>
      </c>
      <c r="M305" t="s">
        <v>15</v>
      </c>
      <c r="N305" t="str">
        <f t="shared" si="46"/>
        <v>https://api.bcb.gov.br/dados/serie/bcdata.sgs.27673/dados?formato=json</v>
      </c>
      <c r="O305">
        <v>6</v>
      </c>
      <c r="P305" t="s">
        <v>19</v>
      </c>
      <c r="Q305" t="s">
        <v>19</v>
      </c>
      <c r="R305" t="s">
        <v>975</v>
      </c>
      <c r="S305" t="s">
        <v>621</v>
      </c>
      <c r="T305" t="e">
        <f t="shared" si="47"/>
        <v>#VALUE!</v>
      </c>
      <c r="U305">
        <f t="shared" si="48"/>
        <v>18</v>
      </c>
    </row>
    <row r="306" spans="1:21" x14ac:dyDescent="0.25">
      <c r="A306" s="1"/>
      <c r="B306" s="1">
        <v>27674</v>
      </c>
      <c r="C306" s="2" t="s">
        <v>153</v>
      </c>
      <c r="D306" s="1" t="s">
        <v>358</v>
      </c>
      <c r="E306" s="3" t="s">
        <v>0</v>
      </c>
      <c r="F306" s="4">
        <v>41275</v>
      </c>
      <c r="G306" s="5">
        <v>45597</v>
      </c>
      <c r="H306" s="6" t="s">
        <v>1</v>
      </c>
      <c r="I306" s="1" t="s">
        <v>2</v>
      </c>
      <c r="J306" s="7"/>
      <c r="K306" s="15" t="s">
        <v>361</v>
      </c>
      <c r="L306" t="s">
        <v>362</v>
      </c>
      <c r="M306" t="s">
        <v>15</v>
      </c>
      <c r="N306" t="str">
        <f t="shared" si="46"/>
        <v>https://api.bcb.gov.br/dados/serie/bcdata.sgs.27674/dados?formato=json</v>
      </c>
      <c r="O306">
        <v>6</v>
      </c>
      <c r="P306" t="s">
        <v>19</v>
      </c>
      <c r="Q306" t="s">
        <v>19</v>
      </c>
      <c r="R306" t="s">
        <v>900</v>
      </c>
      <c r="S306" t="s">
        <v>621</v>
      </c>
      <c r="T306" t="e">
        <f t="shared" si="47"/>
        <v>#VALUE!</v>
      </c>
      <c r="U306">
        <f t="shared" si="48"/>
        <v>18</v>
      </c>
    </row>
    <row r="307" spans="1:21" x14ac:dyDescent="0.25">
      <c r="A307" s="8"/>
      <c r="B307" s="8">
        <v>27675</v>
      </c>
      <c r="C307" s="9" t="s">
        <v>154</v>
      </c>
      <c r="D307" s="1" t="s">
        <v>358</v>
      </c>
      <c r="E307" s="10" t="s">
        <v>0</v>
      </c>
      <c r="F307" s="11">
        <v>41275</v>
      </c>
      <c r="G307" s="12">
        <v>45597</v>
      </c>
      <c r="H307" s="13" t="s">
        <v>1</v>
      </c>
      <c r="I307" s="8" t="s">
        <v>2</v>
      </c>
      <c r="J307" s="14"/>
      <c r="K307" s="15" t="s">
        <v>361</v>
      </c>
      <c r="L307" t="s">
        <v>362</v>
      </c>
      <c r="M307" t="s">
        <v>15</v>
      </c>
      <c r="N307" t="str">
        <f t="shared" si="46"/>
        <v>https://api.bcb.gov.br/dados/serie/bcdata.sgs.27675/dados?formato=json</v>
      </c>
      <c r="O307">
        <v>6</v>
      </c>
      <c r="P307" t="s">
        <v>19</v>
      </c>
      <c r="Q307" t="s">
        <v>19</v>
      </c>
      <c r="R307" t="s">
        <v>901</v>
      </c>
      <c r="S307" t="s">
        <v>621</v>
      </c>
      <c r="T307" t="e">
        <f t="shared" si="47"/>
        <v>#VALUE!</v>
      </c>
      <c r="U307">
        <f t="shared" si="48"/>
        <v>18</v>
      </c>
    </row>
    <row r="308" spans="1:21" x14ac:dyDescent="0.25">
      <c r="A308" s="1"/>
      <c r="B308" s="1">
        <v>27676</v>
      </c>
      <c r="C308" s="2" t="s">
        <v>155</v>
      </c>
      <c r="D308" s="1" t="s">
        <v>358</v>
      </c>
      <c r="E308" s="3" t="s">
        <v>0</v>
      </c>
      <c r="F308" s="4">
        <v>41275</v>
      </c>
      <c r="G308" s="5">
        <v>45597</v>
      </c>
      <c r="H308" s="6" t="s">
        <v>1</v>
      </c>
      <c r="I308" s="1" t="s">
        <v>2</v>
      </c>
      <c r="J308" s="7"/>
      <c r="K308" s="15" t="s">
        <v>361</v>
      </c>
      <c r="L308" t="s">
        <v>362</v>
      </c>
      <c r="M308" t="s">
        <v>15</v>
      </c>
      <c r="N308" t="str">
        <f t="shared" si="46"/>
        <v>https://api.bcb.gov.br/dados/serie/bcdata.sgs.27676/dados?formato=json</v>
      </c>
      <c r="O308">
        <v>6</v>
      </c>
      <c r="P308" t="s">
        <v>19</v>
      </c>
      <c r="Q308" t="s">
        <v>19</v>
      </c>
      <c r="R308" t="s">
        <v>902</v>
      </c>
      <c r="S308" t="s">
        <v>621</v>
      </c>
      <c r="T308" t="e">
        <f t="shared" si="47"/>
        <v>#VALUE!</v>
      </c>
      <c r="U308">
        <f t="shared" si="48"/>
        <v>18</v>
      </c>
    </row>
    <row r="309" spans="1:21" x14ac:dyDescent="0.25">
      <c r="A309" s="8"/>
      <c r="B309" s="8">
        <v>27677</v>
      </c>
      <c r="C309" s="9" t="s">
        <v>156</v>
      </c>
      <c r="D309" s="1" t="s">
        <v>358</v>
      </c>
      <c r="E309" s="10" t="s">
        <v>0</v>
      </c>
      <c r="F309" s="11">
        <v>41275</v>
      </c>
      <c r="G309" s="12">
        <v>45597</v>
      </c>
      <c r="H309" s="13" t="s">
        <v>1</v>
      </c>
      <c r="I309" s="8" t="s">
        <v>2</v>
      </c>
      <c r="J309" s="14"/>
      <c r="K309" s="15" t="s">
        <v>361</v>
      </c>
      <c r="L309" t="s">
        <v>362</v>
      </c>
      <c r="M309" t="s">
        <v>15</v>
      </c>
      <c r="N309" t="str">
        <f t="shared" si="46"/>
        <v>https://api.bcb.gov.br/dados/serie/bcdata.sgs.27677/dados?formato=json</v>
      </c>
      <c r="O309">
        <v>6</v>
      </c>
      <c r="P309" t="s">
        <v>19</v>
      </c>
      <c r="Q309" t="s">
        <v>19</v>
      </c>
      <c r="R309" t="s">
        <v>903</v>
      </c>
      <c r="S309" t="s">
        <v>621</v>
      </c>
      <c r="T309" t="e">
        <f t="shared" si="47"/>
        <v>#VALUE!</v>
      </c>
      <c r="U309">
        <f t="shared" si="48"/>
        <v>18</v>
      </c>
    </row>
    <row r="310" spans="1:21" x14ac:dyDescent="0.25">
      <c r="A310" s="1"/>
      <c r="B310" s="1">
        <v>27678</v>
      </c>
      <c r="C310" s="2" t="s">
        <v>157</v>
      </c>
      <c r="D310" s="1" t="s">
        <v>358</v>
      </c>
      <c r="E310" s="3" t="s">
        <v>0</v>
      </c>
      <c r="F310" s="4">
        <v>41275</v>
      </c>
      <c r="G310" s="5">
        <v>45597</v>
      </c>
      <c r="H310" s="6" t="s">
        <v>1</v>
      </c>
      <c r="I310" s="1" t="s">
        <v>2</v>
      </c>
      <c r="J310" s="7"/>
      <c r="K310" s="15" t="s">
        <v>361</v>
      </c>
      <c r="L310" t="s">
        <v>362</v>
      </c>
      <c r="M310" t="s">
        <v>15</v>
      </c>
      <c r="N310" t="str">
        <f t="shared" si="46"/>
        <v>https://api.bcb.gov.br/dados/serie/bcdata.sgs.27678/dados?formato=json</v>
      </c>
      <c r="O310">
        <v>6</v>
      </c>
      <c r="P310" t="s">
        <v>19</v>
      </c>
      <c r="Q310" t="s">
        <v>19</v>
      </c>
      <c r="R310" t="s">
        <v>904</v>
      </c>
      <c r="S310" t="s">
        <v>621</v>
      </c>
      <c r="T310" t="e">
        <f t="shared" si="47"/>
        <v>#VALUE!</v>
      </c>
      <c r="U310">
        <f t="shared" si="48"/>
        <v>18</v>
      </c>
    </row>
    <row r="311" spans="1:21" x14ac:dyDescent="0.25">
      <c r="A311" s="8"/>
      <c r="B311" s="8">
        <v>27679</v>
      </c>
      <c r="C311" s="9" t="s">
        <v>158</v>
      </c>
      <c r="D311" s="1" t="s">
        <v>358</v>
      </c>
      <c r="E311" s="10" t="s">
        <v>0</v>
      </c>
      <c r="F311" s="11">
        <v>41275</v>
      </c>
      <c r="G311" s="12">
        <v>45597</v>
      </c>
      <c r="H311" s="13" t="s">
        <v>1</v>
      </c>
      <c r="I311" s="8" t="s">
        <v>2</v>
      </c>
      <c r="J311" s="14"/>
      <c r="K311" s="15" t="s">
        <v>361</v>
      </c>
      <c r="L311" t="s">
        <v>362</v>
      </c>
      <c r="M311" t="s">
        <v>15</v>
      </c>
      <c r="N311" t="str">
        <f t="shared" si="46"/>
        <v>https://api.bcb.gov.br/dados/serie/bcdata.sgs.27679/dados?formato=json</v>
      </c>
      <c r="O311">
        <v>6</v>
      </c>
      <c r="P311" t="s">
        <v>19</v>
      </c>
      <c r="Q311" t="s">
        <v>19</v>
      </c>
      <c r="R311" t="s">
        <v>905</v>
      </c>
      <c r="S311" t="s">
        <v>621</v>
      </c>
      <c r="T311" t="e">
        <f t="shared" si="47"/>
        <v>#VALUE!</v>
      </c>
      <c r="U311">
        <f t="shared" si="48"/>
        <v>18</v>
      </c>
    </row>
    <row r="312" spans="1:21" x14ac:dyDescent="0.25">
      <c r="A312" s="1"/>
      <c r="B312" s="1">
        <v>27680</v>
      </c>
      <c r="C312" s="2" t="s">
        <v>159</v>
      </c>
      <c r="D312" s="1" t="s">
        <v>358</v>
      </c>
      <c r="E312" s="3" t="s">
        <v>0</v>
      </c>
      <c r="F312" s="4">
        <v>41275</v>
      </c>
      <c r="G312" s="5">
        <v>45597</v>
      </c>
      <c r="H312" s="6" t="s">
        <v>1</v>
      </c>
      <c r="I312" s="1" t="s">
        <v>2</v>
      </c>
      <c r="J312" s="7"/>
      <c r="K312" s="15" t="s">
        <v>361</v>
      </c>
      <c r="L312" t="s">
        <v>362</v>
      </c>
      <c r="M312" t="s">
        <v>15</v>
      </c>
      <c r="N312" t="str">
        <f t="shared" si="46"/>
        <v>https://api.bcb.gov.br/dados/serie/bcdata.sgs.27680/dados?formato=json</v>
      </c>
      <c r="O312">
        <v>6</v>
      </c>
      <c r="P312" t="s">
        <v>19</v>
      </c>
      <c r="Q312" t="s">
        <v>19</v>
      </c>
      <c r="R312" t="s">
        <v>882</v>
      </c>
      <c r="S312" t="s">
        <v>621</v>
      </c>
      <c r="T312" t="e">
        <f t="shared" si="47"/>
        <v>#VALUE!</v>
      </c>
      <c r="U312">
        <f t="shared" si="48"/>
        <v>18</v>
      </c>
    </row>
    <row r="313" spans="1:21" x14ac:dyDescent="0.25">
      <c r="A313" s="8"/>
      <c r="B313" s="8">
        <v>27681</v>
      </c>
      <c r="C313" s="9" t="s">
        <v>160</v>
      </c>
      <c r="D313" s="1" t="s">
        <v>358</v>
      </c>
      <c r="E313" s="10" t="s">
        <v>0</v>
      </c>
      <c r="F313" s="11">
        <v>41275</v>
      </c>
      <c r="G313" s="12">
        <v>45597</v>
      </c>
      <c r="H313" s="13" t="s">
        <v>1</v>
      </c>
      <c r="I313" s="8" t="s">
        <v>2</v>
      </c>
      <c r="J313" s="14"/>
      <c r="K313" s="15" t="s">
        <v>361</v>
      </c>
      <c r="L313" t="s">
        <v>362</v>
      </c>
      <c r="M313" t="s">
        <v>15</v>
      </c>
      <c r="N313" t="str">
        <f t="shared" si="46"/>
        <v>https://api.bcb.gov.br/dados/serie/bcdata.sgs.27681/dados?formato=json</v>
      </c>
      <c r="O313">
        <v>6</v>
      </c>
      <c r="P313" t="s">
        <v>19</v>
      </c>
      <c r="Q313" t="s">
        <v>19</v>
      </c>
      <c r="R313" t="s">
        <v>883</v>
      </c>
      <c r="S313" t="s">
        <v>621</v>
      </c>
      <c r="T313" t="e">
        <f t="shared" si="47"/>
        <v>#VALUE!</v>
      </c>
      <c r="U313">
        <f t="shared" si="48"/>
        <v>18</v>
      </c>
    </row>
    <row r="314" spans="1:21" x14ac:dyDescent="0.25">
      <c r="A314" s="1"/>
      <c r="B314" s="1">
        <v>27682</v>
      </c>
      <c r="C314" s="2" t="s">
        <v>162</v>
      </c>
      <c r="D314" s="1" t="s">
        <v>358</v>
      </c>
      <c r="E314" s="3" t="s">
        <v>0</v>
      </c>
      <c r="F314" s="4">
        <v>41275</v>
      </c>
      <c r="G314" s="5">
        <v>45597</v>
      </c>
      <c r="H314" s="6" t="s">
        <v>1</v>
      </c>
      <c r="I314" s="1" t="s">
        <v>2</v>
      </c>
      <c r="J314" s="7"/>
      <c r="K314" s="15" t="s">
        <v>361</v>
      </c>
      <c r="L314" t="s">
        <v>362</v>
      </c>
      <c r="M314" t="s">
        <v>15</v>
      </c>
      <c r="N314" t="str">
        <f t="shared" si="46"/>
        <v>https://api.bcb.gov.br/dados/serie/bcdata.sgs.27682/dados?formato=json</v>
      </c>
      <c r="O314">
        <v>6</v>
      </c>
      <c r="P314" t="s">
        <v>19</v>
      </c>
      <c r="Q314" t="s">
        <v>19</v>
      </c>
      <c r="R314" t="s">
        <v>885</v>
      </c>
      <c r="S314" t="s">
        <v>621</v>
      </c>
      <c r="T314" t="e">
        <f t="shared" si="47"/>
        <v>#VALUE!</v>
      </c>
      <c r="U314">
        <f t="shared" si="48"/>
        <v>18</v>
      </c>
    </row>
    <row r="315" spans="1:21" x14ac:dyDescent="0.25">
      <c r="A315" s="8"/>
      <c r="B315" s="8">
        <v>27683</v>
      </c>
      <c r="C315" s="9" t="s">
        <v>163</v>
      </c>
      <c r="D315" s="1" t="s">
        <v>358</v>
      </c>
      <c r="E315" s="10" t="s">
        <v>0</v>
      </c>
      <c r="F315" s="11">
        <v>41275</v>
      </c>
      <c r="G315" s="12">
        <v>45597</v>
      </c>
      <c r="H315" s="13" t="s">
        <v>1</v>
      </c>
      <c r="I315" s="8" t="s">
        <v>2</v>
      </c>
      <c r="J315" s="14"/>
      <c r="K315" s="15" t="s">
        <v>361</v>
      </c>
      <c r="L315" t="s">
        <v>362</v>
      </c>
      <c r="M315" t="s">
        <v>15</v>
      </c>
      <c r="N315" t="str">
        <f t="shared" si="46"/>
        <v>https://api.bcb.gov.br/dados/serie/bcdata.sgs.27683/dados?formato=json</v>
      </c>
      <c r="O315">
        <v>6</v>
      </c>
      <c r="P315" t="s">
        <v>19</v>
      </c>
      <c r="Q315" t="s">
        <v>19</v>
      </c>
      <c r="R315" t="s">
        <v>886</v>
      </c>
      <c r="S315" t="s">
        <v>621</v>
      </c>
      <c r="T315" t="e">
        <f t="shared" si="47"/>
        <v>#VALUE!</v>
      </c>
      <c r="U315">
        <f t="shared" si="48"/>
        <v>18</v>
      </c>
    </row>
    <row r="316" spans="1:21" x14ac:dyDescent="0.25">
      <c r="A316" s="1"/>
      <c r="B316" s="1">
        <v>27684</v>
      </c>
      <c r="C316" s="2" t="s">
        <v>165</v>
      </c>
      <c r="D316" s="1" t="s">
        <v>358</v>
      </c>
      <c r="E316" s="3" t="s">
        <v>0</v>
      </c>
      <c r="F316" s="4">
        <v>41275</v>
      </c>
      <c r="G316" s="5">
        <v>45597</v>
      </c>
      <c r="H316" s="6" t="s">
        <v>1</v>
      </c>
      <c r="I316" s="1" t="s">
        <v>2</v>
      </c>
      <c r="J316" s="7"/>
      <c r="K316" s="15" t="s">
        <v>361</v>
      </c>
      <c r="L316" t="s">
        <v>362</v>
      </c>
      <c r="M316" t="s">
        <v>15</v>
      </c>
      <c r="N316" t="str">
        <f t="shared" si="46"/>
        <v>https://api.bcb.gov.br/dados/serie/bcdata.sgs.27684/dados?formato=json</v>
      </c>
      <c r="O316">
        <v>6</v>
      </c>
      <c r="P316" t="s">
        <v>19</v>
      </c>
      <c r="Q316" t="s">
        <v>19</v>
      </c>
      <c r="R316" t="s">
        <v>890</v>
      </c>
      <c r="S316" t="s">
        <v>621</v>
      </c>
      <c r="T316" t="e">
        <f t="shared" si="47"/>
        <v>#VALUE!</v>
      </c>
      <c r="U316">
        <f t="shared" si="48"/>
        <v>18</v>
      </c>
    </row>
    <row r="317" spans="1:21" x14ac:dyDescent="0.25">
      <c r="A317" s="8"/>
      <c r="B317" s="8">
        <v>27685</v>
      </c>
      <c r="C317" s="9" t="s">
        <v>166</v>
      </c>
      <c r="D317" s="1" t="s">
        <v>358</v>
      </c>
      <c r="E317" s="10" t="s">
        <v>0</v>
      </c>
      <c r="F317" s="11">
        <v>41275</v>
      </c>
      <c r="G317" s="12">
        <v>45597</v>
      </c>
      <c r="H317" s="13" t="s">
        <v>1</v>
      </c>
      <c r="I317" s="8" t="s">
        <v>2</v>
      </c>
      <c r="J317" s="14"/>
      <c r="K317" s="15" t="s">
        <v>361</v>
      </c>
      <c r="L317" t="s">
        <v>362</v>
      </c>
      <c r="M317" t="s">
        <v>15</v>
      </c>
      <c r="N317" t="str">
        <f t="shared" si="46"/>
        <v>https://api.bcb.gov.br/dados/serie/bcdata.sgs.27685/dados?formato=json</v>
      </c>
      <c r="O317">
        <v>6</v>
      </c>
      <c r="P317" t="s">
        <v>19</v>
      </c>
      <c r="Q317" t="s">
        <v>19</v>
      </c>
      <c r="R317" t="s">
        <v>891</v>
      </c>
      <c r="S317" t="s">
        <v>621</v>
      </c>
      <c r="T317" t="e">
        <f t="shared" si="47"/>
        <v>#VALUE!</v>
      </c>
      <c r="U317">
        <f t="shared" si="48"/>
        <v>18</v>
      </c>
    </row>
    <row r="318" spans="1:21" x14ac:dyDescent="0.25">
      <c r="A318" s="1"/>
      <c r="B318" s="1">
        <v>27686</v>
      </c>
      <c r="C318" s="2" t="s">
        <v>168</v>
      </c>
      <c r="D318" s="1" t="s">
        <v>358</v>
      </c>
      <c r="E318" s="3" t="s">
        <v>0</v>
      </c>
      <c r="F318" s="4">
        <v>41275</v>
      </c>
      <c r="G318" s="5">
        <v>45597</v>
      </c>
      <c r="H318" s="6" t="s">
        <v>1</v>
      </c>
      <c r="I318" s="1" t="s">
        <v>2</v>
      </c>
      <c r="J318" s="7"/>
      <c r="K318" s="15" t="s">
        <v>361</v>
      </c>
      <c r="L318" t="s">
        <v>362</v>
      </c>
      <c r="M318" t="s">
        <v>15</v>
      </c>
      <c r="N318" t="str">
        <f t="shared" si="46"/>
        <v>https://api.bcb.gov.br/dados/serie/bcdata.sgs.27686/dados?formato=json</v>
      </c>
      <c r="O318">
        <v>6</v>
      </c>
      <c r="P318" t="s">
        <v>19</v>
      </c>
      <c r="Q318" t="s">
        <v>19</v>
      </c>
      <c r="R318" t="s">
        <v>893</v>
      </c>
      <c r="S318" t="s">
        <v>621</v>
      </c>
      <c r="T318" t="e">
        <f t="shared" si="47"/>
        <v>#VALUE!</v>
      </c>
      <c r="U318">
        <f t="shared" si="48"/>
        <v>18</v>
      </c>
    </row>
    <row r="319" spans="1:21" x14ac:dyDescent="0.25">
      <c r="A319" s="8"/>
      <c r="B319" s="8">
        <v>27687</v>
      </c>
      <c r="C319" s="9" t="s">
        <v>386</v>
      </c>
      <c r="D319" s="1" t="s">
        <v>358</v>
      </c>
      <c r="E319" s="10" t="s">
        <v>0</v>
      </c>
      <c r="F319" s="11">
        <v>41275</v>
      </c>
      <c r="G319" s="12">
        <v>45597</v>
      </c>
      <c r="H319" s="13" t="s">
        <v>1</v>
      </c>
      <c r="I319" s="8" t="s">
        <v>2</v>
      </c>
      <c r="J319" s="14"/>
      <c r="K319" s="15" t="s">
        <v>361</v>
      </c>
      <c r="L319" t="s">
        <v>362</v>
      </c>
      <c r="M319" t="s">
        <v>15</v>
      </c>
      <c r="N319" t="str">
        <f t="shared" si="46"/>
        <v>https://api.bcb.gov.br/dados/serie/bcdata.sgs.27687/dados?formato=json</v>
      </c>
      <c r="O319">
        <v>6</v>
      </c>
      <c r="P319" t="s">
        <v>19</v>
      </c>
      <c r="Q319" t="s">
        <v>19</v>
      </c>
      <c r="R319" t="s">
        <v>972</v>
      </c>
      <c r="S319" t="s">
        <v>621</v>
      </c>
      <c r="T319" t="e">
        <f t="shared" si="47"/>
        <v>#VALUE!</v>
      </c>
      <c r="U319">
        <f t="shared" si="48"/>
        <v>18</v>
      </c>
    </row>
    <row r="320" spans="1:21" x14ac:dyDescent="0.25">
      <c r="A320" s="1"/>
      <c r="B320" s="1">
        <v>25357</v>
      </c>
      <c r="C320" s="2" t="s">
        <v>387</v>
      </c>
      <c r="D320" s="1" t="s">
        <v>358</v>
      </c>
      <c r="E320" s="3" t="s">
        <v>0</v>
      </c>
      <c r="F320" s="4">
        <v>41275</v>
      </c>
      <c r="G320" s="5">
        <v>45597</v>
      </c>
      <c r="H320" s="6" t="s">
        <v>1</v>
      </c>
      <c r="I320" s="1" t="s">
        <v>2</v>
      </c>
      <c r="J320" s="7"/>
      <c r="K320" s="15" t="s">
        <v>363</v>
      </c>
      <c r="L320" t="s">
        <v>364</v>
      </c>
      <c r="M320" t="s">
        <v>15</v>
      </c>
      <c r="N320" t="str">
        <f t="shared" ref="N320:N340" si="49">_xlfn.CONCAT("https://api.bcb.gov.br/dados/serie/bcdata.sgs.",B320,"/dados?formato=json")</f>
        <v>https://api.bcb.gov.br/dados/serie/bcdata.sgs.25357/dados?formato=json</v>
      </c>
      <c r="O320">
        <v>6</v>
      </c>
      <c r="P320" t="s">
        <v>19</v>
      </c>
      <c r="Q320" t="s">
        <v>19</v>
      </c>
      <c r="R320" t="s">
        <v>118</v>
      </c>
      <c r="S320" t="s">
        <v>118</v>
      </c>
    </row>
    <row r="321" spans="1:21" x14ac:dyDescent="0.25">
      <c r="A321" s="8"/>
      <c r="B321" s="8">
        <v>25358</v>
      </c>
      <c r="C321" s="9" t="s">
        <v>388</v>
      </c>
      <c r="D321" s="1" t="s">
        <v>358</v>
      </c>
      <c r="E321" s="10" t="s">
        <v>0</v>
      </c>
      <c r="F321" s="11">
        <v>41275</v>
      </c>
      <c r="G321" s="12">
        <v>45597</v>
      </c>
      <c r="H321" s="13" t="s">
        <v>1</v>
      </c>
      <c r="I321" s="8" t="s">
        <v>2</v>
      </c>
      <c r="J321" s="14"/>
      <c r="K321" s="15" t="s">
        <v>363</v>
      </c>
      <c r="L321" t="s">
        <v>364</v>
      </c>
      <c r="M321" t="s">
        <v>15</v>
      </c>
      <c r="N321" t="str">
        <f t="shared" si="49"/>
        <v>https://api.bcb.gov.br/dados/serie/bcdata.sgs.25358/dados?formato=json</v>
      </c>
      <c r="O321">
        <v>6</v>
      </c>
      <c r="P321" t="s">
        <v>19</v>
      </c>
      <c r="Q321" t="s">
        <v>19</v>
      </c>
      <c r="R321" t="s">
        <v>118</v>
      </c>
      <c r="S321" t="s">
        <v>622</v>
      </c>
    </row>
    <row r="322" spans="1:21" x14ac:dyDescent="0.25">
      <c r="A322" s="1"/>
      <c r="B322" s="1">
        <v>27688</v>
      </c>
      <c r="C322" s="2" t="s">
        <v>171</v>
      </c>
      <c r="D322" s="1" t="s">
        <v>358</v>
      </c>
      <c r="E322" s="3" t="s">
        <v>0</v>
      </c>
      <c r="F322" s="4">
        <v>41275</v>
      </c>
      <c r="G322" s="5">
        <v>45597</v>
      </c>
      <c r="H322" s="6" t="s">
        <v>1</v>
      </c>
      <c r="I322" s="1" t="s">
        <v>2</v>
      </c>
      <c r="J322" s="7"/>
      <c r="K322" s="15" t="s">
        <v>363</v>
      </c>
      <c r="L322" t="s">
        <v>364</v>
      </c>
      <c r="M322" t="s">
        <v>15</v>
      </c>
      <c r="N322" t="str">
        <f t="shared" si="49"/>
        <v>https://api.bcb.gov.br/dados/serie/bcdata.sgs.27688/dados?formato=json</v>
      </c>
      <c r="O322">
        <v>6</v>
      </c>
      <c r="P322" t="s">
        <v>19</v>
      </c>
      <c r="Q322" t="s">
        <v>19</v>
      </c>
      <c r="R322" t="s">
        <v>906</v>
      </c>
      <c r="S322" t="s">
        <v>622</v>
      </c>
      <c r="T322" t="e">
        <f t="shared" ref="T322" si="50">RIGHT(S322,LEN(S322)-U322)</f>
        <v>#VALUE!</v>
      </c>
      <c r="U322">
        <f t="shared" ref="U322:U330" si="51">LEN("Setor de serviços - ")</f>
        <v>20</v>
      </c>
    </row>
    <row r="323" spans="1:21" x14ac:dyDescent="0.25">
      <c r="A323" s="8"/>
      <c r="B323" s="8">
        <v>27689</v>
      </c>
      <c r="C323" s="9" t="s">
        <v>172</v>
      </c>
      <c r="D323" s="1" t="s">
        <v>358</v>
      </c>
      <c r="E323" s="10" t="s">
        <v>0</v>
      </c>
      <c r="F323" s="11">
        <v>41275</v>
      </c>
      <c r="G323" s="12">
        <v>45597</v>
      </c>
      <c r="H323" s="13" t="s">
        <v>1</v>
      </c>
      <c r="I323" s="8" t="s">
        <v>2</v>
      </c>
      <c r="J323" s="14"/>
      <c r="K323" s="15" t="s">
        <v>363</v>
      </c>
      <c r="L323" t="s">
        <v>364</v>
      </c>
      <c r="M323" t="s">
        <v>15</v>
      </c>
      <c r="N323" t="str">
        <f t="shared" si="49"/>
        <v>https://api.bcb.gov.br/dados/serie/bcdata.sgs.27689/dados?formato=json</v>
      </c>
      <c r="O323">
        <v>6</v>
      </c>
      <c r="P323" t="s">
        <v>19</v>
      </c>
      <c r="Q323" t="s">
        <v>19</v>
      </c>
      <c r="R323" t="s">
        <v>907</v>
      </c>
      <c r="S323" t="s">
        <v>622</v>
      </c>
      <c r="T323" t="e">
        <f t="shared" ref="T323:T330" si="52">RIGHT(S323,LEN(S323)-U323)</f>
        <v>#VALUE!</v>
      </c>
      <c r="U323">
        <f t="shared" si="51"/>
        <v>20</v>
      </c>
    </row>
    <row r="324" spans="1:21" x14ac:dyDescent="0.25">
      <c r="A324" s="1"/>
      <c r="B324" s="1">
        <v>27690</v>
      </c>
      <c r="C324" s="2" t="s">
        <v>173</v>
      </c>
      <c r="D324" s="1" t="s">
        <v>358</v>
      </c>
      <c r="E324" s="3" t="s">
        <v>0</v>
      </c>
      <c r="F324" s="4">
        <v>41275</v>
      </c>
      <c r="G324" s="5">
        <v>45597</v>
      </c>
      <c r="H324" s="6" t="s">
        <v>1</v>
      </c>
      <c r="I324" s="1" t="s">
        <v>2</v>
      </c>
      <c r="J324" s="7"/>
      <c r="K324" s="15" t="s">
        <v>363</v>
      </c>
      <c r="L324" t="s">
        <v>364</v>
      </c>
      <c r="M324" t="s">
        <v>15</v>
      </c>
      <c r="N324" t="str">
        <f t="shared" si="49"/>
        <v>https://api.bcb.gov.br/dados/serie/bcdata.sgs.27690/dados?formato=json</v>
      </c>
      <c r="O324">
        <v>6</v>
      </c>
      <c r="P324" t="s">
        <v>19</v>
      </c>
      <c r="Q324" t="s">
        <v>19</v>
      </c>
      <c r="R324" t="s">
        <v>908</v>
      </c>
      <c r="S324" t="s">
        <v>622</v>
      </c>
      <c r="T324" t="e">
        <f t="shared" si="52"/>
        <v>#VALUE!</v>
      </c>
      <c r="U324">
        <f t="shared" si="51"/>
        <v>20</v>
      </c>
    </row>
    <row r="325" spans="1:21" x14ac:dyDescent="0.25">
      <c r="A325" s="8"/>
      <c r="B325" s="8">
        <v>27691</v>
      </c>
      <c r="C325" s="9" t="s">
        <v>174</v>
      </c>
      <c r="D325" s="1" t="s">
        <v>358</v>
      </c>
      <c r="E325" s="10" t="s">
        <v>0</v>
      </c>
      <c r="F325" s="11">
        <v>41275</v>
      </c>
      <c r="G325" s="12">
        <v>45597</v>
      </c>
      <c r="H325" s="13" t="s">
        <v>1</v>
      </c>
      <c r="I325" s="8" t="s">
        <v>2</v>
      </c>
      <c r="J325" s="14"/>
      <c r="K325" s="15" t="s">
        <v>363</v>
      </c>
      <c r="L325" t="s">
        <v>364</v>
      </c>
      <c r="M325" t="s">
        <v>15</v>
      </c>
      <c r="N325" t="str">
        <f t="shared" si="49"/>
        <v>https://api.bcb.gov.br/dados/serie/bcdata.sgs.27691/dados?formato=json</v>
      </c>
      <c r="O325">
        <v>6</v>
      </c>
      <c r="P325" t="s">
        <v>19</v>
      </c>
      <c r="Q325" t="s">
        <v>19</v>
      </c>
      <c r="R325" t="s">
        <v>909</v>
      </c>
      <c r="S325" t="s">
        <v>622</v>
      </c>
      <c r="T325" t="e">
        <f t="shared" si="52"/>
        <v>#VALUE!</v>
      </c>
      <c r="U325">
        <f t="shared" si="51"/>
        <v>20</v>
      </c>
    </row>
    <row r="326" spans="1:21" x14ac:dyDescent="0.25">
      <c r="A326" s="1"/>
      <c r="B326" s="1">
        <v>27692</v>
      </c>
      <c r="C326" s="2" t="s">
        <v>175</v>
      </c>
      <c r="D326" s="1" t="s">
        <v>358</v>
      </c>
      <c r="E326" s="3" t="s">
        <v>0</v>
      </c>
      <c r="F326" s="4">
        <v>41275</v>
      </c>
      <c r="G326" s="5">
        <v>45597</v>
      </c>
      <c r="H326" s="6" t="s">
        <v>1</v>
      </c>
      <c r="I326" s="1" t="s">
        <v>2</v>
      </c>
      <c r="J326" s="7"/>
      <c r="K326" s="15" t="s">
        <v>363</v>
      </c>
      <c r="L326" t="s">
        <v>364</v>
      </c>
      <c r="M326" t="s">
        <v>15</v>
      </c>
      <c r="N326" t="str">
        <f t="shared" si="49"/>
        <v>https://api.bcb.gov.br/dados/serie/bcdata.sgs.27692/dados?formato=json</v>
      </c>
      <c r="O326">
        <v>6</v>
      </c>
      <c r="P326" t="s">
        <v>19</v>
      </c>
      <c r="Q326" t="s">
        <v>19</v>
      </c>
      <c r="R326" t="s">
        <v>910</v>
      </c>
      <c r="S326" t="s">
        <v>622</v>
      </c>
      <c r="T326" t="e">
        <f t="shared" si="52"/>
        <v>#VALUE!</v>
      </c>
      <c r="U326">
        <f t="shared" si="51"/>
        <v>20</v>
      </c>
    </row>
    <row r="327" spans="1:21" x14ac:dyDescent="0.25">
      <c r="A327" s="8"/>
      <c r="B327" s="8">
        <v>27693</v>
      </c>
      <c r="C327" s="9" t="s">
        <v>176</v>
      </c>
      <c r="D327" s="1" t="s">
        <v>358</v>
      </c>
      <c r="E327" s="10" t="s">
        <v>0</v>
      </c>
      <c r="F327" s="11">
        <v>41275</v>
      </c>
      <c r="G327" s="12">
        <v>45597</v>
      </c>
      <c r="H327" s="13" t="s">
        <v>1</v>
      </c>
      <c r="I327" s="8" t="s">
        <v>2</v>
      </c>
      <c r="J327" s="14"/>
      <c r="K327" s="15" t="s">
        <v>363</v>
      </c>
      <c r="L327" t="s">
        <v>364</v>
      </c>
      <c r="M327" t="s">
        <v>15</v>
      </c>
      <c r="N327" t="str">
        <f t="shared" si="49"/>
        <v>https://api.bcb.gov.br/dados/serie/bcdata.sgs.27693/dados?formato=json</v>
      </c>
      <c r="O327">
        <v>6</v>
      </c>
      <c r="P327" t="s">
        <v>19</v>
      </c>
      <c r="Q327" t="s">
        <v>19</v>
      </c>
      <c r="R327" t="s">
        <v>911</v>
      </c>
      <c r="S327" t="s">
        <v>622</v>
      </c>
      <c r="T327" t="e">
        <f t="shared" si="52"/>
        <v>#VALUE!</v>
      </c>
      <c r="U327">
        <f t="shared" si="51"/>
        <v>20</v>
      </c>
    </row>
    <row r="328" spans="1:21" x14ac:dyDescent="0.25">
      <c r="A328" s="1"/>
      <c r="B328" s="1">
        <v>27694</v>
      </c>
      <c r="C328" s="2" t="s">
        <v>177</v>
      </c>
      <c r="D328" s="1" t="s">
        <v>358</v>
      </c>
      <c r="E328" s="3" t="s">
        <v>0</v>
      </c>
      <c r="F328" s="4">
        <v>41275</v>
      </c>
      <c r="G328" s="5">
        <v>45597</v>
      </c>
      <c r="H328" s="6" t="s">
        <v>1</v>
      </c>
      <c r="I328" s="1" t="s">
        <v>2</v>
      </c>
      <c r="J328" s="7"/>
      <c r="K328" s="15" t="s">
        <v>363</v>
      </c>
      <c r="L328" t="s">
        <v>364</v>
      </c>
      <c r="M328" t="s">
        <v>15</v>
      </c>
      <c r="N328" t="str">
        <f t="shared" si="49"/>
        <v>https://api.bcb.gov.br/dados/serie/bcdata.sgs.27694/dados?formato=json</v>
      </c>
      <c r="O328">
        <v>6</v>
      </c>
      <c r="P328" t="s">
        <v>19</v>
      </c>
      <c r="Q328" t="s">
        <v>19</v>
      </c>
      <c r="R328" t="s">
        <v>912</v>
      </c>
      <c r="S328" t="s">
        <v>622</v>
      </c>
      <c r="T328" t="e">
        <f t="shared" si="52"/>
        <v>#VALUE!</v>
      </c>
      <c r="U328">
        <f t="shared" si="51"/>
        <v>20</v>
      </c>
    </row>
    <row r="329" spans="1:21" x14ac:dyDescent="0.25">
      <c r="A329" s="8"/>
      <c r="B329" s="8">
        <v>27708</v>
      </c>
      <c r="C329" s="9" t="s">
        <v>178</v>
      </c>
      <c r="D329" s="1" t="s">
        <v>358</v>
      </c>
      <c r="E329" s="10" t="s">
        <v>0</v>
      </c>
      <c r="F329" s="11">
        <v>41275</v>
      </c>
      <c r="G329" s="12">
        <v>45597</v>
      </c>
      <c r="H329" s="13" t="s">
        <v>1</v>
      </c>
      <c r="I329" s="8" t="s">
        <v>2</v>
      </c>
      <c r="J329" s="14"/>
      <c r="K329" s="15" t="s">
        <v>363</v>
      </c>
      <c r="L329" t="s">
        <v>364</v>
      </c>
      <c r="M329" t="s">
        <v>15</v>
      </c>
      <c r="N329" t="str">
        <f t="shared" si="49"/>
        <v>https://api.bcb.gov.br/dados/serie/bcdata.sgs.27708/dados?formato=json</v>
      </c>
      <c r="O329">
        <v>6</v>
      </c>
      <c r="P329" t="s">
        <v>19</v>
      </c>
      <c r="Q329" t="s">
        <v>19</v>
      </c>
      <c r="R329" t="s">
        <v>913</v>
      </c>
      <c r="S329" t="s">
        <v>622</v>
      </c>
      <c r="T329" t="e">
        <f t="shared" si="52"/>
        <v>#VALUE!</v>
      </c>
      <c r="U329">
        <f t="shared" si="51"/>
        <v>20</v>
      </c>
    </row>
    <row r="330" spans="1:21" x14ac:dyDescent="0.25">
      <c r="A330" s="1"/>
      <c r="B330" s="1">
        <v>27709</v>
      </c>
      <c r="C330" s="2" t="s">
        <v>389</v>
      </c>
      <c r="D330" s="1" t="s">
        <v>358</v>
      </c>
      <c r="E330" s="3" t="s">
        <v>0</v>
      </c>
      <c r="F330" s="4">
        <v>41275</v>
      </c>
      <c r="G330" s="5">
        <v>45597</v>
      </c>
      <c r="H330" s="6" t="s">
        <v>1</v>
      </c>
      <c r="I330" s="1" t="s">
        <v>2</v>
      </c>
      <c r="J330" s="7"/>
      <c r="K330" s="15" t="s">
        <v>363</v>
      </c>
      <c r="L330" t="s">
        <v>364</v>
      </c>
      <c r="M330" t="s">
        <v>15</v>
      </c>
      <c r="N330" t="str">
        <f t="shared" si="49"/>
        <v>https://api.bcb.gov.br/dados/serie/bcdata.sgs.27709/dados?formato=json</v>
      </c>
      <c r="O330">
        <v>6</v>
      </c>
      <c r="P330" t="s">
        <v>19</v>
      </c>
      <c r="Q330" t="s">
        <v>19</v>
      </c>
      <c r="R330" t="s">
        <v>976</v>
      </c>
      <c r="S330" t="s">
        <v>622</v>
      </c>
      <c r="T330" t="e">
        <f t="shared" si="52"/>
        <v>#VALUE!</v>
      </c>
      <c r="U330">
        <f t="shared" si="51"/>
        <v>20</v>
      </c>
    </row>
    <row r="331" spans="1:21" x14ac:dyDescent="0.25">
      <c r="A331" s="8"/>
      <c r="B331" s="8">
        <v>25359</v>
      </c>
      <c r="C331" s="9" t="s">
        <v>390</v>
      </c>
      <c r="D331" s="1" t="s">
        <v>358</v>
      </c>
      <c r="E331" s="10" t="s">
        <v>0</v>
      </c>
      <c r="F331" s="11">
        <v>41275</v>
      </c>
      <c r="G331" s="12">
        <v>45597</v>
      </c>
      <c r="H331" s="13" t="s">
        <v>1</v>
      </c>
      <c r="I331" s="8" t="s">
        <v>2</v>
      </c>
      <c r="J331" s="14"/>
      <c r="K331" s="15" t="s">
        <v>363</v>
      </c>
      <c r="L331" t="s">
        <v>364</v>
      </c>
      <c r="M331" t="s">
        <v>15</v>
      </c>
      <c r="N331" t="str">
        <f t="shared" si="49"/>
        <v>https://api.bcb.gov.br/dados/serie/bcdata.sgs.25359/dados?formato=json</v>
      </c>
      <c r="O331">
        <v>6</v>
      </c>
      <c r="P331" t="s">
        <v>19</v>
      </c>
      <c r="Q331" t="s">
        <v>19</v>
      </c>
      <c r="R331" t="s">
        <v>118</v>
      </c>
      <c r="S331" t="s">
        <v>621</v>
      </c>
    </row>
    <row r="332" spans="1:21" x14ac:dyDescent="0.25">
      <c r="A332" s="1"/>
      <c r="B332" s="1">
        <v>27710</v>
      </c>
      <c r="C332" s="2" t="s">
        <v>182</v>
      </c>
      <c r="D332" s="1" t="s">
        <v>358</v>
      </c>
      <c r="E332" s="3" t="s">
        <v>0</v>
      </c>
      <c r="F332" s="4">
        <v>41275</v>
      </c>
      <c r="G332" s="5">
        <v>45597</v>
      </c>
      <c r="H332" s="6" t="s">
        <v>1</v>
      </c>
      <c r="I332" s="1" t="s">
        <v>2</v>
      </c>
      <c r="J332" s="7"/>
      <c r="K332" s="15" t="s">
        <v>363</v>
      </c>
      <c r="L332" t="s">
        <v>364</v>
      </c>
      <c r="M332" t="s">
        <v>15</v>
      </c>
      <c r="N332" t="str">
        <f t="shared" si="49"/>
        <v>https://api.bcb.gov.br/dados/serie/bcdata.sgs.27710/dados?formato=json</v>
      </c>
      <c r="O332">
        <v>6</v>
      </c>
      <c r="P332" t="s">
        <v>19</v>
      </c>
      <c r="Q332" t="s">
        <v>19</v>
      </c>
      <c r="R332" t="s">
        <v>906</v>
      </c>
      <c r="S332" t="s">
        <v>621</v>
      </c>
      <c r="T332" t="e">
        <f t="shared" ref="T332:T340" si="53">RIGHT(S332,LEN(S332)-U332)</f>
        <v>#VALUE!</v>
      </c>
      <c r="U332">
        <f t="shared" ref="U332:U340" si="54">LEN("Pessoas físicas - ")</f>
        <v>18</v>
      </c>
    </row>
    <row r="333" spans="1:21" x14ac:dyDescent="0.25">
      <c r="A333" s="8"/>
      <c r="B333" s="8">
        <v>27711</v>
      </c>
      <c r="C333" s="9" t="s">
        <v>183</v>
      </c>
      <c r="D333" s="1" t="s">
        <v>358</v>
      </c>
      <c r="E333" s="10" t="s">
        <v>0</v>
      </c>
      <c r="F333" s="11">
        <v>41275</v>
      </c>
      <c r="G333" s="12">
        <v>45597</v>
      </c>
      <c r="H333" s="13" t="s">
        <v>1</v>
      </c>
      <c r="I333" s="8" t="s">
        <v>2</v>
      </c>
      <c r="J333" s="14"/>
      <c r="K333" s="15" t="s">
        <v>363</v>
      </c>
      <c r="L333" t="s">
        <v>364</v>
      </c>
      <c r="M333" t="s">
        <v>15</v>
      </c>
      <c r="N333" t="str">
        <f t="shared" si="49"/>
        <v>https://api.bcb.gov.br/dados/serie/bcdata.sgs.27711/dados?formato=json</v>
      </c>
      <c r="O333">
        <v>6</v>
      </c>
      <c r="P333" t="s">
        <v>19</v>
      </c>
      <c r="Q333" t="s">
        <v>19</v>
      </c>
      <c r="R333" t="s">
        <v>907</v>
      </c>
      <c r="S333" t="s">
        <v>621</v>
      </c>
      <c r="T333" t="e">
        <f t="shared" si="53"/>
        <v>#VALUE!</v>
      </c>
      <c r="U333">
        <f t="shared" si="54"/>
        <v>18</v>
      </c>
    </row>
    <row r="334" spans="1:21" x14ac:dyDescent="0.25">
      <c r="A334" s="1"/>
      <c r="B334" s="1">
        <v>27712</v>
      </c>
      <c r="C334" s="2" t="s">
        <v>184</v>
      </c>
      <c r="D334" s="1" t="s">
        <v>358</v>
      </c>
      <c r="E334" s="3" t="s">
        <v>0</v>
      </c>
      <c r="F334" s="4">
        <v>41275</v>
      </c>
      <c r="G334" s="5">
        <v>45597</v>
      </c>
      <c r="H334" s="6" t="s">
        <v>1</v>
      </c>
      <c r="I334" s="1" t="s">
        <v>2</v>
      </c>
      <c r="J334" s="7"/>
      <c r="K334" s="15" t="s">
        <v>363</v>
      </c>
      <c r="L334" t="s">
        <v>364</v>
      </c>
      <c r="M334" t="s">
        <v>15</v>
      </c>
      <c r="N334" t="str">
        <f t="shared" si="49"/>
        <v>https://api.bcb.gov.br/dados/serie/bcdata.sgs.27712/dados?formato=json</v>
      </c>
      <c r="O334">
        <v>6</v>
      </c>
      <c r="P334" t="s">
        <v>19</v>
      </c>
      <c r="Q334" t="s">
        <v>19</v>
      </c>
      <c r="R334" t="s">
        <v>908</v>
      </c>
      <c r="S334" t="s">
        <v>621</v>
      </c>
      <c r="T334" t="e">
        <f t="shared" si="53"/>
        <v>#VALUE!</v>
      </c>
      <c r="U334">
        <f t="shared" si="54"/>
        <v>18</v>
      </c>
    </row>
    <row r="335" spans="1:21" x14ac:dyDescent="0.25">
      <c r="A335" s="8"/>
      <c r="B335" s="8">
        <v>27713</v>
      </c>
      <c r="C335" s="9" t="s">
        <v>185</v>
      </c>
      <c r="D335" s="1" t="s">
        <v>358</v>
      </c>
      <c r="E335" s="10" t="s">
        <v>0</v>
      </c>
      <c r="F335" s="11">
        <v>41275</v>
      </c>
      <c r="G335" s="12">
        <v>45597</v>
      </c>
      <c r="H335" s="13" t="s">
        <v>1</v>
      </c>
      <c r="I335" s="8" t="s">
        <v>2</v>
      </c>
      <c r="J335" s="14"/>
      <c r="K335" s="15" t="s">
        <v>363</v>
      </c>
      <c r="L335" t="s">
        <v>364</v>
      </c>
      <c r="M335" t="s">
        <v>15</v>
      </c>
      <c r="N335" t="str">
        <f t="shared" si="49"/>
        <v>https://api.bcb.gov.br/dados/serie/bcdata.sgs.27713/dados?formato=json</v>
      </c>
      <c r="O335">
        <v>6</v>
      </c>
      <c r="P335" t="s">
        <v>19</v>
      </c>
      <c r="Q335" t="s">
        <v>19</v>
      </c>
      <c r="R335" t="s">
        <v>909</v>
      </c>
      <c r="S335" t="s">
        <v>621</v>
      </c>
      <c r="T335" t="e">
        <f t="shared" si="53"/>
        <v>#VALUE!</v>
      </c>
      <c r="U335">
        <f t="shared" si="54"/>
        <v>18</v>
      </c>
    </row>
    <row r="336" spans="1:21" x14ac:dyDescent="0.25">
      <c r="A336" s="1"/>
      <c r="B336" s="1">
        <v>27714</v>
      </c>
      <c r="C336" s="2" t="s">
        <v>186</v>
      </c>
      <c r="D336" s="1" t="s">
        <v>358</v>
      </c>
      <c r="E336" s="3" t="s">
        <v>0</v>
      </c>
      <c r="F336" s="4">
        <v>41275</v>
      </c>
      <c r="G336" s="5">
        <v>45597</v>
      </c>
      <c r="H336" s="6" t="s">
        <v>1</v>
      </c>
      <c r="I336" s="1" t="s">
        <v>2</v>
      </c>
      <c r="J336" s="7"/>
      <c r="K336" s="15" t="s">
        <v>363</v>
      </c>
      <c r="L336" t="s">
        <v>364</v>
      </c>
      <c r="M336" t="s">
        <v>15</v>
      </c>
      <c r="N336" t="str">
        <f t="shared" si="49"/>
        <v>https://api.bcb.gov.br/dados/serie/bcdata.sgs.27714/dados?formato=json</v>
      </c>
      <c r="O336">
        <v>6</v>
      </c>
      <c r="P336" t="s">
        <v>19</v>
      </c>
      <c r="Q336" t="s">
        <v>19</v>
      </c>
      <c r="R336" t="s">
        <v>910</v>
      </c>
      <c r="S336" t="s">
        <v>621</v>
      </c>
      <c r="T336" t="e">
        <f t="shared" si="53"/>
        <v>#VALUE!</v>
      </c>
      <c r="U336">
        <f t="shared" si="54"/>
        <v>18</v>
      </c>
    </row>
    <row r="337" spans="1:21" x14ac:dyDescent="0.25">
      <c r="A337" s="8"/>
      <c r="B337" s="8">
        <v>27715</v>
      </c>
      <c r="C337" s="9" t="s">
        <v>187</v>
      </c>
      <c r="D337" s="1" t="s">
        <v>358</v>
      </c>
      <c r="E337" s="10" t="s">
        <v>0</v>
      </c>
      <c r="F337" s="11">
        <v>41275</v>
      </c>
      <c r="G337" s="12">
        <v>45597</v>
      </c>
      <c r="H337" s="13" t="s">
        <v>1</v>
      </c>
      <c r="I337" s="8" t="s">
        <v>2</v>
      </c>
      <c r="J337" s="14"/>
      <c r="K337" s="15" t="s">
        <v>363</v>
      </c>
      <c r="L337" t="s">
        <v>364</v>
      </c>
      <c r="M337" t="s">
        <v>15</v>
      </c>
      <c r="N337" t="str">
        <f t="shared" si="49"/>
        <v>https://api.bcb.gov.br/dados/serie/bcdata.sgs.27715/dados?formato=json</v>
      </c>
      <c r="O337">
        <v>6</v>
      </c>
      <c r="P337" t="s">
        <v>19</v>
      </c>
      <c r="Q337" t="s">
        <v>19</v>
      </c>
      <c r="R337" t="s">
        <v>911</v>
      </c>
      <c r="S337" t="s">
        <v>621</v>
      </c>
      <c r="T337" t="e">
        <f t="shared" si="53"/>
        <v>#VALUE!</v>
      </c>
      <c r="U337">
        <f t="shared" si="54"/>
        <v>18</v>
      </c>
    </row>
    <row r="338" spans="1:21" x14ac:dyDescent="0.25">
      <c r="A338" s="1"/>
      <c r="B338" s="1">
        <v>27716</v>
      </c>
      <c r="C338" s="2" t="s">
        <v>189</v>
      </c>
      <c r="D338" s="1" t="s">
        <v>358</v>
      </c>
      <c r="E338" s="3" t="s">
        <v>0</v>
      </c>
      <c r="F338" s="4">
        <v>41275</v>
      </c>
      <c r="G338" s="5">
        <v>45597</v>
      </c>
      <c r="H338" s="6" t="s">
        <v>1</v>
      </c>
      <c r="I338" s="1" t="s">
        <v>2</v>
      </c>
      <c r="J338" s="7"/>
      <c r="K338" s="15" t="s">
        <v>363</v>
      </c>
      <c r="L338" t="s">
        <v>364</v>
      </c>
      <c r="M338" t="s">
        <v>15</v>
      </c>
      <c r="N338" t="str">
        <f t="shared" si="49"/>
        <v>https://api.bcb.gov.br/dados/serie/bcdata.sgs.27716/dados?formato=json</v>
      </c>
      <c r="O338">
        <v>6</v>
      </c>
      <c r="P338" t="s">
        <v>19</v>
      </c>
      <c r="Q338" t="s">
        <v>19</v>
      </c>
      <c r="R338" t="s">
        <v>913</v>
      </c>
      <c r="S338" t="s">
        <v>621</v>
      </c>
      <c r="T338" t="e">
        <f t="shared" si="53"/>
        <v>#VALUE!</v>
      </c>
      <c r="U338">
        <f t="shared" si="54"/>
        <v>18</v>
      </c>
    </row>
    <row r="339" spans="1:21" x14ac:dyDescent="0.25">
      <c r="A339" s="8"/>
      <c r="B339" s="8">
        <v>27717</v>
      </c>
      <c r="C339" s="9" t="s">
        <v>391</v>
      </c>
      <c r="D339" s="1" t="s">
        <v>358</v>
      </c>
      <c r="E339" s="10" t="s">
        <v>0</v>
      </c>
      <c r="F339" s="11">
        <v>41275</v>
      </c>
      <c r="G339" s="12">
        <v>45597</v>
      </c>
      <c r="H339" s="13" t="s">
        <v>1</v>
      </c>
      <c r="I339" s="8" t="s">
        <v>2</v>
      </c>
      <c r="J339" s="14"/>
      <c r="K339" s="15" t="s">
        <v>363</v>
      </c>
      <c r="L339" t="s">
        <v>364</v>
      </c>
      <c r="M339" t="s">
        <v>15</v>
      </c>
      <c r="N339" t="str">
        <f t="shared" si="49"/>
        <v>https://api.bcb.gov.br/dados/serie/bcdata.sgs.27717/dados?formato=json</v>
      </c>
      <c r="O339">
        <v>6</v>
      </c>
      <c r="P339" t="s">
        <v>19</v>
      </c>
      <c r="Q339" t="s">
        <v>19</v>
      </c>
      <c r="R339" t="s">
        <v>976</v>
      </c>
      <c r="S339" t="s">
        <v>621</v>
      </c>
      <c r="T339" t="e">
        <f t="shared" si="53"/>
        <v>#VALUE!</v>
      </c>
      <c r="U339">
        <f t="shared" si="54"/>
        <v>18</v>
      </c>
    </row>
    <row r="340" spans="1:21" x14ac:dyDescent="0.25">
      <c r="A340" s="1"/>
      <c r="B340" s="1">
        <v>27718</v>
      </c>
      <c r="C340" s="2" t="s">
        <v>392</v>
      </c>
      <c r="D340" s="1" t="s">
        <v>358</v>
      </c>
      <c r="E340" s="3" t="s">
        <v>0</v>
      </c>
      <c r="F340" s="4">
        <v>41275</v>
      </c>
      <c r="G340" s="5">
        <v>45597</v>
      </c>
      <c r="H340" s="6" t="s">
        <v>1</v>
      </c>
      <c r="I340" s="1" t="s">
        <v>2</v>
      </c>
      <c r="J340" s="7"/>
      <c r="K340" s="15" t="s">
        <v>363</v>
      </c>
      <c r="L340" t="s">
        <v>364</v>
      </c>
      <c r="M340" t="s">
        <v>15</v>
      </c>
      <c r="N340" t="str">
        <f t="shared" si="49"/>
        <v>https://api.bcb.gov.br/dados/serie/bcdata.sgs.27718/dados?formato=json</v>
      </c>
      <c r="O340">
        <v>6</v>
      </c>
      <c r="P340" t="s">
        <v>19</v>
      </c>
      <c r="Q340" t="s">
        <v>19</v>
      </c>
      <c r="R340" t="s">
        <v>977</v>
      </c>
      <c r="S340" t="s">
        <v>621</v>
      </c>
      <c r="T340" t="e">
        <f t="shared" si="53"/>
        <v>#VALUE!</v>
      </c>
      <c r="U340">
        <f t="shared" si="54"/>
        <v>18</v>
      </c>
    </row>
    <row r="341" spans="1:21" x14ac:dyDescent="0.25">
      <c r="A341" s="1"/>
      <c r="B341" s="1">
        <v>27443</v>
      </c>
      <c r="C341" s="2" t="s">
        <v>118</v>
      </c>
      <c r="D341" s="1" t="s">
        <v>365</v>
      </c>
      <c r="E341" s="3" t="s">
        <v>0</v>
      </c>
      <c r="F341" s="4">
        <v>41275</v>
      </c>
      <c r="G341" s="5">
        <v>45597</v>
      </c>
      <c r="H341" s="6" t="s">
        <v>1</v>
      </c>
      <c r="I341" s="1" t="s">
        <v>2</v>
      </c>
      <c r="J341" s="7"/>
      <c r="K341" s="15" t="s">
        <v>366</v>
      </c>
      <c r="L341" t="s">
        <v>459</v>
      </c>
      <c r="M341" t="s">
        <v>15</v>
      </c>
      <c r="N341" t="str">
        <f t="shared" ref="N341:N346" si="55">_xlfn.CONCAT("https://api.bcb.gov.br/dados/serie/bcdata.sgs.",B341,"/dados?formato=json")</f>
        <v>https://api.bcb.gov.br/dados/serie/bcdata.sgs.27443/dados?formato=json</v>
      </c>
      <c r="O341">
        <v>6</v>
      </c>
      <c r="P341" t="s">
        <v>19</v>
      </c>
      <c r="Q341" t="s">
        <v>19</v>
      </c>
      <c r="R341" t="s">
        <v>118</v>
      </c>
      <c r="S341" t="s">
        <v>118</v>
      </c>
    </row>
    <row r="342" spans="1:21" x14ac:dyDescent="0.25">
      <c r="A342" s="8"/>
      <c r="B342" s="8">
        <v>27695</v>
      </c>
      <c r="C342" s="9" t="s">
        <v>371</v>
      </c>
      <c r="D342" s="8" t="s">
        <v>365</v>
      </c>
      <c r="E342" s="10" t="s">
        <v>0</v>
      </c>
      <c r="F342" s="11">
        <v>41275</v>
      </c>
      <c r="G342" s="12">
        <v>45597</v>
      </c>
      <c r="H342" s="13" t="s">
        <v>1</v>
      </c>
      <c r="I342" s="8" t="s">
        <v>2</v>
      </c>
      <c r="J342" s="14"/>
      <c r="K342" s="15" t="s">
        <v>366</v>
      </c>
      <c r="L342" t="s">
        <v>459</v>
      </c>
      <c r="M342" t="s">
        <v>15</v>
      </c>
      <c r="N342" t="str">
        <f t="shared" si="55"/>
        <v>https://api.bcb.gov.br/dados/serie/bcdata.sgs.27695/dados?formato=json</v>
      </c>
      <c r="O342">
        <v>6</v>
      </c>
      <c r="P342" t="s">
        <v>19</v>
      </c>
      <c r="Q342" t="s">
        <v>19</v>
      </c>
      <c r="R342" t="s">
        <v>970</v>
      </c>
      <c r="S342" t="s">
        <v>118</v>
      </c>
    </row>
    <row r="343" spans="1:21" x14ac:dyDescent="0.25">
      <c r="A343" s="1"/>
      <c r="B343" s="1">
        <v>27444</v>
      </c>
      <c r="C343" s="2" t="s">
        <v>119</v>
      </c>
      <c r="D343" s="1" t="s">
        <v>365</v>
      </c>
      <c r="E343" s="3" t="s">
        <v>0</v>
      </c>
      <c r="F343" s="4">
        <v>41275</v>
      </c>
      <c r="G343" s="5">
        <v>45597</v>
      </c>
      <c r="H343" s="6" t="s">
        <v>1</v>
      </c>
      <c r="I343" s="1" t="s">
        <v>2</v>
      </c>
      <c r="J343" s="7"/>
      <c r="K343" s="15" t="s">
        <v>366</v>
      </c>
      <c r="L343" t="s">
        <v>459</v>
      </c>
      <c r="M343" t="s">
        <v>15</v>
      </c>
      <c r="N343" t="str">
        <f t="shared" si="55"/>
        <v>https://api.bcb.gov.br/dados/serie/bcdata.sgs.27444/dados?formato=json</v>
      </c>
      <c r="O343">
        <v>6</v>
      </c>
      <c r="P343" t="s">
        <v>19</v>
      </c>
      <c r="Q343" t="s">
        <v>19</v>
      </c>
      <c r="R343" t="s">
        <v>118</v>
      </c>
      <c r="S343" t="s">
        <v>622</v>
      </c>
    </row>
    <row r="344" spans="1:21" x14ac:dyDescent="0.25">
      <c r="A344" s="8"/>
      <c r="B344" s="8">
        <v>27696</v>
      </c>
      <c r="C344" s="9" t="s">
        <v>372</v>
      </c>
      <c r="D344" s="8" t="s">
        <v>365</v>
      </c>
      <c r="E344" s="10" t="s">
        <v>0</v>
      </c>
      <c r="F344" s="11">
        <v>41275</v>
      </c>
      <c r="G344" s="12">
        <v>45597</v>
      </c>
      <c r="H344" s="13" t="s">
        <v>1</v>
      </c>
      <c r="I344" s="8" t="s">
        <v>2</v>
      </c>
      <c r="J344" s="14"/>
      <c r="K344" s="15" t="s">
        <v>366</v>
      </c>
      <c r="L344" t="s">
        <v>459</v>
      </c>
      <c r="M344" t="s">
        <v>15</v>
      </c>
      <c r="N344" t="str">
        <f t="shared" si="55"/>
        <v>https://api.bcb.gov.br/dados/serie/bcdata.sgs.27696/dados?formato=json</v>
      </c>
      <c r="O344">
        <v>6</v>
      </c>
      <c r="P344" t="s">
        <v>19</v>
      </c>
      <c r="Q344" t="s">
        <v>19</v>
      </c>
      <c r="R344" t="s">
        <v>970</v>
      </c>
      <c r="S344" t="s">
        <v>622</v>
      </c>
    </row>
    <row r="345" spans="1:21" x14ac:dyDescent="0.25">
      <c r="A345" s="1"/>
      <c r="B345" s="1">
        <v>27445</v>
      </c>
      <c r="C345" s="2" t="s">
        <v>120</v>
      </c>
      <c r="D345" s="1" t="s">
        <v>365</v>
      </c>
      <c r="E345" s="3" t="s">
        <v>0</v>
      </c>
      <c r="F345" s="4">
        <v>41275</v>
      </c>
      <c r="G345" s="5">
        <v>45597</v>
      </c>
      <c r="H345" s="6" t="s">
        <v>1</v>
      </c>
      <c r="I345" s="1" t="s">
        <v>2</v>
      </c>
      <c r="J345" s="7"/>
      <c r="K345" s="15" t="s">
        <v>366</v>
      </c>
      <c r="L345" t="s">
        <v>459</v>
      </c>
      <c r="M345" t="s">
        <v>15</v>
      </c>
      <c r="N345" t="str">
        <f t="shared" si="55"/>
        <v>https://api.bcb.gov.br/dados/serie/bcdata.sgs.27445/dados?formato=json</v>
      </c>
      <c r="O345">
        <v>6</v>
      </c>
      <c r="P345" t="s">
        <v>19</v>
      </c>
      <c r="Q345" t="s">
        <v>19</v>
      </c>
      <c r="R345" t="s">
        <v>118</v>
      </c>
      <c r="S345" t="s">
        <v>621</v>
      </c>
    </row>
    <row r="346" spans="1:21" x14ac:dyDescent="0.25">
      <c r="A346" s="8"/>
      <c r="B346" s="8">
        <v>27697</v>
      </c>
      <c r="C346" s="9" t="s">
        <v>373</v>
      </c>
      <c r="D346" s="8" t="s">
        <v>365</v>
      </c>
      <c r="E346" s="10" t="s">
        <v>0</v>
      </c>
      <c r="F346" s="11">
        <v>41275</v>
      </c>
      <c r="G346" s="12">
        <v>45597</v>
      </c>
      <c r="H346" s="13" t="s">
        <v>1</v>
      </c>
      <c r="I346" s="8" t="s">
        <v>2</v>
      </c>
      <c r="J346" s="14"/>
      <c r="K346" s="15" t="s">
        <v>366</v>
      </c>
      <c r="L346" t="s">
        <v>459</v>
      </c>
      <c r="M346" t="s">
        <v>15</v>
      </c>
      <c r="N346" t="str">
        <f t="shared" si="55"/>
        <v>https://api.bcb.gov.br/dados/serie/bcdata.sgs.27697/dados?formato=json</v>
      </c>
      <c r="O346">
        <v>6</v>
      </c>
      <c r="P346" t="s">
        <v>19</v>
      </c>
      <c r="Q346" t="s">
        <v>19</v>
      </c>
      <c r="R346" t="s">
        <v>970</v>
      </c>
      <c r="S346" t="s">
        <v>621</v>
      </c>
    </row>
    <row r="347" spans="1:21" x14ac:dyDescent="0.25">
      <c r="A347" s="1"/>
      <c r="B347" s="1">
        <v>27446</v>
      </c>
      <c r="C347" s="2" t="s">
        <v>368</v>
      </c>
      <c r="D347" s="1" t="s">
        <v>365</v>
      </c>
      <c r="E347" s="3" t="s">
        <v>0</v>
      </c>
      <c r="F347" s="4">
        <v>41275</v>
      </c>
      <c r="G347" s="5">
        <v>45597</v>
      </c>
      <c r="H347" s="6" t="s">
        <v>1</v>
      </c>
      <c r="I347" s="1" t="s">
        <v>2</v>
      </c>
      <c r="J347" s="7"/>
      <c r="K347" s="15" t="s">
        <v>367</v>
      </c>
      <c r="L347" t="s">
        <v>460</v>
      </c>
      <c r="M347" t="s">
        <v>15</v>
      </c>
      <c r="N347" t="str">
        <f t="shared" ref="N347:N352" si="56">_xlfn.CONCAT("https://api.bcb.gov.br/dados/serie/bcdata.sgs.",B347,"/dados?formato=json")</f>
        <v>https://api.bcb.gov.br/dados/serie/bcdata.sgs.27446/dados?formato=json</v>
      </c>
      <c r="O347">
        <v>6</v>
      </c>
      <c r="P347" t="s">
        <v>19</v>
      </c>
      <c r="Q347" t="s">
        <v>19</v>
      </c>
      <c r="R347" t="s">
        <v>118</v>
      </c>
      <c r="S347" t="s">
        <v>118</v>
      </c>
    </row>
    <row r="348" spans="1:21" x14ac:dyDescent="0.25">
      <c r="A348" s="8"/>
      <c r="B348" s="8">
        <v>27447</v>
      </c>
      <c r="C348" s="9" t="s">
        <v>369</v>
      </c>
      <c r="D348" s="8" t="s">
        <v>365</v>
      </c>
      <c r="E348" s="10" t="s">
        <v>0</v>
      </c>
      <c r="F348" s="11">
        <v>41275</v>
      </c>
      <c r="G348" s="12">
        <v>45597</v>
      </c>
      <c r="H348" s="13" t="s">
        <v>1</v>
      </c>
      <c r="I348" s="8" t="s">
        <v>2</v>
      </c>
      <c r="J348" s="14"/>
      <c r="K348" s="15" t="s">
        <v>367</v>
      </c>
      <c r="L348" t="s">
        <v>460</v>
      </c>
      <c r="M348" t="s">
        <v>15</v>
      </c>
      <c r="N348" t="str">
        <f t="shared" si="56"/>
        <v>https://api.bcb.gov.br/dados/serie/bcdata.sgs.27447/dados?formato=json</v>
      </c>
      <c r="O348">
        <v>6</v>
      </c>
      <c r="P348" t="s">
        <v>19</v>
      </c>
      <c r="Q348" t="s">
        <v>19</v>
      </c>
      <c r="R348" t="s">
        <v>118</v>
      </c>
      <c r="S348" t="s">
        <v>622</v>
      </c>
    </row>
    <row r="349" spans="1:21" x14ac:dyDescent="0.25">
      <c r="A349" s="1"/>
      <c r="B349" s="1">
        <v>27448</v>
      </c>
      <c r="C349" s="2" t="s">
        <v>370</v>
      </c>
      <c r="D349" s="1" t="s">
        <v>365</v>
      </c>
      <c r="E349" s="3" t="s">
        <v>0</v>
      </c>
      <c r="F349" s="4">
        <v>41275</v>
      </c>
      <c r="G349" s="5">
        <v>45597</v>
      </c>
      <c r="H349" s="6" t="s">
        <v>1</v>
      </c>
      <c r="I349" s="1" t="s">
        <v>2</v>
      </c>
      <c r="J349" s="7"/>
      <c r="K349" s="15" t="s">
        <v>367</v>
      </c>
      <c r="L349" t="s">
        <v>460</v>
      </c>
      <c r="M349" t="s">
        <v>15</v>
      </c>
      <c r="N349" t="str">
        <f t="shared" si="56"/>
        <v>https://api.bcb.gov.br/dados/serie/bcdata.sgs.27448/dados?formato=json</v>
      </c>
      <c r="O349">
        <v>6</v>
      </c>
      <c r="P349" t="s">
        <v>19</v>
      </c>
      <c r="Q349" t="s">
        <v>19</v>
      </c>
      <c r="R349" t="s">
        <v>118</v>
      </c>
      <c r="S349" t="s">
        <v>621</v>
      </c>
    </row>
    <row r="350" spans="1:21" x14ac:dyDescent="0.25">
      <c r="A350" s="8"/>
      <c r="B350" s="8">
        <v>27698</v>
      </c>
      <c r="C350" s="9" t="s">
        <v>374</v>
      </c>
      <c r="D350" s="8" t="s">
        <v>365</v>
      </c>
      <c r="E350" s="10" t="s">
        <v>0</v>
      </c>
      <c r="F350" s="11">
        <v>41275</v>
      </c>
      <c r="G350" s="12">
        <v>45597</v>
      </c>
      <c r="H350" s="13" t="s">
        <v>1</v>
      </c>
      <c r="I350" s="8" t="s">
        <v>2</v>
      </c>
      <c r="J350" s="14"/>
      <c r="K350" s="15" t="s">
        <v>367</v>
      </c>
      <c r="L350" t="s">
        <v>460</v>
      </c>
      <c r="M350" t="s">
        <v>15</v>
      </c>
      <c r="N350" t="str">
        <f t="shared" si="56"/>
        <v>https://api.bcb.gov.br/dados/serie/bcdata.sgs.27698/dados?formato=json</v>
      </c>
      <c r="O350">
        <v>6</v>
      </c>
      <c r="P350" t="s">
        <v>19</v>
      </c>
      <c r="Q350" t="s">
        <v>19</v>
      </c>
      <c r="R350" t="s">
        <v>970</v>
      </c>
      <c r="S350" t="s">
        <v>118</v>
      </c>
    </row>
    <row r="351" spans="1:21" x14ac:dyDescent="0.25">
      <c r="A351" s="1"/>
      <c r="B351" s="1">
        <v>27700</v>
      </c>
      <c r="C351" s="2" t="s">
        <v>375</v>
      </c>
      <c r="D351" s="1" t="s">
        <v>365</v>
      </c>
      <c r="E351" s="3" t="s">
        <v>0</v>
      </c>
      <c r="F351" s="4">
        <v>41275</v>
      </c>
      <c r="G351" s="5">
        <v>45597</v>
      </c>
      <c r="H351" s="6" t="s">
        <v>1</v>
      </c>
      <c r="I351" s="1" t="s">
        <v>2</v>
      </c>
      <c r="J351" s="7"/>
      <c r="K351" s="15" t="s">
        <v>367</v>
      </c>
      <c r="L351" t="s">
        <v>460</v>
      </c>
      <c r="M351" t="s">
        <v>15</v>
      </c>
      <c r="N351" t="str">
        <f t="shared" si="56"/>
        <v>https://api.bcb.gov.br/dados/serie/bcdata.sgs.27700/dados?formato=json</v>
      </c>
      <c r="O351">
        <v>6</v>
      </c>
      <c r="P351" t="s">
        <v>19</v>
      </c>
      <c r="Q351" t="s">
        <v>19</v>
      </c>
      <c r="R351" t="s">
        <v>970</v>
      </c>
      <c r="S351" t="s">
        <v>621</v>
      </c>
    </row>
    <row r="352" spans="1:21" x14ac:dyDescent="0.25">
      <c r="A352" s="8"/>
      <c r="B352" s="8">
        <v>27699</v>
      </c>
      <c r="C352" s="9" t="s">
        <v>376</v>
      </c>
      <c r="D352" s="8" t="s">
        <v>365</v>
      </c>
      <c r="E352" s="10" t="s">
        <v>0</v>
      </c>
      <c r="F352" s="11">
        <v>41275</v>
      </c>
      <c r="G352" s="12">
        <v>45597</v>
      </c>
      <c r="H352" s="13" t="s">
        <v>1</v>
      </c>
      <c r="I352" s="8" t="s">
        <v>2</v>
      </c>
      <c r="J352" s="14"/>
      <c r="K352" s="15" t="s">
        <v>367</v>
      </c>
      <c r="L352" t="s">
        <v>460</v>
      </c>
      <c r="M352" t="s">
        <v>15</v>
      </c>
      <c r="N352" t="str">
        <f t="shared" si="56"/>
        <v>https://api.bcb.gov.br/dados/serie/bcdata.sgs.27699/dados?formato=json</v>
      </c>
      <c r="O352">
        <v>6</v>
      </c>
      <c r="P352" t="s">
        <v>19</v>
      </c>
      <c r="Q352" t="s">
        <v>19</v>
      </c>
      <c r="R352" t="s">
        <v>970</v>
      </c>
      <c r="S352" t="s">
        <v>622</v>
      </c>
    </row>
    <row r="353" spans="1:21" x14ac:dyDescent="0.25">
      <c r="A353" s="1"/>
      <c r="B353" s="1">
        <v>27449</v>
      </c>
      <c r="C353" s="2" t="s">
        <v>387</v>
      </c>
      <c r="D353" s="1" t="s">
        <v>365</v>
      </c>
      <c r="E353" s="3" t="s">
        <v>0</v>
      </c>
      <c r="F353" s="4">
        <v>41275</v>
      </c>
      <c r="G353" s="5">
        <v>45597</v>
      </c>
      <c r="H353" s="6" t="s">
        <v>1</v>
      </c>
      <c r="I353" s="1" t="s">
        <v>2</v>
      </c>
      <c r="J353" s="7"/>
      <c r="K353" s="15" t="s">
        <v>402</v>
      </c>
      <c r="L353" t="s">
        <v>461</v>
      </c>
      <c r="M353" t="s">
        <v>15</v>
      </c>
      <c r="N353" t="str">
        <f t="shared" ref="N353:N355" si="57">_xlfn.CONCAT("https://api.bcb.gov.br/dados/serie/bcdata.sgs.",B353,"/dados?formato=json")</f>
        <v>https://api.bcb.gov.br/dados/serie/bcdata.sgs.27449/dados?formato=json</v>
      </c>
      <c r="O353">
        <v>6</v>
      </c>
      <c r="P353" t="s">
        <v>19</v>
      </c>
      <c r="Q353" t="s">
        <v>19</v>
      </c>
      <c r="R353" t="s">
        <v>118</v>
      </c>
      <c r="S353" t="s">
        <v>118</v>
      </c>
    </row>
    <row r="354" spans="1:21" x14ac:dyDescent="0.25">
      <c r="A354" s="8"/>
      <c r="B354" s="8">
        <v>27450</v>
      </c>
      <c r="C354" s="9" t="s">
        <v>388</v>
      </c>
      <c r="D354" s="8" t="s">
        <v>365</v>
      </c>
      <c r="E354" s="10" t="s">
        <v>0</v>
      </c>
      <c r="F354" s="11">
        <v>41275</v>
      </c>
      <c r="G354" s="12">
        <v>45597</v>
      </c>
      <c r="H354" s="13" t="s">
        <v>1</v>
      </c>
      <c r="I354" s="8" t="s">
        <v>2</v>
      </c>
      <c r="J354" s="14"/>
      <c r="K354" s="15" t="s">
        <v>402</v>
      </c>
      <c r="L354" t="s">
        <v>461</v>
      </c>
      <c r="M354" t="s">
        <v>15</v>
      </c>
      <c r="N354" t="str">
        <f t="shared" si="57"/>
        <v>https://api.bcb.gov.br/dados/serie/bcdata.sgs.27450/dados?formato=json</v>
      </c>
      <c r="O354">
        <v>6</v>
      </c>
      <c r="P354" t="s">
        <v>19</v>
      </c>
      <c r="Q354" t="s">
        <v>19</v>
      </c>
      <c r="R354" t="s">
        <v>118</v>
      </c>
      <c r="S354" t="s">
        <v>622</v>
      </c>
    </row>
    <row r="355" spans="1:21" x14ac:dyDescent="0.25">
      <c r="A355" s="1"/>
      <c r="B355" s="1">
        <v>27451</v>
      </c>
      <c r="C355" s="2" t="s">
        <v>390</v>
      </c>
      <c r="D355" s="1" t="s">
        <v>365</v>
      </c>
      <c r="E355" s="3" t="s">
        <v>0</v>
      </c>
      <c r="F355" s="4">
        <v>41275</v>
      </c>
      <c r="G355" s="5">
        <v>45597</v>
      </c>
      <c r="H355" s="6" t="s">
        <v>1</v>
      </c>
      <c r="I355" s="1" t="s">
        <v>2</v>
      </c>
      <c r="J355" s="7"/>
      <c r="K355" s="15" t="s">
        <v>402</v>
      </c>
      <c r="L355" t="s">
        <v>461</v>
      </c>
      <c r="M355" t="s">
        <v>15</v>
      </c>
      <c r="N355" t="str">
        <f t="shared" si="57"/>
        <v>https://api.bcb.gov.br/dados/serie/bcdata.sgs.27451/dados?formato=json</v>
      </c>
      <c r="O355">
        <v>6</v>
      </c>
      <c r="P355" t="s">
        <v>19</v>
      </c>
      <c r="Q355" t="s">
        <v>19</v>
      </c>
      <c r="R355" t="s">
        <v>118</v>
      </c>
      <c r="S355" t="s">
        <v>621</v>
      </c>
    </row>
    <row r="356" spans="1:21" x14ac:dyDescent="0.25">
      <c r="A356" s="1"/>
      <c r="B356" s="1">
        <v>20714</v>
      </c>
      <c r="C356" s="2" t="s">
        <v>118</v>
      </c>
      <c r="D356" s="1" t="s">
        <v>358</v>
      </c>
      <c r="E356" s="3" t="s">
        <v>0</v>
      </c>
      <c r="F356" s="4">
        <v>40603</v>
      </c>
      <c r="G356" s="5">
        <v>45597</v>
      </c>
      <c r="H356" s="6" t="s">
        <v>1</v>
      </c>
      <c r="I356" s="1" t="s">
        <v>2</v>
      </c>
      <c r="J356" s="7"/>
      <c r="K356" s="15" t="s">
        <v>978</v>
      </c>
      <c r="L356" t="s">
        <v>462</v>
      </c>
      <c r="M356" t="s">
        <v>15</v>
      </c>
      <c r="N356" t="str">
        <f t="shared" ref="N356:N361" si="58">_xlfn.CONCAT("https://api.bcb.gov.br/dados/serie/bcdata.sgs.",B356,"/dados?formato=json")</f>
        <v>https://api.bcb.gov.br/dados/serie/bcdata.sgs.20714/dados?formato=json</v>
      </c>
      <c r="O356">
        <v>6</v>
      </c>
      <c r="P356" t="s">
        <v>19</v>
      </c>
      <c r="Q356" t="s">
        <v>19</v>
      </c>
      <c r="R356" t="s">
        <v>118</v>
      </c>
      <c r="S356" t="s">
        <v>118</v>
      </c>
    </row>
    <row r="357" spans="1:21" x14ac:dyDescent="0.25">
      <c r="A357" s="8"/>
      <c r="B357" s="8">
        <v>27623</v>
      </c>
      <c r="C357" s="9" t="s">
        <v>371</v>
      </c>
      <c r="D357" s="1" t="s">
        <v>358</v>
      </c>
      <c r="E357" s="10" t="s">
        <v>0</v>
      </c>
      <c r="F357" s="11">
        <v>40603</v>
      </c>
      <c r="G357" s="12">
        <v>45597</v>
      </c>
      <c r="H357" s="13" t="s">
        <v>1</v>
      </c>
      <c r="I357" s="8" t="s">
        <v>2</v>
      </c>
      <c r="J357" s="14"/>
      <c r="K357" s="15" t="s">
        <v>978</v>
      </c>
      <c r="L357" t="s">
        <v>462</v>
      </c>
      <c r="M357" t="s">
        <v>15</v>
      </c>
      <c r="N357" t="str">
        <f t="shared" si="58"/>
        <v>https://api.bcb.gov.br/dados/serie/bcdata.sgs.27623/dados?formato=json</v>
      </c>
      <c r="O357">
        <v>6</v>
      </c>
      <c r="P357" t="s">
        <v>19</v>
      </c>
      <c r="Q357" t="s">
        <v>19</v>
      </c>
      <c r="R357" t="s">
        <v>970</v>
      </c>
      <c r="S357" t="s">
        <v>118</v>
      </c>
    </row>
    <row r="358" spans="1:21" x14ac:dyDescent="0.25">
      <c r="A358" s="1"/>
      <c r="B358" s="1">
        <v>20715</v>
      </c>
      <c r="C358" s="2" t="s">
        <v>119</v>
      </c>
      <c r="D358" s="1" t="s">
        <v>358</v>
      </c>
      <c r="E358" s="3" t="s">
        <v>0</v>
      </c>
      <c r="F358" s="4">
        <v>40603</v>
      </c>
      <c r="G358" s="5">
        <v>45597</v>
      </c>
      <c r="H358" s="6" t="s">
        <v>1</v>
      </c>
      <c r="I358" s="1" t="s">
        <v>2</v>
      </c>
      <c r="J358" s="7"/>
      <c r="K358" s="15" t="s">
        <v>978</v>
      </c>
      <c r="L358" t="s">
        <v>462</v>
      </c>
      <c r="M358" t="s">
        <v>15</v>
      </c>
      <c r="N358" t="str">
        <f t="shared" si="58"/>
        <v>https://api.bcb.gov.br/dados/serie/bcdata.sgs.20715/dados?formato=json</v>
      </c>
      <c r="O358">
        <v>6</v>
      </c>
      <c r="P358" t="s">
        <v>19</v>
      </c>
      <c r="Q358" t="s">
        <v>19</v>
      </c>
      <c r="R358" t="s">
        <v>118</v>
      </c>
      <c r="S358" t="s">
        <v>622</v>
      </c>
    </row>
    <row r="359" spans="1:21" x14ac:dyDescent="0.25">
      <c r="A359" s="8"/>
      <c r="B359" s="8">
        <v>27624</v>
      </c>
      <c r="C359" s="9" t="s">
        <v>377</v>
      </c>
      <c r="D359" s="1" t="s">
        <v>358</v>
      </c>
      <c r="E359" s="10" t="s">
        <v>0</v>
      </c>
      <c r="F359" s="11">
        <v>40603</v>
      </c>
      <c r="G359" s="12">
        <v>45597</v>
      </c>
      <c r="H359" s="13" t="s">
        <v>1</v>
      </c>
      <c r="I359" s="8" t="s">
        <v>2</v>
      </c>
      <c r="J359" s="14"/>
      <c r="K359" s="15" t="s">
        <v>978</v>
      </c>
      <c r="L359" t="s">
        <v>462</v>
      </c>
      <c r="M359" t="s">
        <v>15</v>
      </c>
      <c r="N359" t="str">
        <f t="shared" si="58"/>
        <v>https://api.bcb.gov.br/dados/serie/bcdata.sgs.27624/dados?formato=json</v>
      </c>
      <c r="O359">
        <v>6</v>
      </c>
      <c r="P359" t="s">
        <v>19</v>
      </c>
      <c r="Q359" t="s">
        <v>19</v>
      </c>
      <c r="R359" t="s">
        <v>970</v>
      </c>
      <c r="S359" t="s">
        <v>622</v>
      </c>
    </row>
    <row r="360" spans="1:21" x14ac:dyDescent="0.25">
      <c r="A360" s="1"/>
      <c r="B360" s="1">
        <v>20716</v>
      </c>
      <c r="C360" s="2" t="s">
        <v>120</v>
      </c>
      <c r="D360" s="1" t="s">
        <v>358</v>
      </c>
      <c r="E360" s="3" t="s">
        <v>0</v>
      </c>
      <c r="F360" s="4">
        <v>40603</v>
      </c>
      <c r="G360" s="5">
        <v>45597</v>
      </c>
      <c r="H360" s="6" t="s">
        <v>1</v>
      </c>
      <c r="I360" s="1" t="s">
        <v>2</v>
      </c>
      <c r="J360" s="7"/>
      <c r="K360" s="15" t="s">
        <v>978</v>
      </c>
      <c r="L360" t="s">
        <v>462</v>
      </c>
      <c r="M360" t="s">
        <v>15</v>
      </c>
      <c r="N360" t="str">
        <f t="shared" si="58"/>
        <v>https://api.bcb.gov.br/dados/serie/bcdata.sgs.20716/dados?formato=json</v>
      </c>
      <c r="O360">
        <v>6</v>
      </c>
      <c r="P360" t="s">
        <v>19</v>
      </c>
      <c r="Q360" t="s">
        <v>19</v>
      </c>
      <c r="R360" t="s">
        <v>118</v>
      </c>
      <c r="S360" t="s">
        <v>621</v>
      </c>
    </row>
    <row r="361" spans="1:21" x14ac:dyDescent="0.25">
      <c r="A361" s="8"/>
      <c r="B361" s="8">
        <v>27625</v>
      </c>
      <c r="C361" s="9" t="s">
        <v>378</v>
      </c>
      <c r="D361" s="1" t="s">
        <v>358</v>
      </c>
      <c r="E361" s="10" t="s">
        <v>0</v>
      </c>
      <c r="F361" s="11">
        <v>40603</v>
      </c>
      <c r="G361" s="12">
        <v>45597</v>
      </c>
      <c r="H361" s="13" t="s">
        <v>1</v>
      </c>
      <c r="I361" s="8" t="s">
        <v>2</v>
      </c>
      <c r="J361" s="14"/>
      <c r="K361" s="15" t="s">
        <v>978</v>
      </c>
      <c r="L361" t="s">
        <v>462</v>
      </c>
      <c r="M361" t="s">
        <v>15</v>
      </c>
      <c r="N361" t="str">
        <f t="shared" si="58"/>
        <v>https://api.bcb.gov.br/dados/serie/bcdata.sgs.27625/dados?formato=json</v>
      </c>
      <c r="O361">
        <v>6</v>
      </c>
      <c r="P361" t="s">
        <v>19</v>
      </c>
      <c r="Q361" t="s">
        <v>19</v>
      </c>
      <c r="R361" t="s">
        <v>970</v>
      </c>
      <c r="S361" t="s">
        <v>621</v>
      </c>
    </row>
    <row r="362" spans="1:21" x14ac:dyDescent="0.25">
      <c r="A362" s="1"/>
      <c r="B362" s="1">
        <v>20717</v>
      </c>
      <c r="C362" s="2" t="s">
        <v>118</v>
      </c>
      <c r="D362" s="1" t="s">
        <v>358</v>
      </c>
      <c r="E362" s="3" t="s">
        <v>0</v>
      </c>
      <c r="F362" s="4">
        <v>40603</v>
      </c>
      <c r="G362" s="5">
        <v>45597</v>
      </c>
      <c r="H362" s="6" t="s">
        <v>1</v>
      </c>
      <c r="I362" s="1" t="s">
        <v>2</v>
      </c>
      <c r="J362" s="7"/>
      <c r="K362" s="15" t="s">
        <v>979</v>
      </c>
      <c r="L362" t="s">
        <v>463</v>
      </c>
      <c r="M362" t="s">
        <v>15</v>
      </c>
      <c r="N362" t="str">
        <f t="shared" ref="N362:N409" si="59">_xlfn.CONCAT("https://api.bcb.gov.br/dados/serie/bcdata.sgs.",B362,"/dados?formato=json")</f>
        <v>https://api.bcb.gov.br/dados/serie/bcdata.sgs.20717/dados?formato=json</v>
      </c>
      <c r="O362">
        <v>6</v>
      </c>
      <c r="P362" t="s">
        <v>19</v>
      </c>
      <c r="Q362" t="s">
        <v>19</v>
      </c>
      <c r="R362" t="s">
        <v>118</v>
      </c>
      <c r="S362" t="s">
        <v>118</v>
      </c>
    </row>
    <row r="363" spans="1:21" x14ac:dyDescent="0.25">
      <c r="A363" s="8"/>
      <c r="B363" s="8">
        <v>27626</v>
      </c>
      <c r="C363" s="9" t="s">
        <v>371</v>
      </c>
      <c r="D363" s="1" t="s">
        <v>358</v>
      </c>
      <c r="E363" s="10" t="s">
        <v>0</v>
      </c>
      <c r="F363" s="11">
        <v>40603</v>
      </c>
      <c r="G363" s="12">
        <v>45597</v>
      </c>
      <c r="H363" s="13" t="s">
        <v>1</v>
      </c>
      <c r="I363" s="8" t="s">
        <v>2</v>
      </c>
      <c r="J363" s="14"/>
      <c r="K363" s="15" t="s">
        <v>979</v>
      </c>
      <c r="L363" t="s">
        <v>463</v>
      </c>
      <c r="M363" t="s">
        <v>15</v>
      </c>
      <c r="N363" t="str">
        <f t="shared" si="59"/>
        <v>https://api.bcb.gov.br/dados/serie/bcdata.sgs.27626/dados?formato=json</v>
      </c>
      <c r="O363">
        <v>6</v>
      </c>
      <c r="P363" t="s">
        <v>19</v>
      </c>
      <c r="Q363" t="s">
        <v>19</v>
      </c>
      <c r="R363" t="s">
        <v>970</v>
      </c>
      <c r="S363" t="s">
        <v>118</v>
      </c>
    </row>
    <row r="364" spans="1:21" x14ac:dyDescent="0.25">
      <c r="A364" s="1"/>
      <c r="B364" s="1">
        <v>20718</v>
      </c>
      <c r="C364" s="2" t="s">
        <v>119</v>
      </c>
      <c r="D364" s="1" t="s">
        <v>358</v>
      </c>
      <c r="E364" s="3" t="s">
        <v>0</v>
      </c>
      <c r="F364" s="4">
        <v>40603</v>
      </c>
      <c r="G364" s="5">
        <v>45597</v>
      </c>
      <c r="H364" s="6" t="s">
        <v>1</v>
      </c>
      <c r="I364" s="1" t="s">
        <v>2</v>
      </c>
      <c r="J364" s="7"/>
      <c r="K364" s="15" t="s">
        <v>979</v>
      </c>
      <c r="L364" t="s">
        <v>463</v>
      </c>
      <c r="M364" t="s">
        <v>15</v>
      </c>
      <c r="N364" t="str">
        <f t="shared" si="59"/>
        <v>https://api.bcb.gov.br/dados/serie/bcdata.sgs.20718/dados?formato=json</v>
      </c>
      <c r="O364">
        <v>6</v>
      </c>
      <c r="P364" t="s">
        <v>19</v>
      </c>
      <c r="Q364" t="s">
        <v>19</v>
      </c>
      <c r="R364" t="s">
        <v>118</v>
      </c>
      <c r="S364" t="s">
        <v>622</v>
      </c>
    </row>
    <row r="365" spans="1:21" x14ac:dyDescent="0.25">
      <c r="A365" s="8"/>
      <c r="B365" s="8">
        <v>27627</v>
      </c>
      <c r="C365" s="9" t="s">
        <v>377</v>
      </c>
      <c r="D365" s="1" t="s">
        <v>358</v>
      </c>
      <c r="E365" s="10" t="s">
        <v>0</v>
      </c>
      <c r="F365" s="11">
        <v>40603</v>
      </c>
      <c r="G365" s="12">
        <v>45597</v>
      </c>
      <c r="H365" s="13" t="s">
        <v>1</v>
      </c>
      <c r="I365" s="8" t="s">
        <v>2</v>
      </c>
      <c r="J365" s="14"/>
      <c r="K365" s="15" t="s">
        <v>979</v>
      </c>
      <c r="L365" t="s">
        <v>463</v>
      </c>
      <c r="M365" t="s">
        <v>15</v>
      </c>
      <c r="N365" t="str">
        <f t="shared" si="59"/>
        <v>https://api.bcb.gov.br/dados/serie/bcdata.sgs.27627/dados?formato=json</v>
      </c>
      <c r="O365">
        <v>6</v>
      </c>
      <c r="P365" t="s">
        <v>19</v>
      </c>
      <c r="Q365" t="s">
        <v>19</v>
      </c>
      <c r="R365" t="s">
        <v>970</v>
      </c>
      <c r="S365" t="s">
        <v>622</v>
      </c>
    </row>
    <row r="366" spans="1:21" x14ac:dyDescent="0.25">
      <c r="A366" s="1"/>
      <c r="B366" s="1">
        <v>20719</v>
      </c>
      <c r="C366" s="2" t="s">
        <v>123</v>
      </c>
      <c r="D366" s="1" t="s">
        <v>358</v>
      </c>
      <c r="E366" s="3" t="s">
        <v>0</v>
      </c>
      <c r="F366" s="4">
        <v>34516</v>
      </c>
      <c r="G366" s="5">
        <v>45597</v>
      </c>
      <c r="H366" s="6" t="s">
        <v>1</v>
      </c>
      <c r="I366" s="1" t="s">
        <v>2</v>
      </c>
      <c r="J366" s="7"/>
      <c r="K366" s="15" t="s">
        <v>979</v>
      </c>
      <c r="L366" t="s">
        <v>463</v>
      </c>
      <c r="M366" t="s">
        <v>15</v>
      </c>
      <c r="N366" t="str">
        <f t="shared" si="59"/>
        <v>https://api.bcb.gov.br/dados/serie/bcdata.sgs.20719/dados?formato=json</v>
      </c>
      <c r="O366">
        <v>6</v>
      </c>
      <c r="P366" t="s">
        <v>19</v>
      </c>
      <c r="Q366" t="s">
        <v>19</v>
      </c>
      <c r="R366" t="s">
        <v>873</v>
      </c>
      <c r="S366" t="s">
        <v>622</v>
      </c>
      <c r="T366" t="e">
        <f t="shared" ref="T366" si="60">RIGHT(S366,LEN(S366)-U366)</f>
        <v>#VALUE!</v>
      </c>
      <c r="U366">
        <f t="shared" ref="U366:U389" si="61">LEN("Setor de serviços - ")</f>
        <v>20</v>
      </c>
    </row>
    <row r="367" spans="1:21" x14ac:dyDescent="0.25">
      <c r="A367" s="8"/>
      <c r="B367" s="8">
        <v>20720</v>
      </c>
      <c r="C367" s="9" t="s">
        <v>124</v>
      </c>
      <c r="D367" s="1" t="s">
        <v>358</v>
      </c>
      <c r="E367" s="10" t="s">
        <v>0</v>
      </c>
      <c r="F367" s="11">
        <v>40603</v>
      </c>
      <c r="G367" s="12">
        <v>45597</v>
      </c>
      <c r="H367" s="13" t="s">
        <v>1</v>
      </c>
      <c r="I367" s="8" t="s">
        <v>2</v>
      </c>
      <c r="J367" s="14"/>
      <c r="K367" s="15" t="s">
        <v>979</v>
      </c>
      <c r="L367" t="s">
        <v>463</v>
      </c>
      <c r="M367" t="s">
        <v>15</v>
      </c>
      <c r="N367" t="str">
        <f t="shared" si="59"/>
        <v>https://api.bcb.gov.br/dados/serie/bcdata.sgs.20720/dados?formato=json</v>
      </c>
      <c r="O367">
        <v>6</v>
      </c>
      <c r="P367" t="s">
        <v>19</v>
      </c>
      <c r="Q367" t="s">
        <v>19</v>
      </c>
      <c r="R367" t="s">
        <v>874</v>
      </c>
      <c r="S367" t="s">
        <v>622</v>
      </c>
      <c r="T367" t="e">
        <f t="shared" ref="T367:T385" si="62">RIGHT(S367,LEN(S367)-U367)</f>
        <v>#VALUE!</v>
      </c>
      <c r="U367">
        <f t="shared" si="61"/>
        <v>20</v>
      </c>
    </row>
    <row r="368" spans="1:21" x14ac:dyDescent="0.25">
      <c r="A368" s="1"/>
      <c r="B368" s="1">
        <v>20721</v>
      </c>
      <c r="C368" s="2" t="s">
        <v>125</v>
      </c>
      <c r="D368" s="1" t="s">
        <v>358</v>
      </c>
      <c r="E368" s="3" t="s">
        <v>0</v>
      </c>
      <c r="F368" s="4">
        <v>40603</v>
      </c>
      <c r="G368" s="5">
        <v>45597</v>
      </c>
      <c r="H368" s="6" t="s">
        <v>1</v>
      </c>
      <c r="I368" s="1" t="s">
        <v>2</v>
      </c>
      <c r="J368" s="7"/>
      <c r="K368" s="15" t="s">
        <v>979</v>
      </c>
      <c r="L368" t="s">
        <v>463</v>
      </c>
      <c r="M368" t="s">
        <v>15</v>
      </c>
      <c r="N368" t="str">
        <f t="shared" si="59"/>
        <v>https://api.bcb.gov.br/dados/serie/bcdata.sgs.20721/dados?formato=json</v>
      </c>
      <c r="O368">
        <v>6</v>
      </c>
      <c r="P368" t="s">
        <v>19</v>
      </c>
      <c r="Q368" t="s">
        <v>19</v>
      </c>
      <c r="R368" t="s">
        <v>875</v>
      </c>
      <c r="S368" t="s">
        <v>622</v>
      </c>
      <c r="T368" t="e">
        <f t="shared" si="62"/>
        <v>#VALUE!</v>
      </c>
      <c r="U368">
        <f t="shared" si="61"/>
        <v>20</v>
      </c>
    </row>
    <row r="369" spans="1:21" x14ac:dyDescent="0.25">
      <c r="A369" s="8"/>
      <c r="B369" s="8">
        <v>20722</v>
      </c>
      <c r="C369" s="9" t="s">
        <v>126</v>
      </c>
      <c r="D369" s="1" t="s">
        <v>358</v>
      </c>
      <c r="E369" s="10" t="s">
        <v>0</v>
      </c>
      <c r="F369" s="11">
        <v>40603</v>
      </c>
      <c r="G369" s="12">
        <v>45597</v>
      </c>
      <c r="H369" s="13" t="s">
        <v>1</v>
      </c>
      <c r="I369" s="8" t="s">
        <v>2</v>
      </c>
      <c r="J369" s="14"/>
      <c r="K369" s="15" t="s">
        <v>979</v>
      </c>
      <c r="L369" t="s">
        <v>463</v>
      </c>
      <c r="M369" t="s">
        <v>15</v>
      </c>
      <c r="N369" t="str">
        <f t="shared" si="59"/>
        <v>https://api.bcb.gov.br/dados/serie/bcdata.sgs.20722/dados?formato=json</v>
      </c>
      <c r="O369">
        <v>6</v>
      </c>
      <c r="P369" t="s">
        <v>19</v>
      </c>
      <c r="Q369" t="s">
        <v>19</v>
      </c>
      <c r="R369" t="s">
        <v>876</v>
      </c>
      <c r="S369" t="s">
        <v>622</v>
      </c>
      <c r="T369" t="e">
        <f t="shared" si="62"/>
        <v>#VALUE!</v>
      </c>
      <c r="U369">
        <f t="shared" si="61"/>
        <v>20</v>
      </c>
    </row>
    <row r="370" spans="1:21" x14ac:dyDescent="0.25">
      <c r="A370" s="1"/>
      <c r="B370" s="1">
        <v>20723</v>
      </c>
      <c r="C370" s="2" t="s">
        <v>127</v>
      </c>
      <c r="D370" s="1" t="s">
        <v>358</v>
      </c>
      <c r="E370" s="3" t="s">
        <v>0</v>
      </c>
      <c r="F370" s="4">
        <v>40603</v>
      </c>
      <c r="G370" s="5">
        <v>45597</v>
      </c>
      <c r="H370" s="6" t="s">
        <v>1</v>
      </c>
      <c r="I370" s="1" t="s">
        <v>2</v>
      </c>
      <c r="J370" s="7"/>
      <c r="K370" s="15" t="s">
        <v>979</v>
      </c>
      <c r="L370" t="s">
        <v>463</v>
      </c>
      <c r="M370" t="s">
        <v>15</v>
      </c>
      <c r="N370" t="str">
        <f t="shared" si="59"/>
        <v>https://api.bcb.gov.br/dados/serie/bcdata.sgs.20723/dados?formato=json</v>
      </c>
      <c r="O370">
        <v>6</v>
      </c>
      <c r="P370" t="s">
        <v>19</v>
      </c>
      <c r="Q370" t="s">
        <v>19</v>
      </c>
      <c r="R370" t="s">
        <v>877</v>
      </c>
      <c r="S370" t="s">
        <v>622</v>
      </c>
      <c r="T370" t="e">
        <f t="shared" si="62"/>
        <v>#VALUE!</v>
      </c>
      <c r="U370">
        <f t="shared" si="61"/>
        <v>20</v>
      </c>
    </row>
    <row r="371" spans="1:21" x14ac:dyDescent="0.25">
      <c r="A371" s="8"/>
      <c r="B371" s="8">
        <v>20724</v>
      </c>
      <c r="C371" s="9" t="s">
        <v>128</v>
      </c>
      <c r="D371" s="1" t="s">
        <v>358</v>
      </c>
      <c r="E371" s="10" t="s">
        <v>0</v>
      </c>
      <c r="F371" s="11">
        <v>40603</v>
      </c>
      <c r="G371" s="12">
        <v>45597</v>
      </c>
      <c r="H371" s="13" t="s">
        <v>1</v>
      </c>
      <c r="I371" s="8" t="s">
        <v>2</v>
      </c>
      <c r="J371" s="14"/>
      <c r="K371" s="15" t="s">
        <v>979</v>
      </c>
      <c r="L371" t="s">
        <v>463</v>
      </c>
      <c r="M371" t="s">
        <v>15</v>
      </c>
      <c r="N371" t="str">
        <f t="shared" si="59"/>
        <v>https://api.bcb.gov.br/dados/serie/bcdata.sgs.20724/dados?formato=json</v>
      </c>
      <c r="O371">
        <v>6</v>
      </c>
      <c r="P371" t="s">
        <v>19</v>
      </c>
      <c r="Q371" t="s">
        <v>19</v>
      </c>
      <c r="R371" t="s">
        <v>878</v>
      </c>
      <c r="S371" t="s">
        <v>622</v>
      </c>
      <c r="T371" t="e">
        <f t="shared" si="62"/>
        <v>#VALUE!</v>
      </c>
      <c r="U371">
        <f t="shared" si="61"/>
        <v>20</v>
      </c>
    </row>
    <row r="372" spans="1:21" x14ac:dyDescent="0.25">
      <c r="A372" s="1"/>
      <c r="B372" s="1">
        <v>20725</v>
      </c>
      <c r="C372" s="2" t="s">
        <v>129</v>
      </c>
      <c r="D372" s="1" t="s">
        <v>358</v>
      </c>
      <c r="E372" s="3" t="s">
        <v>0</v>
      </c>
      <c r="F372" s="4">
        <v>36678</v>
      </c>
      <c r="G372" s="5">
        <v>45597</v>
      </c>
      <c r="H372" s="6" t="s">
        <v>1</v>
      </c>
      <c r="I372" s="1" t="s">
        <v>2</v>
      </c>
      <c r="J372" s="7"/>
      <c r="K372" s="15" t="s">
        <v>979</v>
      </c>
      <c r="L372" t="s">
        <v>463</v>
      </c>
      <c r="M372" t="s">
        <v>15</v>
      </c>
      <c r="N372" t="str">
        <f t="shared" si="59"/>
        <v>https://api.bcb.gov.br/dados/serie/bcdata.sgs.20725/dados?formato=json</v>
      </c>
      <c r="O372">
        <v>6</v>
      </c>
      <c r="P372" t="s">
        <v>19</v>
      </c>
      <c r="Q372" t="s">
        <v>19</v>
      </c>
      <c r="R372" t="s">
        <v>879</v>
      </c>
      <c r="S372" t="s">
        <v>622</v>
      </c>
      <c r="T372" t="e">
        <f t="shared" si="62"/>
        <v>#VALUE!</v>
      </c>
      <c r="U372">
        <f t="shared" si="61"/>
        <v>20</v>
      </c>
    </row>
    <row r="373" spans="1:21" x14ac:dyDescent="0.25">
      <c r="A373" s="8"/>
      <c r="B373" s="8">
        <v>20726</v>
      </c>
      <c r="C373" s="9" t="s">
        <v>130</v>
      </c>
      <c r="D373" s="1" t="s">
        <v>358</v>
      </c>
      <c r="E373" s="10" t="s">
        <v>0</v>
      </c>
      <c r="F373" s="11">
        <v>40603</v>
      </c>
      <c r="G373" s="12">
        <v>45597</v>
      </c>
      <c r="H373" s="13" t="s">
        <v>1</v>
      </c>
      <c r="I373" s="8" t="s">
        <v>2</v>
      </c>
      <c r="J373" s="14"/>
      <c r="K373" s="15" t="s">
        <v>979</v>
      </c>
      <c r="L373" t="s">
        <v>463</v>
      </c>
      <c r="M373" t="s">
        <v>15</v>
      </c>
      <c r="N373" t="str">
        <f t="shared" si="59"/>
        <v>https://api.bcb.gov.br/dados/serie/bcdata.sgs.20726/dados?formato=json</v>
      </c>
      <c r="O373">
        <v>6</v>
      </c>
      <c r="P373" t="s">
        <v>19</v>
      </c>
      <c r="Q373" t="s">
        <v>19</v>
      </c>
      <c r="R373" t="s">
        <v>880</v>
      </c>
      <c r="S373" t="s">
        <v>622</v>
      </c>
      <c r="T373" t="e">
        <f t="shared" si="62"/>
        <v>#VALUE!</v>
      </c>
      <c r="U373">
        <f t="shared" si="61"/>
        <v>20</v>
      </c>
    </row>
    <row r="374" spans="1:21" x14ac:dyDescent="0.25">
      <c r="A374" s="1"/>
      <c r="B374" s="1">
        <v>20727</v>
      </c>
      <c r="C374" s="2" t="s">
        <v>131</v>
      </c>
      <c r="D374" s="1" t="s">
        <v>358</v>
      </c>
      <c r="E374" s="3" t="s">
        <v>0</v>
      </c>
      <c r="F374" s="4">
        <v>40603</v>
      </c>
      <c r="G374" s="5">
        <v>45597</v>
      </c>
      <c r="H374" s="6" t="s">
        <v>1</v>
      </c>
      <c r="I374" s="1" t="s">
        <v>2</v>
      </c>
      <c r="J374" s="7"/>
      <c r="K374" s="15" t="s">
        <v>979</v>
      </c>
      <c r="L374" t="s">
        <v>463</v>
      </c>
      <c r="M374" t="s">
        <v>15</v>
      </c>
      <c r="N374" t="str">
        <f t="shared" si="59"/>
        <v>https://api.bcb.gov.br/dados/serie/bcdata.sgs.20727/dados?formato=json</v>
      </c>
      <c r="O374">
        <v>6</v>
      </c>
      <c r="P374" t="s">
        <v>19</v>
      </c>
      <c r="Q374" t="s">
        <v>19</v>
      </c>
      <c r="R374" t="s">
        <v>881</v>
      </c>
      <c r="S374" t="s">
        <v>622</v>
      </c>
      <c r="T374" t="e">
        <f t="shared" si="62"/>
        <v>#VALUE!</v>
      </c>
      <c r="U374">
        <f t="shared" si="61"/>
        <v>20</v>
      </c>
    </row>
    <row r="375" spans="1:21" x14ac:dyDescent="0.25">
      <c r="A375" s="8"/>
      <c r="B375" s="8">
        <v>20728</v>
      </c>
      <c r="C375" s="9" t="s">
        <v>132</v>
      </c>
      <c r="D375" s="1" t="s">
        <v>358</v>
      </c>
      <c r="E375" s="10" t="s">
        <v>0</v>
      </c>
      <c r="F375" s="11">
        <v>40603</v>
      </c>
      <c r="G375" s="12">
        <v>45597</v>
      </c>
      <c r="H375" s="13" t="s">
        <v>1</v>
      </c>
      <c r="I375" s="8" t="s">
        <v>2</v>
      </c>
      <c r="J375" s="14"/>
      <c r="K375" s="15" t="s">
        <v>979</v>
      </c>
      <c r="L375" t="s">
        <v>463</v>
      </c>
      <c r="M375" t="s">
        <v>15</v>
      </c>
      <c r="N375" t="str">
        <f t="shared" si="59"/>
        <v>https://api.bcb.gov.br/dados/serie/bcdata.sgs.20728/dados?formato=json</v>
      </c>
      <c r="O375">
        <v>6</v>
      </c>
      <c r="P375" t="s">
        <v>19</v>
      </c>
      <c r="Q375" t="s">
        <v>19</v>
      </c>
      <c r="R375" t="s">
        <v>882</v>
      </c>
      <c r="S375" t="s">
        <v>622</v>
      </c>
      <c r="T375" t="e">
        <f t="shared" si="62"/>
        <v>#VALUE!</v>
      </c>
      <c r="U375">
        <f t="shared" si="61"/>
        <v>20</v>
      </c>
    </row>
    <row r="376" spans="1:21" x14ac:dyDescent="0.25">
      <c r="A376" s="1"/>
      <c r="B376" s="1">
        <v>20729</v>
      </c>
      <c r="C376" s="2" t="s">
        <v>133</v>
      </c>
      <c r="D376" s="1" t="s">
        <v>358</v>
      </c>
      <c r="E376" s="3" t="s">
        <v>0</v>
      </c>
      <c r="F376" s="4">
        <v>40603</v>
      </c>
      <c r="G376" s="5">
        <v>45597</v>
      </c>
      <c r="H376" s="6" t="s">
        <v>1</v>
      </c>
      <c r="I376" s="1" t="s">
        <v>2</v>
      </c>
      <c r="J376" s="7"/>
      <c r="K376" s="15" t="s">
        <v>979</v>
      </c>
      <c r="L376" t="s">
        <v>463</v>
      </c>
      <c r="M376" t="s">
        <v>15</v>
      </c>
      <c r="N376" t="str">
        <f t="shared" si="59"/>
        <v>https://api.bcb.gov.br/dados/serie/bcdata.sgs.20729/dados?formato=json</v>
      </c>
      <c r="O376">
        <v>6</v>
      </c>
      <c r="P376" t="s">
        <v>19</v>
      </c>
      <c r="Q376" t="s">
        <v>19</v>
      </c>
      <c r="R376" t="s">
        <v>883</v>
      </c>
      <c r="S376" t="s">
        <v>622</v>
      </c>
      <c r="T376" t="e">
        <f t="shared" si="62"/>
        <v>#VALUE!</v>
      </c>
      <c r="U376">
        <f t="shared" si="61"/>
        <v>20</v>
      </c>
    </row>
    <row r="377" spans="1:21" x14ac:dyDescent="0.25">
      <c r="A377" s="8"/>
      <c r="B377" s="8">
        <v>20730</v>
      </c>
      <c r="C377" s="9" t="s">
        <v>134</v>
      </c>
      <c r="D377" s="1" t="s">
        <v>358</v>
      </c>
      <c r="E377" s="10" t="s">
        <v>0</v>
      </c>
      <c r="F377" s="11">
        <v>40603</v>
      </c>
      <c r="G377" s="12">
        <v>45597</v>
      </c>
      <c r="H377" s="13" t="s">
        <v>1</v>
      </c>
      <c r="I377" s="8" t="s">
        <v>2</v>
      </c>
      <c r="J377" s="14"/>
      <c r="K377" s="15" t="s">
        <v>979</v>
      </c>
      <c r="L377" t="s">
        <v>463</v>
      </c>
      <c r="M377" t="s">
        <v>15</v>
      </c>
      <c r="N377" t="str">
        <f t="shared" si="59"/>
        <v>https://api.bcb.gov.br/dados/serie/bcdata.sgs.20730/dados?formato=json</v>
      </c>
      <c r="O377">
        <v>6</v>
      </c>
      <c r="P377" t="s">
        <v>19</v>
      </c>
      <c r="Q377" t="s">
        <v>19</v>
      </c>
      <c r="R377" t="s">
        <v>884</v>
      </c>
      <c r="S377" t="s">
        <v>622</v>
      </c>
      <c r="T377" t="e">
        <f t="shared" si="62"/>
        <v>#VALUE!</v>
      </c>
      <c r="U377">
        <f t="shared" si="61"/>
        <v>20</v>
      </c>
    </row>
    <row r="378" spans="1:21" x14ac:dyDescent="0.25">
      <c r="A378" s="1"/>
      <c r="B378" s="1">
        <v>20731</v>
      </c>
      <c r="C378" s="2" t="s">
        <v>135</v>
      </c>
      <c r="D378" s="1" t="s">
        <v>358</v>
      </c>
      <c r="E378" s="3" t="s">
        <v>0</v>
      </c>
      <c r="F378" s="4">
        <v>40603</v>
      </c>
      <c r="G378" s="5">
        <v>45597</v>
      </c>
      <c r="H378" s="6" t="s">
        <v>1</v>
      </c>
      <c r="I378" s="1" t="s">
        <v>2</v>
      </c>
      <c r="J378" s="7"/>
      <c r="K378" s="15" t="s">
        <v>979</v>
      </c>
      <c r="L378" t="s">
        <v>463</v>
      </c>
      <c r="M378" t="s">
        <v>15</v>
      </c>
      <c r="N378" t="str">
        <f t="shared" si="59"/>
        <v>https://api.bcb.gov.br/dados/serie/bcdata.sgs.20731/dados?formato=json</v>
      </c>
      <c r="O378">
        <v>6</v>
      </c>
      <c r="P378" t="s">
        <v>19</v>
      </c>
      <c r="Q378" t="s">
        <v>19</v>
      </c>
      <c r="R378" t="s">
        <v>885</v>
      </c>
      <c r="S378" t="s">
        <v>622</v>
      </c>
      <c r="T378" t="e">
        <f t="shared" si="62"/>
        <v>#VALUE!</v>
      </c>
      <c r="U378">
        <f t="shared" si="61"/>
        <v>20</v>
      </c>
    </row>
    <row r="379" spans="1:21" x14ac:dyDescent="0.25">
      <c r="A379" s="8"/>
      <c r="B379" s="8">
        <v>20732</v>
      </c>
      <c r="C379" s="9" t="s">
        <v>136</v>
      </c>
      <c r="D379" s="1" t="s">
        <v>358</v>
      </c>
      <c r="E379" s="10" t="s">
        <v>0</v>
      </c>
      <c r="F379" s="11">
        <v>40603</v>
      </c>
      <c r="G379" s="12">
        <v>45597</v>
      </c>
      <c r="H379" s="13" t="s">
        <v>1</v>
      </c>
      <c r="I379" s="8" t="s">
        <v>2</v>
      </c>
      <c r="J379" s="14"/>
      <c r="K379" s="15" t="s">
        <v>979</v>
      </c>
      <c r="L379" t="s">
        <v>463</v>
      </c>
      <c r="M379" t="s">
        <v>15</v>
      </c>
      <c r="N379" t="str">
        <f t="shared" si="59"/>
        <v>https://api.bcb.gov.br/dados/serie/bcdata.sgs.20732/dados?formato=json</v>
      </c>
      <c r="O379">
        <v>6</v>
      </c>
      <c r="P379" t="s">
        <v>19</v>
      </c>
      <c r="Q379" t="s">
        <v>19</v>
      </c>
      <c r="R379" t="s">
        <v>886</v>
      </c>
      <c r="S379" t="s">
        <v>622</v>
      </c>
      <c r="T379" t="e">
        <f t="shared" si="62"/>
        <v>#VALUE!</v>
      </c>
      <c r="U379">
        <f t="shared" si="61"/>
        <v>20</v>
      </c>
    </row>
    <row r="380" spans="1:21" x14ac:dyDescent="0.25">
      <c r="A380" s="1"/>
      <c r="B380" s="1">
        <v>20733</v>
      </c>
      <c r="C380" s="2" t="s">
        <v>137</v>
      </c>
      <c r="D380" s="1" t="s">
        <v>358</v>
      </c>
      <c r="E380" s="3" t="s">
        <v>0</v>
      </c>
      <c r="F380" s="4">
        <v>40603</v>
      </c>
      <c r="G380" s="5">
        <v>45597</v>
      </c>
      <c r="H380" s="6" t="s">
        <v>1</v>
      </c>
      <c r="I380" s="1" t="s">
        <v>2</v>
      </c>
      <c r="J380" s="7"/>
      <c r="K380" s="15" t="s">
        <v>979</v>
      </c>
      <c r="L380" t="s">
        <v>463</v>
      </c>
      <c r="M380" t="s">
        <v>15</v>
      </c>
      <c r="N380" t="str">
        <f t="shared" si="59"/>
        <v>https://api.bcb.gov.br/dados/serie/bcdata.sgs.20733/dados?formato=json</v>
      </c>
      <c r="O380">
        <v>6</v>
      </c>
      <c r="P380" t="s">
        <v>19</v>
      </c>
      <c r="Q380" t="s">
        <v>19</v>
      </c>
      <c r="R380" t="s">
        <v>887</v>
      </c>
      <c r="S380" t="s">
        <v>622</v>
      </c>
      <c r="T380" t="e">
        <f t="shared" si="62"/>
        <v>#VALUE!</v>
      </c>
      <c r="U380">
        <f t="shared" si="61"/>
        <v>20</v>
      </c>
    </row>
    <row r="381" spans="1:21" x14ac:dyDescent="0.25">
      <c r="A381" s="8"/>
      <c r="B381" s="8">
        <v>20734</v>
      </c>
      <c r="C381" s="9" t="s">
        <v>138</v>
      </c>
      <c r="D381" s="1" t="s">
        <v>358</v>
      </c>
      <c r="E381" s="10" t="s">
        <v>0</v>
      </c>
      <c r="F381" s="11">
        <v>36678</v>
      </c>
      <c r="G381" s="12">
        <v>45597</v>
      </c>
      <c r="H381" s="13" t="s">
        <v>1</v>
      </c>
      <c r="I381" s="8" t="s">
        <v>2</v>
      </c>
      <c r="J381" s="14"/>
      <c r="K381" s="15" t="s">
        <v>979</v>
      </c>
      <c r="L381" t="s">
        <v>463</v>
      </c>
      <c r="M381" t="s">
        <v>15</v>
      </c>
      <c r="N381" t="str">
        <f t="shared" si="59"/>
        <v>https://api.bcb.gov.br/dados/serie/bcdata.sgs.20734/dados?formato=json</v>
      </c>
      <c r="O381">
        <v>6</v>
      </c>
      <c r="P381" t="s">
        <v>19</v>
      </c>
      <c r="Q381" t="s">
        <v>19</v>
      </c>
      <c r="R381" t="s">
        <v>888</v>
      </c>
      <c r="S381" t="s">
        <v>622</v>
      </c>
      <c r="T381" t="e">
        <f t="shared" si="62"/>
        <v>#VALUE!</v>
      </c>
      <c r="U381">
        <f t="shared" si="61"/>
        <v>20</v>
      </c>
    </row>
    <row r="382" spans="1:21" x14ac:dyDescent="0.25">
      <c r="A382" s="1"/>
      <c r="B382" s="1">
        <v>20735</v>
      </c>
      <c r="C382" s="2" t="s">
        <v>139</v>
      </c>
      <c r="D382" s="1" t="s">
        <v>358</v>
      </c>
      <c r="E382" s="3" t="s">
        <v>0</v>
      </c>
      <c r="F382" s="4">
        <v>40603</v>
      </c>
      <c r="G382" s="5">
        <v>45597</v>
      </c>
      <c r="H382" s="6" t="s">
        <v>1</v>
      </c>
      <c r="I382" s="1" t="s">
        <v>2</v>
      </c>
      <c r="J382" s="7"/>
      <c r="K382" s="15" t="s">
        <v>979</v>
      </c>
      <c r="L382" t="s">
        <v>463</v>
      </c>
      <c r="M382" t="s">
        <v>15</v>
      </c>
      <c r="N382" t="str">
        <f t="shared" si="59"/>
        <v>https://api.bcb.gov.br/dados/serie/bcdata.sgs.20735/dados?formato=json</v>
      </c>
      <c r="O382">
        <v>6</v>
      </c>
      <c r="P382" t="s">
        <v>19</v>
      </c>
      <c r="Q382" t="s">
        <v>19</v>
      </c>
      <c r="R382" t="s">
        <v>889</v>
      </c>
      <c r="S382" t="s">
        <v>622</v>
      </c>
      <c r="T382" t="e">
        <f t="shared" si="62"/>
        <v>#VALUE!</v>
      </c>
      <c r="U382">
        <f t="shared" si="61"/>
        <v>20</v>
      </c>
    </row>
    <row r="383" spans="1:21" x14ac:dyDescent="0.25">
      <c r="A383" s="8"/>
      <c r="B383" s="8">
        <v>22019</v>
      </c>
      <c r="C383" s="9" t="s">
        <v>140</v>
      </c>
      <c r="D383" s="1" t="s">
        <v>358</v>
      </c>
      <c r="E383" s="10" t="s">
        <v>0</v>
      </c>
      <c r="F383" s="11">
        <v>40603</v>
      </c>
      <c r="G383" s="12">
        <v>45597</v>
      </c>
      <c r="H383" s="13" t="s">
        <v>1</v>
      </c>
      <c r="I383" s="8" t="s">
        <v>2</v>
      </c>
      <c r="J383" s="14"/>
      <c r="K383" s="15" t="s">
        <v>979</v>
      </c>
      <c r="L383" t="s">
        <v>463</v>
      </c>
      <c r="M383" t="s">
        <v>15</v>
      </c>
      <c r="N383" t="str">
        <f t="shared" si="59"/>
        <v>https://api.bcb.gov.br/dados/serie/bcdata.sgs.22019/dados?formato=json</v>
      </c>
      <c r="O383">
        <v>6</v>
      </c>
      <c r="P383" t="s">
        <v>19</v>
      </c>
      <c r="Q383" t="s">
        <v>19</v>
      </c>
      <c r="R383" t="s">
        <v>890</v>
      </c>
      <c r="S383" t="s">
        <v>622</v>
      </c>
      <c r="T383" t="e">
        <f t="shared" si="62"/>
        <v>#VALUE!</v>
      </c>
      <c r="U383">
        <f t="shared" si="61"/>
        <v>20</v>
      </c>
    </row>
    <row r="384" spans="1:21" x14ac:dyDescent="0.25">
      <c r="A384" s="1"/>
      <c r="B384" s="1">
        <v>22020</v>
      </c>
      <c r="C384" s="2" t="s">
        <v>141</v>
      </c>
      <c r="D384" s="1" t="s">
        <v>358</v>
      </c>
      <c r="E384" s="3" t="s">
        <v>0</v>
      </c>
      <c r="F384" s="4">
        <v>40603</v>
      </c>
      <c r="G384" s="5">
        <v>45597</v>
      </c>
      <c r="H384" s="6" t="s">
        <v>1</v>
      </c>
      <c r="I384" s="1" t="s">
        <v>2</v>
      </c>
      <c r="J384" s="7"/>
      <c r="K384" s="15" t="s">
        <v>979</v>
      </c>
      <c r="L384" t="s">
        <v>463</v>
      </c>
      <c r="M384" t="s">
        <v>15</v>
      </c>
      <c r="N384" t="str">
        <f t="shared" si="59"/>
        <v>https://api.bcb.gov.br/dados/serie/bcdata.sgs.22020/dados?formato=json</v>
      </c>
      <c r="O384">
        <v>6</v>
      </c>
      <c r="P384" t="s">
        <v>19</v>
      </c>
      <c r="Q384" t="s">
        <v>19</v>
      </c>
      <c r="R384" t="s">
        <v>891</v>
      </c>
      <c r="S384" t="s">
        <v>622</v>
      </c>
      <c r="T384" t="e">
        <f t="shared" si="62"/>
        <v>#VALUE!</v>
      </c>
      <c r="U384">
        <f t="shared" si="61"/>
        <v>20</v>
      </c>
    </row>
    <row r="385" spans="1:21" x14ac:dyDescent="0.25">
      <c r="A385" s="8"/>
      <c r="B385" s="8">
        <v>22021</v>
      </c>
      <c r="C385" s="9" t="s">
        <v>143</v>
      </c>
      <c r="D385" s="1" t="s">
        <v>358</v>
      </c>
      <c r="E385" s="10" t="s">
        <v>0</v>
      </c>
      <c r="F385" s="11">
        <v>40603</v>
      </c>
      <c r="G385" s="12">
        <v>45597</v>
      </c>
      <c r="H385" s="13" t="s">
        <v>1</v>
      </c>
      <c r="I385" s="8" t="s">
        <v>2</v>
      </c>
      <c r="J385" s="14"/>
      <c r="K385" s="15" t="s">
        <v>979</v>
      </c>
      <c r="L385" t="s">
        <v>463</v>
      </c>
      <c r="M385" t="s">
        <v>15</v>
      </c>
      <c r="N385" t="str">
        <f t="shared" si="59"/>
        <v>https://api.bcb.gov.br/dados/serie/bcdata.sgs.22021/dados?formato=json</v>
      </c>
      <c r="O385">
        <v>6</v>
      </c>
      <c r="P385" t="s">
        <v>19</v>
      </c>
      <c r="Q385" t="s">
        <v>19</v>
      </c>
      <c r="R385" t="s">
        <v>893</v>
      </c>
      <c r="S385" t="s">
        <v>622</v>
      </c>
      <c r="T385" t="e">
        <f t="shared" si="62"/>
        <v>#VALUE!</v>
      </c>
      <c r="U385">
        <f t="shared" si="61"/>
        <v>20</v>
      </c>
    </row>
    <row r="386" spans="1:21" x14ac:dyDescent="0.25">
      <c r="A386" s="1"/>
      <c r="B386" s="1">
        <v>20736</v>
      </c>
      <c r="C386" s="2" t="s">
        <v>144</v>
      </c>
      <c r="D386" s="1" t="s">
        <v>358</v>
      </c>
      <c r="E386" s="3" t="s">
        <v>0</v>
      </c>
      <c r="F386" s="4">
        <v>36678</v>
      </c>
      <c r="G386" s="5">
        <v>45597</v>
      </c>
      <c r="H386" s="6" t="s">
        <v>1</v>
      </c>
      <c r="I386" s="1" t="s">
        <v>2</v>
      </c>
      <c r="J386" s="7"/>
      <c r="K386" s="15" t="s">
        <v>979</v>
      </c>
      <c r="L386" t="s">
        <v>463</v>
      </c>
      <c r="M386" t="s">
        <v>15</v>
      </c>
      <c r="N386" t="str">
        <f t="shared" si="59"/>
        <v>https://api.bcb.gov.br/dados/serie/bcdata.sgs.20736/dados?formato=json</v>
      </c>
      <c r="O386">
        <v>6</v>
      </c>
      <c r="P386" t="s">
        <v>19</v>
      </c>
      <c r="Q386" t="s">
        <v>19</v>
      </c>
      <c r="R386" t="s">
        <v>894</v>
      </c>
      <c r="S386" t="s">
        <v>622</v>
      </c>
      <c r="T386" t="e">
        <f t="shared" ref="T386:T389" si="63">RIGHT(S386,LEN(S386)-U386)</f>
        <v>#VALUE!</v>
      </c>
      <c r="U386">
        <f t="shared" si="61"/>
        <v>20</v>
      </c>
    </row>
    <row r="387" spans="1:21" x14ac:dyDescent="0.25">
      <c r="A387" s="8"/>
      <c r="B387" s="8">
        <v>20737</v>
      </c>
      <c r="C387" s="9" t="s">
        <v>145</v>
      </c>
      <c r="D387" s="1" t="s">
        <v>358</v>
      </c>
      <c r="E387" s="10" t="s">
        <v>0</v>
      </c>
      <c r="F387" s="11">
        <v>40603</v>
      </c>
      <c r="G387" s="12">
        <v>45597</v>
      </c>
      <c r="H387" s="13" t="s">
        <v>1</v>
      </c>
      <c r="I387" s="8" t="s">
        <v>2</v>
      </c>
      <c r="J387" s="14"/>
      <c r="K387" s="15" t="s">
        <v>979</v>
      </c>
      <c r="L387" t="s">
        <v>463</v>
      </c>
      <c r="M387" t="s">
        <v>15</v>
      </c>
      <c r="N387" t="str">
        <f t="shared" si="59"/>
        <v>https://api.bcb.gov.br/dados/serie/bcdata.sgs.20737/dados?formato=json</v>
      </c>
      <c r="O387">
        <v>6</v>
      </c>
      <c r="P387" t="s">
        <v>19</v>
      </c>
      <c r="Q387" t="s">
        <v>19</v>
      </c>
      <c r="R387" t="s">
        <v>895</v>
      </c>
      <c r="S387" t="s">
        <v>622</v>
      </c>
      <c r="T387" t="e">
        <f t="shared" si="63"/>
        <v>#VALUE!</v>
      </c>
      <c r="U387">
        <f t="shared" si="61"/>
        <v>20</v>
      </c>
    </row>
    <row r="388" spans="1:21" x14ac:dyDescent="0.25">
      <c r="A388" s="1"/>
      <c r="B388" s="1">
        <v>20738</v>
      </c>
      <c r="C388" s="2" t="s">
        <v>146</v>
      </c>
      <c r="D388" s="1" t="s">
        <v>358</v>
      </c>
      <c r="E388" s="3" t="s">
        <v>0</v>
      </c>
      <c r="F388" s="4">
        <v>40603</v>
      </c>
      <c r="G388" s="5">
        <v>45597</v>
      </c>
      <c r="H388" s="6" t="s">
        <v>1</v>
      </c>
      <c r="I388" s="1" t="s">
        <v>2</v>
      </c>
      <c r="J388" s="7"/>
      <c r="K388" s="15" t="s">
        <v>979</v>
      </c>
      <c r="L388" t="s">
        <v>463</v>
      </c>
      <c r="M388" t="s">
        <v>15</v>
      </c>
      <c r="N388" t="str">
        <f t="shared" si="59"/>
        <v>https://api.bcb.gov.br/dados/serie/bcdata.sgs.20738/dados?formato=json</v>
      </c>
      <c r="O388">
        <v>6</v>
      </c>
      <c r="P388" t="s">
        <v>19</v>
      </c>
      <c r="Q388" t="s">
        <v>19</v>
      </c>
      <c r="R388" t="s">
        <v>896</v>
      </c>
      <c r="S388" t="s">
        <v>622</v>
      </c>
      <c r="T388" t="e">
        <f t="shared" si="63"/>
        <v>#VALUE!</v>
      </c>
      <c r="U388">
        <f t="shared" si="61"/>
        <v>20</v>
      </c>
    </row>
    <row r="389" spans="1:21" x14ac:dyDescent="0.25">
      <c r="A389" s="8"/>
      <c r="B389" s="8">
        <v>20739</v>
      </c>
      <c r="C389" s="9" t="s">
        <v>147</v>
      </c>
      <c r="D389" s="1" t="s">
        <v>358</v>
      </c>
      <c r="E389" s="10" t="s">
        <v>0</v>
      </c>
      <c r="F389" s="11">
        <v>36678</v>
      </c>
      <c r="G389" s="12">
        <v>45597</v>
      </c>
      <c r="H389" s="13" t="s">
        <v>1</v>
      </c>
      <c r="I389" s="8" t="s">
        <v>2</v>
      </c>
      <c r="J389" s="14"/>
      <c r="K389" s="15" t="s">
        <v>979</v>
      </c>
      <c r="L389" t="s">
        <v>463</v>
      </c>
      <c r="M389" t="s">
        <v>15</v>
      </c>
      <c r="N389" t="str">
        <f t="shared" si="59"/>
        <v>https://api.bcb.gov.br/dados/serie/bcdata.sgs.20739/dados?formato=json</v>
      </c>
      <c r="O389">
        <v>6</v>
      </c>
      <c r="P389" t="s">
        <v>19</v>
      </c>
      <c r="Q389" t="s">
        <v>19</v>
      </c>
      <c r="R389" t="s">
        <v>897</v>
      </c>
      <c r="S389" t="s">
        <v>622</v>
      </c>
      <c r="T389" t="e">
        <f t="shared" si="63"/>
        <v>#VALUE!</v>
      </c>
      <c r="U389">
        <f t="shared" si="61"/>
        <v>20</v>
      </c>
    </row>
    <row r="390" spans="1:21" x14ac:dyDescent="0.25">
      <c r="A390" s="1"/>
      <c r="B390" s="1">
        <v>20740</v>
      </c>
      <c r="C390" s="2" t="s">
        <v>120</v>
      </c>
      <c r="D390" s="1" t="s">
        <v>358</v>
      </c>
      <c r="E390" s="3" t="s">
        <v>0</v>
      </c>
      <c r="F390" s="4">
        <v>40603</v>
      </c>
      <c r="G390" s="5">
        <v>45597</v>
      </c>
      <c r="H390" s="6" t="s">
        <v>1</v>
      </c>
      <c r="I390" s="1" t="s">
        <v>2</v>
      </c>
      <c r="J390" s="7"/>
      <c r="K390" s="15" t="s">
        <v>979</v>
      </c>
      <c r="L390" t="s">
        <v>463</v>
      </c>
      <c r="M390" t="s">
        <v>15</v>
      </c>
      <c r="N390" t="str">
        <f t="shared" si="59"/>
        <v>https://api.bcb.gov.br/dados/serie/bcdata.sgs.20740/dados?formato=json</v>
      </c>
      <c r="O390">
        <v>6</v>
      </c>
      <c r="P390" t="s">
        <v>19</v>
      </c>
      <c r="Q390" t="s">
        <v>19</v>
      </c>
      <c r="R390" t="s">
        <v>118</v>
      </c>
      <c r="S390" t="s">
        <v>621</v>
      </c>
    </row>
    <row r="391" spans="1:21" x14ac:dyDescent="0.25">
      <c r="A391" s="8"/>
      <c r="B391" s="8">
        <v>27628</v>
      </c>
      <c r="C391" s="9" t="s">
        <v>378</v>
      </c>
      <c r="D391" s="1" t="s">
        <v>358</v>
      </c>
      <c r="E391" s="10" t="s">
        <v>0</v>
      </c>
      <c r="F391" s="11">
        <v>40603</v>
      </c>
      <c r="G391" s="12">
        <v>45597</v>
      </c>
      <c r="H391" s="13" t="s">
        <v>1</v>
      </c>
      <c r="I391" s="8" t="s">
        <v>2</v>
      </c>
      <c r="J391" s="14"/>
      <c r="K391" s="15" t="s">
        <v>979</v>
      </c>
      <c r="L391" t="s">
        <v>463</v>
      </c>
      <c r="M391" t="s">
        <v>15</v>
      </c>
      <c r="N391" t="str">
        <f t="shared" si="59"/>
        <v>https://api.bcb.gov.br/dados/serie/bcdata.sgs.27628/dados?formato=json</v>
      </c>
      <c r="O391">
        <v>6</v>
      </c>
      <c r="P391" t="s">
        <v>19</v>
      </c>
      <c r="Q391" t="s">
        <v>19</v>
      </c>
      <c r="R391" t="s">
        <v>970</v>
      </c>
      <c r="S391" t="s">
        <v>621</v>
      </c>
    </row>
    <row r="392" spans="1:21" x14ac:dyDescent="0.25">
      <c r="A392" s="1"/>
      <c r="B392" s="1">
        <v>20741</v>
      </c>
      <c r="C392" s="2" t="s">
        <v>151</v>
      </c>
      <c r="D392" s="1" t="s">
        <v>358</v>
      </c>
      <c r="E392" s="3" t="s">
        <v>0</v>
      </c>
      <c r="F392" s="4">
        <v>34516</v>
      </c>
      <c r="G392" s="5">
        <v>45597</v>
      </c>
      <c r="H392" s="6" t="s">
        <v>1</v>
      </c>
      <c r="I392" s="1" t="s">
        <v>2</v>
      </c>
      <c r="J392" s="7"/>
      <c r="K392" s="15" t="s">
        <v>979</v>
      </c>
      <c r="L392" t="s">
        <v>463</v>
      </c>
      <c r="M392" t="s">
        <v>15</v>
      </c>
      <c r="N392" t="str">
        <f t="shared" si="59"/>
        <v>https://api.bcb.gov.br/dados/serie/bcdata.sgs.20741/dados?formato=json</v>
      </c>
      <c r="O392">
        <v>6</v>
      </c>
      <c r="P392" t="s">
        <v>19</v>
      </c>
      <c r="Q392" t="s">
        <v>19</v>
      </c>
      <c r="R392" t="s">
        <v>881</v>
      </c>
      <c r="S392" t="s">
        <v>621</v>
      </c>
      <c r="T392" t="e">
        <f t="shared" ref="T392:T409" si="64">RIGHT(S392,LEN(S392)-U392)</f>
        <v>#VALUE!</v>
      </c>
      <c r="U392">
        <f t="shared" ref="U392:U409" si="65">LEN("Pessoas físicas - ")</f>
        <v>18</v>
      </c>
    </row>
    <row r="393" spans="1:21" x14ac:dyDescent="0.25">
      <c r="A393" s="8"/>
      <c r="B393" s="8">
        <v>20742</v>
      </c>
      <c r="C393" s="9" t="s">
        <v>152</v>
      </c>
      <c r="D393" s="1" t="s">
        <v>358</v>
      </c>
      <c r="E393" s="10" t="s">
        <v>0</v>
      </c>
      <c r="F393" s="11">
        <v>40603</v>
      </c>
      <c r="G393" s="12">
        <v>45597</v>
      </c>
      <c r="H393" s="13" t="s">
        <v>1</v>
      </c>
      <c r="I393" s="8" t="s">
        <v>2</v>
      </c>
      <c r="J393" s="14"/>
      <c r="K393" s="15" t="s">
        <v>979</v>
      </c>
      <c r="L393" t="s">
        <v>463</v>
      </c>
      <c r="M393" t="s">
        <v>15</v>
      </c>
      <c r="N393" t="str">
        <f t="shared" si="59"/>
        <v>https://api.bcb.gov.br/dados/serie/bcdata.sgs.20742/dados?formato=json</v>
      </c>
      <c r="O393">
        <v>6</v>
      </c>
      <c r="P393" t="s">
        <v>19</v>
      </c>
      <c r="Q393" t="s">
        <v>19</v>
      </c>
      <c r="R393" t="s">
        <v>899</v>
      </c>
      <c r="S393" t="s">
        <v>621</v>
      </c>
      <c r="T393" t="e">
        <f t="shared" si="64"/>
        <v>#VALUE!</v>
      </c>
      <c r="U393">
        <f t="shared" si="65"/>
        <v>18</v>
      </c>
    </row>
    <row r="394" spans="1:21" x14ac:dyDescent="0.25">
      <c r="A394" s="1"/>
      <c r="B394" s="1">
        <v>20743</v>
      </c>
      <c r="C394" s="2" t="s">
        <v>153</v>
      </c>
      <c r="D394" s="1" t="s">
        <v>358</v>
      </c>
      <c r="E394" s="3" t="s">
        <v>0</v>
      </c>
      <c r="F394" s="4">
        <v>40603</v>
      </c>
      <c r="G394" s="5">
        <v>45597</v>
      </c>
      <c r="H394" s="6" t="s">
        <v>1</v>
      </c>
      <c r="I394" s="1" t="s">
        <v>2</v>
      </c>
      <c r="J394" s="7"/>
      <c r="K394" s="15" t="s">
        <v>979</v>
      </c>
      <c r="L394" t="s">
        <v>463</v>
      </c>
      <c r="M394" t="s">
        <v>15</v>
      </c>
      <c r="N394" t="str">
        <f t="shared" si="59"/>
        <v>https://api.bcb.gov.br/dados/serie/bcdata.sgs.20743/dados?formato=json</v>
      </c>
      <c r="O394">
        <v>6</v>
      </c>
      <c r="P394" t="s">
        <v>19</v>
      </c>
      <c r="Q394" t="s">
        <v>19</v>
      </c>
      <c r="R394" t="s">
        <v>900</v>
      </c>
      <c r="S394" t="s">
        <v>621</v>
      </c>
      <c r="T394" t="e">
        <f t="shared" si="64"/>
        <v>#VALUE!</v>
      </c>
      <c r="U394">
        <f t="shared" si="65"/>
        <v>18</v>
      </c>
    </row>
    <row r="395" spans="1:21" x14ac:dyDescent="0.25">
      <c r="A395" s="8"/>
      <c r="B395" s="8">
        <v>20744</v>
      </c>
      <c r="C395" s="9" t="s">
        <v>154</v>
      </c>
      <c r="D395" s="1" t="s">
        <v>358</v>
      </c>
      <c r="E395" s="10" t="s">
        <v>0</v>
      </c>
      <c r="F395" s="11">
        <v>40603</v>
      </c>
      <c r="G395" s="12">
        <v>45597</v>
      </c>
      <c r="H395" s="13" t="s">
        <v>1</v>
      </c>
      <c r="I395" s="8" t="s">
        <v>2</v>
      </c>
      <c r="J395" s="14"/>
      <c r="K395" s="15" t="s">
        <v>979</v>
      </c>
      <c r="L395" t="s">
        <v>463</v>
      </c>
      <c r="M395" t="s">
        <v>15</v>
      </c>
      <c r="N395" t="str">
        <f t="shared" si="59"/>
        <v>https://api.bcb.gov.br/dados/serie/bcdata.sgs.20744/dados?formato=json</v>
      </c>
      <c r="O395">
        <v>6</v>
      </c>
      <c r="P395" t="s">
        <v>19</v>
      </c>
      <c r="Q395" t="s">
        <v>19</v>
      </c>
      <c r="R395" t="s">
        <v>901</v>
      </c>
      <c r="S395" t="s">
        <v>621</v>
      </c>
      <c r="T395" t="e">
        <f t="shared" si="64"/>
        <v>#VALUE!</v>
      </c>
      <c r="U395">
        <f t="shared" si="65"/>
        <v>18</v>
      </c>
    </row>
    <row r="396" spans="1:21" x14ac:dyDescent="0.25">
      <c r="A396" s="1"/>
      <c r="B396" s="1">
        <v>20745</v>
      </c>
      <c r="C396" s="2" t="s">
        <v>155</v>
      </c>
      <c r="D396" s="1" t="s">
        <v>358</v>
      </c>
      <c r="E396" s="3" t="s">
        <v>0</v>
      </c>
      <c r="F396" s="4">
        <v>40603</v>
      </c>
      <c r="G396" s="5">
        <v>45597</v>
      </c>
      <c r="H396" s="6" t="s">
        <v>1</v>
      </c>
      <c r="I396" s="1" t="s">
        <v>2</v>
      </c>
      <c r="J396" s="7"/>
      <c r="K396" s="15" t="s">
        <v>979</v>
      </c>
      <c r="L396" t="s">
        <v>463</v>
      </c>
      <c r="M396" t="s">
        <v>15</v>
      </c>
      <c r="N396" t="str">
        <f t="shared" si="59"/>
        <v>https://api.bcb.gov.br/dados/serie/bcdata.sgs.20745/dados?formato=json</v>
      </c>
      <c r="O396">
        <v>6</v>
      </c>
      <c r="P396" t="s">
        <v>19</v>
      </c>
      <c r="Q396" t="s">
        <v>19</v>
      </c>
      <c r="R396" t="s">
        <v>902</v>
      </c>
      <c r="S396" t="s">
        <v>621</v>
      </c>
      <c r="T396" t="e">
        <f t="shared" si="64"/>
        <v>#VALUE!</v>
      </c>
      <c r="U396">
        <f t="shared" si="65"/>
        <v>18</v>
      </c>
    </row>
    <row r="397" spans="1:21" x14ac:dyDescent="0.25">
      <c r="A397" s="8"/>
      <c r="B397" s="8">
        <v>20746</v>
      </c>
      <c r="C397" s="9" t="s">
        <v>156</v>
      </c>
      <c r="D397" s="1" t="s">
        <v>358</v>
      </c>
      <c r="E397" s="10" t="s">
        <v>0</v>
      </c>
      <c r="F397" s="11">
        <v>40603</v>
      </c>
      <c r="G397" s="12">
        <v>45597</v>
      </c>
      <c r="H397" s="13" t="s">
        <v>1</v>
      </c>
      <c r="I397" s="8" t="s">
        <v>2</v>
      </c>
      <c r="J397" s="14"/>
      <c r="K397" s="15" t="s">
        <v>979</v>
      </c>
      <c r="L397" t="s">
        <v>463</v>
      </c>
      <c r="M397" t="s">
        <v>15</v>
      </c>
      <c r="N397" t="str">
        <f t="shared" si="59"/>
        <v>https://api.bcb.gov.br/dados/serie/bcdata.sgs.20746/dados?formato=json</v>
      </c>
      <c r="O397">
        <v>6</v>
      </c>
      <c r="P397" t="s">
        <v>19</v>
      </c>
      <c r="Q397" t="s">
        <v>19</v>
      </c>
      <c r="R397" t="s">
        <v>903</v>
      </c>
      <c r="S397" t="s">
        <v>621</v>
      </c>
      <c r="T397" t="e">
        <f t="shared" si="64"/>
        <v>#VALUE!</v>
      </c>
      <c r="U397">
        <f t="shared" si="65"/>
        <v>18</v>
      </c>
    </row>
    <row r="398" spans="1:21" x14ac:dyDescent="0.25">
      <c r="A398" s="1"/>
      <c r="B398" s="1">
        <v>20747</v>
      </c>
      <c r="C398" s="2" t="s">
        <v>157</v>
      </c>
      <c r="D398" s="1" t="s">
        <v>358</v>
      </c>
      <c r="E398" s="3" t="s">
        <v>0</v>
      </c>
      <c r="F398" s="4">
        <v>37987</v>
      </c>
      <c r="G398" s="5">
        <v>45597</v>
      </c>
      <c r="H398" s="6" t="s">
        <v>1</v>
      </c>
      <c r="I398" s="1" t="s">
        <v>2</v>
      </c>
      <c r="J398" s="7"/>
      <c r="K398" s="15" t="s">
        <v>979</v>
      </c>
      <c r="L398" t="s">
        <v>463</v>
      </c>
      <c r="M398" t="s">
        <v>15</v>
      </c>
      <c r="N398" t="str">
        <f t="shared" si="59"/>
        <v>https://api.bcb.gov.br/dados/serie/bcdata.sgs.20747/dados?formato=json</v>
      </c>
      <c r="O398">
        <v>6</v>
      </c>
      <c r="P398" t="s">
        <v>19</v>
      </c>
      <c r="Q398" t="s">
        <v>19</v>
      </c>
      <c r="R398" t="s">
        <v>904</v>
      </c>
      <c r="S398" t="s">
        <v>621</v>
      </c>
      <c r="T398" t="e">
        <f t="shared" si="64"/>
        <v>#VALUE!</v>
      </c>
      <c r="U398">
        <f t="shared" si="65"/>
        <v>18</v>
      </c>
    </row>
    <row r="399" spans="1:21" x14ac:dyDescent="0.25">
      <c r="A399" s="8"/>
      <c r="B399" s="8">
        <v>20748</v>
      </c>
      <c r="C399" s="9" t="s">
        <v>158</v>
      </c>
      <c r="D399" s="1" t="s">
        <v>358</v>
      </c>
      <c r="E399" s="10" t="s">
        <v>0</v>
      </c>
      <c r="F399" s="11">
        <v>34516</v>
      </c>
      <c r="G399" s="12">
        <v>45597</v>
      </c>
      <c r="H399" s="13" t="s">
        <v>1</v>
      </c>
      <c r="I399" s="8" t="s">
        <v>2</v>
      </c>
      <c r="J399" s="14"/>
      <c r="K399" s="15" t="s">
        <v>979</v>
      </c>
      <c r="L399" t="s">
        <v>463</v>
      </c>
      <c r="M399" t="s">
        <v>15</v>
      </c>
      <c r="N399" t="str">
        <f t="shared" si="59"/>
        <v>https://api.bcb.gov.br/dados/serie/bcdata.sgs.20748/dados?formato=json</v>
      </c>
      <c r="O399">
        <v>6</v>
      </c>
      <c r="P399" t="s">
        <v>19</v>
      </c>
      <c r="Q399" t="s">
        <v>19</v>
      </c>
      <c r="R399" t="s">
        <v>905</v>
      </c>
      <c r="S399" t="s">
        <v>621</v>
      </c>
      <c r="T399" t="e">
        <f t="shared" si="64"/>
        <v>#VALUE!</v>
      </c>
      <c r="U399">
        <f t="shared" si="65"/>
        <v>18</v>
      </c>
    </row>
    <row r="400" spans="1:21" x14ac:dyDescent="0.25">
      <c r="A400" s="1"/>
      <c r="B400" s="1">
        <v>20749</v>
      </c>
      <c r="C400" s="2" t="s">
        <v>159</v>
      </c>
      <c r="D400" s="1" t="s">
        <v>358</v>
      </c>
      <c r="E400" s="3" t="s">
        <v>0</v>
      </c>
      <c r="F400" s="4">
        <v>36678</v>
      </c>
      <c r="G400" s="5">
        <v>45597</v>
      </c>
      <c r="H400" s="6" t="s">
        <v>1</v>
      </c>
      <c r="I400" s="1" t="s">
        <v>2</v>
      </c>
      <c r="J400" s="7"/>
      <c r="K400" s="15" t="s">
        <v>979</v>
      </c>
      <c r="L400" t="s">
        <v>463</v>
      </c>
      <c r="M400" t="s">
        <v>15</v>
      </c>
      <c r="N400" t="str">
        <f t="shared" si="59"/>
        <v>https://api.bcb.gov.br/dados/serie/bcdata.sgs.20749/dados?formato=json</v>
      </c>
      <c r="O400">
        <v>6</v>
      </c>
      <c r="P400" t="s">
        <v>19</v>
      </c>
      <c r="Q400" t="s">
        <v>19</v>
      </c>
      <c r="R400" t="s">
        <v>882</v>
      </c>
      <c r="S400" t="s">
        <v>621</v>
      </c>
      <c r="T400" t="e">
        <f t="shared" si="64"/>
        <v>#VALUE!</v>
      </c>
      <c r="U400">
        <f t="shared" si="65"/>
        <v>18</v>
      </c>
    </row>
    <row r="401" spans="1:21" x14ac:dyDescent="0.25">
      <c r="A401" s="8"/>
      <c r="B401" s="8">
        <v>20750</v>
      </c>
      <c r="C401" s="9" t="s">
        <v>160</v>
      </c>
      <c r="D401" s="1" t="s">
        <v>358</v>
      </c>
      <c r="E401" s="10" t="s">
        <v>0</v>
      </c>
      <c r="F401" s="11">
        <v>40603</v>
      </c>
      <c r="G401" s="12">
        <v>45597</v>
      </c>
      <c r="H401" s="13" t="s">
        <v>1</v>
      </c>
      <c r="I401" s="8" t="s">
        <v>2</v>
      </c>
      <c r="J401" s="14"/>
      <c r="K401" s="15" t="s">
        <v>979</v>
      </c>
      <c r="L401" t="s">
        <v>463</v>
      </c>
      <c r="M401" t="s">
        <v>15</v>
      </c>
      <c r="N401" t="str">
        <f t="shared" si="59"/>
        <v>https://api.bcb.gov.br/dados/serie/bcdata.sgs.20750/dados?formato=json</v>
      </c>
      <c r="O401">
        <v>6</v>
      </c>
      <c r="P401" t="s">
        <v>19</v>
      </c>
      <c r="Q401" t="s">
        <v>19</v>
      </c>
      <c r="R401" t="s">
        <v>883</v>
      </c>
      <c r="S401" t="s">
        <v>621</v>
      </c>
      <c r="T401" t="e">
        <f t="shared" si="64"/>
        <v>#VALUE!</v>
      </c>
      <c r="U401">
        <f t="shared" si="65"/>
        <v>18</v>
      </c>
    </row>
    <row r="402" spans="1:21" x14ac:dyDescent="0.25">
      <c r="A402" s="1"/>
      <c r="B402" s="1">
        <v>20751</v>
      </c>
      <c r="C402" s="2" t="s">
        <v>161</v>
      </c>
      <c r="D402" s="1" t="s">
        <v>358</v>
      </c>
      <c r="E402" s="3" t="s">
        <v>0</v>
      </c>
      <c r="F402" s="4">
        <v>40603</v>
      </c>
      <c r="G402" s="5">
        <v>45597</v>
      </c>
      <c r="H402" s="6" t="s">
        <v>1</v>
      </c>
      <c r="I402" s="1" t="s">
        <v>2</v>
      </c>
      <c r="J402" s="7"/>
      <c r="K402" s="15" t="s">
        <v>979</v>
      </c>
      <c r="L402" t="s">
        <v>463</v>
      </c>
      <c r="M402" t="s">
        <v>15</v>
      </c>
      <c r="N402" t="str">
        <f t="shared" si="59"/>
        <v>https://api.bcb.gov.br/dados/serie/bcdata.sgs.20751/dados?formato=json</v>
      </c>
      <c r="O402">
        <v>6</v>
      </c>
      <c r="P402" t="s">
        <v>19</v>
      </c>
      <c r="Q402" t="s">
        <v>19</v>
      </c>
      <c r="R402" t="s">
        <v>884</v>
      </c>
      <c r="S402" t="s">
        <v>621</v>
      </c>
      <c r="T402" t="e">
        <f t="shared" si="64"/>
        <v>#VALUE!</v>
      </c>
      <c r="U402">
        <f t="shared" si="65"/>
        <v>18</v>
      </c>
    </row>
    <row r="403" spans="1:21" x14ac:dyDescent="0.25">
      <c r="A403" s="8"/>
      <c r="B403" s="8">
        <v>20752</v>
      </c>
      <c r="C403" s="9" t="s">
        <v>162</v>
      </c>
      <c r="D403" s="1" t="s">
        <v>358</v>
      </c>
      <c r="E403" s="10" t="s">
        <v>0</v>
      </c>
      <c r="F403" s="11">
        <v>40603</v>
      </c>
      <c r="G403" s="12">
        <v>45597</v>
      </c>
      <c r="H403" s="13" t="s">
        <v>1</v>
      </c>
      <c r="I403" s="8" t="s">
        <v>2</v>
      </c>
      <c r="J403" s="14"/>
      <c r="K403" s="15" t="s">
        <v>979</v>
      </c>
      <c r="L403" t="s">
        <v>463</v>
      </c>
      <c r="M403" t="s">
        <v>15</v>
      </c>
      <c r="N403" t="str">
        <f t="shared" si="59"/>
        <v>https://api.bcb.gov.br/dados/serie/bcdata.sgs.20752/dados?formato=json</v>
      </c>
      <c r="O403">
        <v>6</v>
      </c>
      <c r="P403" t="s">
        <v>19</v>
      </c>
      <c r="Q403" t="s">
        <v>19</v>
      </c>
      <c r="R403" t="s">
        <v>885</v>
      </c>
      <c r="S403" t="s">
        <v>621</v>
      </c>
      <c r="T403" t="e">
        <f t="shared" si="64"/>
        <v>#VALUE!</v>
      </c>
      <c r="U403">
        <f t="shared" si="65"/>
        <v>18</v>
      </c>
    </row>
    <row r="404" spans="1:21" x14ac:dyDescent="0.25">
      <c r="A404" s="1"/>
      <c r="B404" s="1">
        <v>20753</v>
      </c>
      <c r="C404" s="2" t="s">
        <v>163</v>
      </c>
      <c r="D404" s="1" t="s">
        <v>358</v>
      </c>
      <c r="E404" s="3" t="s">
        <v>0</v>
      </c>
      <c r="F404" s="4">
        <v>40603</v>
      </c>
      <c r="G404" s="5">
        <v>45597</v>
      </c>
      <c r="H404" s="6" t="s">
        <v>1</v>
      </c>
      <c r="I404" s="1" t="s">
        <v>2</v>
      </c>
      <c r="J404" s="7"/>
      <c r="K404" s="15" t="s">
        <v>979</v>
      </c>
      <c r="L404" t="s">
        <v>463</v>
      </c>
      <c r="M404" t="s">
        <v>15</v>
      </c>
      <c r="N404" t="str">
        <f t="shared" si="59"/>
        <v>https://api.bcb.gov.br/dados/serie/bcdata.sgs.20753/dados?formato=json</v>
      </c>
      <c r="O404">
        <v>6</v>
      </c>
      <c r="P404" t="s">
        <v>19</v>
      </c>
      <c r="Q404" t="s">
        <v>19</v>
      </c>
      <c r="R404" t="s">
        <v>886</v>
      </c>
      <c r="S404" t="s">
        <v>621</v>
      </c>
      <c r="T404" t="e">
        <f t="shared" si="64"/>
        <v>#VALUE!</v>
      </c>
      <c r="U404">
        <f t="shared" si="65"/>
        <v>18</v>
      </c>
    </row>
    <row r="405" spans="1:21" x14ac:dyDescent="0.25">
      <c r="A405" s="8"/>
      <c r="B405" s="8">
        <v>20754</v>
      </c>
      <c r="C405" s="9" t="s">
        <v>164</v>
      </c>
      <c r="D405" s="1" t="s">
        <v>358</v>
      </c>
      <c r="E405" s="10" t="s">
        <v>0</v>
      </c>
      <c r="F405" s="11">
        <v>40603</v>
      </c>
      <c r="G405" s="12">
        <v>45597</v>
      </c>
      <c r="H405" s="13" t="s">
        <v>1</v>
      </c>
      <c r="I405" s="8" t="s">
        <v>2</v>
      </c>
      <c r="J405" s="14"/>
      <c r="K405" s="15" t="s">
        <v>979</v>
      </c>
      <c r="L405" t="s">
        <v>463</v>
      </c>
      <c r="M405" t="s">
        <v>15</v>
      </c>
      <c r="N405" t="str">
        <f t="shared" si="59"/>
        <v>https://api.bcb.gov.br/dados/serie/bcdata.sgs.20754/dados?formato=json</v>
      </c>
      <c r="O405">
        <v>6</v>
      </c>
      <c r="P405" t="s">
        <v>19</v>
      </c>
      <c r="Q405" t="s">
        <v>19</v>
      </c>
      <c r="R405" t="s">
        <v>887</v>
      </c>
      <c r="S405" t="s">
        <v>621</v>
      </c>
      <c r="T405" t="e">
        <f t="shared" si="64"/>
        <v>#VALUE!</v>
      </c>
      <c r="U405">
        <f t="shared" si="65"/>
        <v>18</v>
      </c>
    </row>
    <row r="406" spans="1:21" x14ac:dyDescent="0.25">
      <c r="A406" s="1"/>
      <c r="B406" s="1">
        <v>22022</v>
      </c>
      <c r="C406" s="2" t="s">
        <v>165</v>
      </c>
      <c r="D406" s="1" t="s">
        <v>358</v>
      </c>
      <c r="E406" s="3" t="s">
        <v>0</v>
      </c>
      <c r="F406" s="4">
        <v>40603</v>
      </c>
      <c r="G406" s="5">
        <v>45597</v>
      </c>
      <c r="H406" s="6" t="s">
        <v>1</v>
      </c>
      <c r="I406" s="1" t="s">
        <v>2</v>
      </c>
      <c r="J406" s="7"/>
      <c r="K406" s="15" t="s">
        <v>979</v>
      </c>
      <c r="L406" t="s">
        <v>463</v>
      </c>
      <c r="M406" t="s">
        <v>15</v>
      </c>
      <c r="N406" t="str">
        <f t="shared" si="59"/>
        <v>https://api.bcb.gov.br/dados/serie/bcdata.sgs.22022/dados?formato=json</v>
      </c>
      <c r="O406">
        <v>6</v>
      </c>
      <c r="P406" t="s">
        <v>19</v>
      </c>
      <c r="Q406" t="s">
        <v>19</v>
      </c>
      <c r="R406" t="s">
        <v>890</v>
      </c>
      <c r="S406" t="s">
        <v>621</v>
      </c>
      <c r="T406" t="e">
        <f t="shared" si="64"/>
        <v>#VALUE!</v>
      </c>
      <c r="U406">
        <f t="shared" si="65"/>
        <v>18</v>
      </c>
    </row>
    <row r="407" spans="1:21" x14ac:dyDescent="0.25">
      <c r="A407" s="8"/>
      <c r="B407" s="8">
        <v>22023</v>
      </c>
      <c r="C407" s="9" t="s">
        <v>166</v>
      </c>
      <c r="D407" s="1" t="s">
        <v>358</v>
      </c>
      <c r="E407" s="10" t="s">
        <v>0</v>
      </c>
      <c r="F407" s="11">
        <v>40603</v>
      </c>
      <c r="G407" s="12">
        <v>45597</v>
      </c>
      <c r="H407" s="13" t="s">
        <v>1</v>
      </c>
      <c r="I407" s="8" t="s">
        <v>2</v>
      </c>
      <c r="J407" s="14"/>
      <c r="K407" s="15" t="s">
        <v>979</v>
      </c>
      <c r="L407" t="s">
        <v>463</v>
      </c>
      <c r="M407" t="s">
        <v>15</v>
      </c>
      <c r="N407" t="str">
        <f t="shared" si="59"/>
        <v>https://api.bcb.gov.br/dados/serie/bcdata.sgs.22023/dados?formato=json</v>
      </c>
      <c r="O407">
        <v>6</v>
      </c>
      <c r="P407" t="s">
        <v>19</v>
      </c>
      <c r="Q407" t="s">
        <v>19</v>
      </c>
      <c r="R407" t="s">
        <v>891</v>
      </c>
      <c r="S407" t="s">
        <v>621</v>
      </c>
      <c r="T407" t="e">
        <f t="shared" si="64"/>
        <v>#VALUE!</v>
      </c>
      <c r="U407">
        <f t="shared" si="65"/>
        <v>18</v>
      </c>
    </row>
    <row r="408" spans="1:21" x14ac:dyDescent="0.25">
      <c r="A408" s="1"/>
      <c r="B408" s="1">
        <v>22024</v>
      </c>
      <c r="C408" s="2" t="s">
        <v>168</v>
      </c>
      <c r="D408" s="1" t="s">
        <v>358</v>
      </c>
      <c r="E408" s="3" t="s">
        <v>0</v>
      </c>
      <c r="F408" s="4">
        <v>40603</v>
      </c>
      <c r="G408" s="5">
        <v>45597</v>
      </c>
      <c r="H408" s="6" t="s">
        <v>1</v>
      </c>
      <c r="I408" s="1" t="s">
        <v>2</v>
      </c>
      <c r="J408" s="7"/>
      <c r="K408" s="15" t="s">
        <v>979</v>
      </c>
      <c r="L408" t="s">
        <v>463</v>
      </c>
      <c r="M408" t="s">
        <v>15</v>
      </c>
      <c r="N408" t="str">
        <f t="shared" si="59"/>
        <v>https://api.bcb.gov.br/dados/serie/bcdata.sgs.22024/dados?formato=json</v>
      </c>
      <c r="O408">
        <v>6</v>
      </c>
      <c r="P408" t="s">
        <v>19</v>
      </c>
      <c r="Q408" t="s">
        <v>19</v>
      </c>
      <c r="R408" t="s">
        <v>893</v>
      </c>
      <c r="S408" t="s">
        <v>621</v>
      </c>
      <c r="T408" t="e">
        <f t="shared" si="64"/>
        <v>#VALUE!</v>
      </c>
      <c r="U408">
        <f t="shared" si="65"/>
        <v>18</v>
      </c>
    </row>
    <row r="409" spans="1:21" x14ac:dyDescent="0.25">
      <c r="A409" s="8"/>
      <c r="B409" s="8">
        <v>20755</v>
      </c>
      <c r="C409" s="9" t="s">
        <v>169</v>
      </c>
      <c r="D409" s="1" t="s">
        <v>358</v>
      </c>
      <c r="E409" s="10" t="s">
        <v>0</v>
      </c>
      <c r="F409" s="11">
        <v>40603</v>
      </c>
      <c r="G409" s="12">
        <v>45597</v>
      </c>
      <c r="H409" s="13" t="s">
        <v>1</v>
      </c>
      <c r="I409" s="8" t="s">
        <v>2</v>
      </c>
      <c r="J409" s="14"/>
      <c r="K409" s="15" t="s">
        <v>979</v>
      </c>
      <c r="L409" t="s">
        <v>463</v>
      </c>
      <c r="M409" t="s">
        <v>15</v>
      </c>
      <c r="N409" t="str">
        <f t="shared" si="59"/>
        <v>https://api.bcb.gov.br/dados/serie/bcdata.sgs.20755/dados?formato=json</v>
      </c>
      <c r="O409">
        <v>6</v>
      </c>
      <c r="P409" t="s">
        <v>19</v>
      </c>
      <c r="Q409" t="s">
        <v>19</v>
      </c>
      <c r="R409" t="s">
        <v>874</v>
      </c>
      <c r="S409" t="s">
        <v>621</v>
      </c>
      <c r="T409" t="e">
        <f t="shared" si="64"/>
        <v>#VALUE!</v>
      </c>
      <c r="U409">
        <f t="shared" si="65"/>
        <v>18</v>
      </c>
    </row>
    <row r="410" spans="1:21" x14ac:dyDescent="0.25">
      <c r="A410" s="1"/>
      <c r="B410" s="1">
        <v>20756</v>
      </c>
      <c r="C410" s="2" t="s">
        <v>118</v>
      </c>
      <c r="D410" s="1" t="s">
        <v>358</v>
      </c>
      <c r="E410" s="3" t="s">
        <v>0</v>
      </c>
      <c r="F410" s="4">
        <v>40603</v>
      </c>
      <c r="G410" s="5">
        <v>45597</v>
      </c>
      <c r="H410" s="6" t="s">
        <v>1</v>
      </c>
      <c r="I410" s="1" t="s">
        <v>2</v>
      </c>
      <c r="J410" s="7"/>
      <c r="K410" s="15" t="s">
        <v>980</v>
      </c>
      <c r="L410" t="s">
        <v>464</v>
      </c>
      <c r="M410" t="s">
        <v>15</v>
      </c>
      <c r="N410" t="str">
        <f t="shared" ref="N410:N434" si="66">_xlfn.CONCAT("https://api.bcb.gov.br/dados/serie/bcdata.sgs.",B410,"/dados?formato=json")</f>
        <v>https://api.bcb.gov.br/dados/serie/bcdata.sgs.20756/dados?formato=json</v>
      </c>
      <c r="O410">
        <v>6</v>
      </c>
      <c r="P410" t="s">
        <v>19</v>
      </c>
      <c r="Q410" t="s">
        <v>19</v>
      </c>
      <c r="R410" t="s">
        <v>118</v>
      </c>
      <c r="S410" t="s">
        <v>118</v>
      </c>
    </row>
    <row r="411" spans="1:21" x14ac:dyDescent="0.25">
      <c r="A411" s="8"/>
      <c r="B411" s="8">
        <v>20757</v>
      </c>
      <c r="C411" s="9" t="s">
        <v>119</v>
      </c>
      <c r="D411" s="1" t="s">
        <v>358</v>
      </c>
      <c r="E411" s="10" t="s">
        <v>0</v>
      </c>
      <c r="F411" s="11">
        <v>40603</v>
      </c>
      <c r="G411" s="12">
        <v>45597</v>
      </c>
      <c r="H411" s="13" t="s">
        <v>1</v>
      </c>
      <c r="I411" s="8" t="s">
        <v>2</v>
      </c>
      <c r="J411" s="14"/>
      <c r="K411" s="15" t="s">
        <v>980</v>
      </c>
      <c r="L411" t="s">
        <v>464</v>
      </c>
      <c r="M411" t="s">
        <v>15</v>
      </c>
      <c r="N411" t="str">
        <f t="shared" si="66"/>
        <v>https://api.bcb.gov.br/dados/serie/bcdata.sgs.20757/dados?formato=json</v>
      </c>
      <c r="O411">
        <v>6</v>
      </c>
      <c r="P411" t="s">
        <v>19</v>
      </c>
      <c r="Q411" t="s">
        <v>19</v>
      </c>
      <c r="R411" t="s">
        <v>118</v>
      </c>
      <c r="S411" t="s">
        <v>622</v>
      </c>
      <c r="T411" t="e">
        <f t="shared" ref="T411" si="67">RIGHT(S411,LEN(S411)-U411)</f>
        <v>#VALUE!</v>
      </c>
      <c r="U411">
        <f t="shared" ref="U411:U421" si="68">LEN("Setor de serviços - ")</f>
        <v>20</v>
      </c>
    </row>
    <row r="412" spans="1:21" x14ac:dyDescent="0.25">
      <c r="A412" s="1"/>
      <c r="B412" s="1">
        <v>20758</v>
      </c>
      <c r="C412" s="2" t="s">
        <v>171</v>
      </c>
      <c r="D412" s="1" t="s">
        <v>358</v>
      </c>
      <c r="E412" s="3" t="s">
        <v>0</v>
      </c>
      <c r="F412" s="4">
        <v>40603</v>
      </c>
      <c r="G412" s="5">
        <v>45597</v>
      </c>
      <c r="H412" s="6" t="s">
        <v>1</v>
      </c>
      <c r="I412" s="1" t="s">
        <v>2</v>
      </c>
      <c r="J412" s="7"/>
      <c r="K412" s="15" t="s">
        <v>980</v>
      </c>
      <c r="L412" t="s">
        <v>464</v>
      </c>
      <c r="M412" t="s">
        <v>15</v>
      </c>
      <c r="N412" t="str">
        <f t="shared" si="66"/>
        <v>https://api.bcb.gov.br/dados/serie/bcdata.sgs.20758/dados?formato=json</v>
      </c>
      <c r="O412">
        <v>6</v>
      </c>
      <c r="P412" t="s">
        <v>19</v>
      </c>
      <c r="Q412" t="s">
        <v>19</v>
      </c>
      <c r="R412" t="s">
        <v>906</v>
      </c>
      <c r="S412" t="s">
        <v>622</v>
      </c>
      <c r="T412" t="e">
        <f t="shared" ref="T412:T422" si="69">RIGHT(S412,LEN(S412)-U412)</f>
        <v>#VALUE!</v>
      </c>
      <c r="U412">
        <f t="shared" si="68"/>
        <v>20</v>
      </c>
    </row>
    <row r="413" spans="1:21" x14ac:dyDescent="0.25">
      <c r="A413" s="8"/>
      <c r="B413" s="8">
        <v>20759</v>
      </c>
      <c r="C413" s="9" t="s">
        <v>172</v>
      </c>
      <c r="D413" s="1" t="s">
        <v>358</v>
      </c>
      <c r="E413" s="10" t="s">
        <v>0</v>
      </c>
      <c r="F413" s="11">
        <v>40603</v>
      </c>
      <c r="G413" s="12">
        <v>45597</v>
      </c>
      <c r="H413" s="13" t="s">
        <v>1</v>
      </c>
      <c r="I413" s="8" t="s">
        <v>2</v>
      </c>
      <c r="J413" s="14"/>
      <c r="K413" s="15" t="s">
        <v>980</v>
      </c>
      <c r="L413" t="s">
        <v>464</v>
      </c>
      <c r="M413" t="s">
        <v>15</v>
      </c>
      <c r="N413" t="str">
        <f t="shared" si="66"/>
        <v>https://api.bcb.gov.br/dados/serie/bcdata.sgs.20759/dados?formato=json</v>
      </c>
      <c r="O413">
        <v>6</v>
      </c>
      <c r="P413" t="s">
        <v>19</v>
      </c>
      <c r="Q413" t="s">
        <v>19</v>
      </c>
      <c r="R413" t="s">
        <v>907</v>
      </c>
      <c r="S413" t="s">
        <v>622</v>
      </c>
      <c r="T413" t="e">
        <f t="shared" si="69"/>
        <v>#VALUE!</v>
      </c>
      <c r="U413">
        <f t="shared" si="68"/>
        <v>20</v>
      </c>
    </row>
    <row r="414" spans="1:21" x14ac:dyDescent="0.25">
      <c r="A414" s="1"/>
      <c r="B414" s="1">
        <v>20760</v>
      </c>
      <c r="C414" s="2" t="s">
        <v>173</v>
      </c>
      <c r="D414" s="1" t="s">
        <v>358</v>
      </c>
      <c r="E414" s="3" t="s">
        <v>0</v>
      </c>
      <c r="F414" s="4">
        <v>40603</v>
      </c>
      <c r="G414" s="5">
        <v>45597</v>
      </c>
      <c r="H414" s="6" t="s">
        <v>1</v>
      </c>
      <c r="I414" s="1" t="s">
        <v>2</v>
      </c>
      <c r="J414" s="7"/>
      <c r="K414" s="15" t="s">
        <v>980</v>
      </c>
      <c r="L414" t="s">
        <v>464</v>
      </c>
      <c r="M414" t="s">
        <v>15</v>
      </c>
      <c r="N414" t="str">
        <f t="shared" si="66"/>
        <v>https://api.bcb.gov.br/dados/serie/bcdata.sgs.20760/dados?formato=json</v>
      </c>
      <c r="O414">
        <v>6</v>
      </c>
      <c r="P414" t="s">
        <v>19</v>
      </c>
      <c r="Q414" t="s">
        <v>19</v>
      </c>
      <c r="R414" t="s">
        <v>908</v>
      </c>
      <c r="S414" t="s">
        <v>622</v>
      </c>
      <c r="T414" t="e">
        <f t="shared" si="69"/>
        <v>#VALUE!</v>
      </c>
      <c r="U414">
        <f t="shared" si="68"/>
        <v>20</v>
      </c>
    </row>
    <row r="415" spans="1:21" x14ac:dyDescent="0.25">
      <c r="A415" s="8"/>
      <c r="B415" s="8">
        <v>20761</v>
      </c>
      <c r="C415" s="9" t="s">
        <v>174</v>
      </c>
      <c r="D415" s="1" t="s">
        <v>358</v>
      </c>
      <c r="E415" s="10" t="s">
        <v>0</v>
      </c>
      <c r="F415" s="11">
        <v>40603</v>
      </c>
      <c r="G415" s="12">
        <v>45597</v>
      </c>
      <c r="H415" s="13" t="s">
        <v>1</v>
      </c>
      <c r="I415" s="8" t="s">
        <v>2</v>
      </c>
      <c r="J415" s="14"/>
      <c r="K415" s="15" t="s">
        <v>980</v>
      </c>
      <c r="L415" t="s">
        <v>464</v>
      </c>
      <c r="M415" t="s">
        <v>15</v>
      </c>
      <c r="N415" t="str">
        <f t="shared" si="66"/>
        <v>https://api.bcb.gov.br/dados/serie/bcdata.sgs.20761/dados?formato=json</v>
      </c>
      <c r="O415">
        <v>6</v>
      </c>
      <c r="P415" t="s">
        <v>19</v>
      </c>
      <c r="Q415" t="s">
        <v>19</v>
      </c>
      <c r="R415" t="s">
        <v>909</v>
      </c>
      <c r="S415" t="s">
        <v>622</v>
      </c>
      <c r="T415" t="e">
        <f t="shared" si="69"/>
        <v>#VALUE!</v>
      </c>
      <c r="U415">
        <f t="shared" si="68"/>
        <v>20</v>
      </c>
    </row>
    <row r="416" spans="1:21" x14ac:dyDescent="0.25">
      <c r="A416" s="1"/>
      <c r="B416" s="1">
        <v>20762</v>
      </c>
      <c r="C416" s="2" t="s">
        <v>175</v>
      </c>
      <c r="D416" s="1" t="s">
        <v>358</v>
      </c>
      <c r="E416" s="3" t="s">
        <v>0</v>
      </c>
      <c r="F416" s="4">
        <v>40603</v>
      </c>
      <c r="G416" s="5">
        <v>45597</v>
      </c>
      <c r="H416" s="6" t="s">
        <v>1</v>
      </c>
      <c r="I416" s="1" t="s">
        <v>2</v>
      </c>
      <c r="J416" s="7"/>
      <c r="K416" s="15" t="s">
        <v>980</v>
      </c>
      <c r="L416" t="s">
        <v>464</v>
      </c>
      <c r="M416" t="s">
        <v>15</v>
      </c>
      <c r="N416" t="str">
        <f t="shared" si="66"/>
        <v>https://api.bcb.gov.br/dados/serie/bcdata.sgs.20762/dados?formato=json</v>
      </c>
      <c r="O416">
        <v>6</v>
      </c>
      <c r="P416" t="s">
        <v>19</v>
      </c>
      <c r="Q416" t="s">
        <v>19</v>
      </c>
      <c r="R416" t="s">
        <v>910</v>
      </c>
      <c r="S416" t="s">
        <v>622</v>
      </c>
      <c r="T416" t="e">
        <f t="shared" si="69"/>
        <v>#VALUE!</v>
      </c>
      <c r="U416">
        <f t="shared" si="68"/>
        <v>20</v>
      </c>
    </row>
    <row r="417" spans="1:21" x14ac:dyDescent="0.25">
      <c r="A417" s="8"/>
      <c r="B417" s="8">
        <v>20763</v>
      </c>
      <c r="C417" s="9" t="s">
        <v>176</v>
      </c>
      <c r="D417" s="1" t="s">
        <v>358</v>
      </c>
      <c r="E417" s="10" t="s">
        <v>0</v>
      </c>
      <c r="F417" s="11">
        <v>40603</v>
      </c>
      <c r="G417" s="12">
        <v>45597</v>
      </c>
      <c r="H417" s="13" t="s">
        <v>1</v>
      </c>
      <c r="I417" s="8" t="s">
        <v>2</v>
      </c>
      <c r="J417" s="14"/>
      <c r="K417" s="15" t="s">
        <v>980</v>
      </c>
      <c r="L417" t="s">
        <v>464</v>
      </c>
      <c r="M417" t="s">
        <v>15</v>
      </c>
      <c r="N417" t="str">
        <f t="shared" si="66"/>
        <v>https://api.bcb.gov.br/dados/serie/bcdata.sgs.20763/dados?formato=json</v>
      </c>
      <c r="O417">
        <v>6</v>
      </c>
      <c r="P417" t="s">
        <v>19</v>
      </c>
      <c r="Q417" t="s">
        <v>19</v>
      </c>
      <c r="R417" t="s">
        <v>911</v>
      </c>
      <c r="S417" t="s">
        <v>622</v>
      </c>
      <c r="T417" t="e">
        <f t="shared" si="69"/>
        <v>#VALUE!</v>
      </c>
      <c r="U417">
        <f t="shared" si="68"/>
        <v>20</v>
      </c>
    </row>
    <row r="418" spans="1:21" x14ac:dyDescent="0.25">
      <c r="A418" s="1"/>
      <c r="B418" s="1">
        <v>20764</v>
      </c>
      <c r="C418" s="2" t="s">
        <v>177</v>
      </c>
      <c r="D418" s="1" t="s">
        <v>358</v>
      </c>
      <c r="E418" s="3" t="s">
        <v>0</v>
      </c>
      <c r="F418" s="4">
        <v>40603</v>
      </c>
      <c r="G418" s="5">
        <v>45597</v>
      </c>
      <c r="H418" s="6" t="s">
        <v>1</v>
      </c>
      <c r="I418" s="1" t="s">
        <v>2</v>
      </c>
      <c r="J418" s="7"/>
      <c r="K418" s="15" t="s">
        <v>980</v>
      </c>
      <c r="L418" t="s">
        <v>464</v>
      </c>
      <c r="M418" t="s">
        <v>15</v>
      </c>
      <c r="N418" t="str">
        <f t="shared" si="66"/>
        <v>https://api.bcb.gov.br/dados/serie/bcdata.sgs.20764/dados?formato=json</v>
      </c>
      <c r="O418">
        <v>6</v>
      </c>
      <c r="P418" t="s">
        <v>19</v>
      </c>
      <c r="Q418" t="s">
        <v>19</v>
      </c>
      <c r="R418" t="s">
        <v>912</v>
      </c>
      <c r="S418" t="s">
        <v>622</v>
      </c>
      <c r="T418" t="e">
        <f t="shared" si="69"/>
        <v>#VALUE!</v>
      </c>
      <c r="U418">
        <f t="shared" si="68"/>
        <v>20</v>
      </c>
    </row>
    <row r="419" spans="1:21" x14ac:dyDescent="0.25">
      <c r="A419" s="8"/>
      <c r="B419" s="8">
        <v>20765</v>
      </c>
      <c r="C419" s="9" t="s">
        <v>178</v>
      </c>
      <c r="D419" s="1" t="s">
        <v>358</v>
      </c>
      <c r="E419" s="10" t="s">
        <v>0</v>
      </c>
      <c r="F419" s="11">
        <v>40603</v>
      </c>
      <c r="G419" s="12">
        <v>45597</v>
      </c>
      <c r="H419" s="13" t="s">
        <v>1</v>
      </c>
      <c r="I419" s="8" t="s">
        <v>2</v>
      </c>
      <c r="J419" s="14"/>
      <c r="K419" s="15" t="s">
        <v>980</v>
      </c>
      <c r="L419" t="s">
        <v>464</v>
      </c>
      <c r="M419" t="s">
        <v>15</v>
      </c>
      <c r="N419" t="str">
        <f t="shared" si="66"/>
        <v>https://api.bcb.gov.br/dados/serie/bcdata.sgs.20765/dados?formato=json</v>
      </c>
      <c r="O419">
        <v>6</v>
      </c>
      <c r="P419" t="s">
        <v>19</v>
      </c>
      <c r="Q419" t="s">
        <v>19</v>
      </c>
      <c r="R419" t="s">
        <v>913</v>
      </c>
      <c r="S419" t="s">
        <v>622</v>
      </c>
      <c r="T419" t="e">
        <f t="shared" si="69"/>
        <v>#VALUE!</v>
      </c>
      <c r="U419">
        <f t="shared" si="68"/>
        <v>20</v>
      </c>
    </row>
    <row r="420" spans="1:21" x14ac:dyDescent="0.25">
      <c r="A420" s="1"/>
      <c r="B420" s="1">
        <v>20766</v>
      </c>
      <c r="C420" s="2" t="s">
        <v>179</v>
      </c>
      <c r="D420" s="1" t="s">
        <v>358</v>
      </c>
      <c r="E420" s="3" t="s">
        <v>0</v>
      </c>
      <c r="F420" s="4">
        <v>40603</v>
      </c>
      <c r="G420" s="5">
        <v>45597</v>
      </c>
      <c r="H420" s="6" t="s">
        <v>1</v>
      </c>
      <c r="I420" s="1" t="s">
        <v>2</v>
      </c>
      <c r="J420" s="7"/>
      <c r="K420" s="15" t="s">
        <v>980</v>
      </c>
      <c r="L420" t="s">
        <v>464</v>
      </c>
      <c r="M420" t="s">
        <v>15</v>
      </c>
      <c r="N420" t="str">
        <f t="shared" si="66"/>
        <v>https://api.bcb.gov.br/dados/serie/bcdata.sgs.20766/dados?formato=json</v>
      </c>
      <c r="O420">
        <v>6</v>
      </c>
      <c r="P420" t="s">
        <v>19</v>
      </c>
      <c r="Q420" t="s">
        <v>19</v>
      </c>
      <c r="R420" t="s">
        <v>914</v>
      </c>
      <c r="S420" t="s">
        <v>622</v>
      </c>
      <c r="T420" t="e">
        <f t="shared" si="69"/>
        <v>#VALUE!</v>
      </c>
      <c r="U420">
        <f t="shared" si="68"/>
        <v>20</v>
      </c>
    </row>
    <row r="421" spans="1:21" x14ac:dyDescent="0.25">
      <c r="A421" s="8"/>
      <c r="B421" s="8">
        <v>20767</v>
      </c>
      <c r="C421" s="9" t="s">
        <v>180</v>
      </c>
      <c r="D421" s="1" t="s">
        <v>358</v>
      </c>
      <c r="E421" s="10" t="s">
        <v>0</v>
      </c>
      <c r="F421" s="11">
        <v>40603</v>
      </c>
      <c r="G421" s="12">
        <v>45597</v>
      </c>
      <c r="H421" s="13" t="s">
        <v>1</v>
      </c>
      <c r="I421" s="8" t="s">
        <v>2</v>
      </c>
      <c r="J421" s="14"/>
      <c r="K421" s="15" t="s">
        <v>980</v>
      </c>
      <c r="L421" t="s">
        <v>464</v>
      </c>
      <c r="M421" t="s">
        <v>15</v>
      </c>
      <c r="N421" t="str">
        <f t="shared" si="66"/>
        <v>https://api.bcb.gov.br/dados/serie/bcdata.sgs.20767/dados?formato=json</v>
      </c>
      <c r="O421">
        <v>6</v>
      </c>
      <c r="P421" t="s">
        <v>19</v>
      </c>
      <c r="Q421" t="s">
        <v>19</v>
      </c>
      <c r="R421" t="s">
        <v>915</v>
      </c>
      <c r="S421" t="s">
        <v>622</v>
      </c>
      <c r="T421" t="e">
        <f t="shared" si="69"/>
        <v>#VALUE!</v>
      </c>
      <c r="U421">
        <f t="shared" si="68"/>
        <v>20</v>
      </c>
    </row>
    <row r="422" spans="1:21" x14ac:dyDescent="0.25">
      <c r="A422" s="1"/>
      <c r="B422" s="1">
        <v>20768</v>
      </c>
      <c r="C422" s="2" t="s">
        <v>120</v>
      </c>
      <c r="D422" s="1" t="s">
        <v>358</v>
      </c>
      <c r="E422" s="3" t="s">
        <v>0</v>
      </c>
      <c r="F422" s="4">
        <v>40603</v>
      </c>
      <c r="G422" s="5">
        <v>45597</v>
      </c>
      <c r="H422" s="6" t="s">
        <v>1</v>
      </c>
      <c r="I422" s="1" t="s">
        <v>2</v>
      </c>
      <c r="J422" s="7"/>
      <c r="K422" s="15" t="s">
        <v>980</v>
      </c>
      <c r="L422" t="s">
        <v>464</v>
      </c>
      <c r="M422" t="s">
        <v>15</v>
      </c>
      <c r="N422" t="str">
        <f t="shared" si="66"/>
        <v>https://api.bcb.gov.br/dados/serie/bcdata.sgs.20768/dados?formato=json</v>
      </c>
      <c r="O422">
        <v>6</v>
      </c>
      <c r="P422" t="s">
        <v>19</v>
      </c>
      <c r="Q422" t="s">
        <v>19</v>
      </c>
      <c r="R422" t="s">
        <v>118</v>
      </c>
      <c r="S422" t="s">
        <v>621</v>
      </c>
      <c r="T422" t="e">
        <f t="shared" si="69"/>
        <v>#VALUE!</v>
      </c>
      <c r="U422">
        <f t="shared" ref="U422:U434" si="70">LEN("Pessoas físicas - ")</f>
        <v>18</v>
      </c>
    </row>
    <row r="423" spans="1:21" x14ac:dyDescent="0.25">
      <c r="A423" s="8"/>
      <c r="B423" s="8">
        <v>20769</v>
      </c>
      <c r="C423" s="9" t="s">
        <v>182</v>
      </c>
      <c r="D423" s="1" t="s">
        <v>358</v>
      </c>
      <c r="E423" s="10" t="s">
        <v>0</v>
      </c>
      <c r="F423" s="11">
        <v>40603</v>
      </c>
      <c r="G423" s="12">
        <v>45597</v>
      </c>
      <c r="H423" s="13" t="s">
        <v>1</v>
      </c>
      <c r="I423" s="8" t="s">
        <v>2</v>
      </c>
      <c r="J423" s="14"/>
      <c r="K423" s="15" t="s">
        <v>980</v>
      </c>
      <c r="L423" t="s">
        <v>464</v>
      </c>
      <c r="M423" t="s">
        <v>15</v>
      </c>
      <c r="N423" t="str">
        <f t="shared" si="66"/>
        <v>https://api.bcb.gov.br/dados/serie/bcdata.sgs.20769/dados?formato=json</v>
      </c>
      <c r="O423">
        <v>6</v>
      </c>
      <c r="P423" t="s">
        <v>19</v>
      </c>
      <c r="Q423" t="s">
        <v>19</v>
      </c>
      <c r="R423" t="s">
        <v>906</v>
      </c>
      <c r="S423" t="s">
        <v>621</v>
      </c>
      <c r="T423" t="e">
        <f t="shared" ref="T423:T434" si="71">RIGHT(S423,LEN(S423)-U423)</f>
        <v>#VALUE!</v>
      </c>
      <c r="U423">
        <f t="shared" si="70"/>
        <v>18</v>
      </c>
    </row>
    <row r="424" spans="1:21" x14ac:dyDescent="0.25">
      <c r="A424" s="1"/>
      <c r="B424" s="1">
        <v>20770</v>
      </c>
      <c r="C424" s="2" t="s">
        <v>183</v>
      </c>
      <c r="D424" s="1" t="s">
        <v>358</v>
      </c>
      <c r="E424" s="3" t="s">
        <v>0</v>
      </c>
      <c r="F424" s="4">
        <v>40603</v>
      </c>
      <c r="G424" s="5">
        <v>45597</v>
      </c>
      <c r="H424" s="6" t="s">
        <v>1</v>
      </c>
      <c r="I424" s="1" t="s">
        <v>2</v>
      </c>
      <c r="J424" s="7"/>
      <c r="K424" s="15" t="s">
        <v>980</v>
      </c>
      <c r="L424" t="s">
        <v>464</v>
      </c>
      <c r="M424" t="s">
        <v>15</v>
      </c>
      <c r="N424" t="str">
        <f t="shared" si="66"/>
        <v>https://api.bcb.gov.br/dados/serie/bcdata.sgs.20770/dados?formato=json</v>
      </c>
      <c r="O424">
        <v>6</v>
      </c>
      <c r="P424" t="s">
        <v>19</v>
      </c>
      <c r="Q424" t="s">
        <v>19</v>
      </c>
      <c r="R424" t="s">
        <v>907</v>
      </c>
      <c r="S424" t="s">
        <v>621</v>
      </c>
      <c r="T424" t="e">
        <f t="shared" si="71"/>
        <v>#VALUE!</v>
      </c>
      <c r="U424">
        <f t="shared" si="70"/>
        <v>18</v>
      </c>
    </row>
    <row r="425" spans="1:21" x14ac:dyDescent="0.25">
      <c r="A425" s="8"/>
      <c r="B425" s="8">
        <v>20771</v>
      </c>
      <c r="C425" s="9" t="s">
        <v>184</v>
      </c>
      <c r="D425" s="1" t="s">
        <v>358</v>
      </c>
      <c r="E425" s="10" t="s">
        <v>0</v>
      </c>
      <c r="F425" s="11">
        <v>40603</v>
      </c>
      <c r="G425" s="12">
        <v>45597</v>
      </c>
      <c r="H425" s="13" t="s">
        <v>1</v>
      </c>
      <c r="I425" s="8" t="s">
        <v>2</v>
      </c>
      <c r="J425" s="14"/>
      <c r="K425" s="15" t="s">
        <v>980</v>
      </c>
      <c r="L425" t="s">
        <v>464</v>
      </c>
      <c r="M425" t="s">
        <v>15</v>
      </c>
      <c r="N425" t="str">
        <f t="shared" si="66"/>
        <v>https://api.bcb.gov.br/dados/serie/bcdata.sgs.20771/dados?formato=json</v>
      </c>
      <c r="O425">
        <v>6</v>
      </c>
      <c r="P425" t="s">
        <v>19</v>
      </c>
      <c r="Q425" t="s">
        <v>19</v>
      </c>
      <c r="R425" t="s">
        <v>908</v>
      </c>
      <c r="S425" t="s">
        <v>621</v>
      </c>
      <c r="T425" t="e">
        <f t="shared" si="71"/>
        <v>#VALUE!</v>
      </c>
      <c r="U425">
        <f t="shared" si="70"/>
        <v>18</v>
      </c>
    </row>
    <row r="426" spans="1:21" x14ac:dyDescent="0.25">
      <c r="A426" s="1"/>
      <c r="B426" s="1">
        <v>20772</v>
      </c>
      <c r="C426" s="2" t="s">
        <v>185</v>
      </c>
      <c r="D426" s="1" t="s">
        <v>358</v>
      </c>
      <c r="E426" s="3" t="s">
        <v>0</v>
      </c>
      <c r="F426" s="4">
        <v>40603</v>
      </c>
      <c r="G426" s="5">
        <v>45597</v>
      </c>
      <c r="H426" s="6" t="s">
        <v>1</v>
      </c>
      <c r="I426" s="1" t="s">
        <v>2</v>
      </c>
      <c r="J426" s="7"/>
      <c r="K426" s="15" t="s">
        <v>980</v>
      </c>
      <c r="L426" t="s">
        <v>464</v>
      </c>
      <c r="M426" t="s">
        <v>15</v>
      </c>
      <c r="N426" t="str">
        <f t="shared" si="66"/>
        <v>https://api.bcb.gov.br/dados/serie/bcdata.sgs.20772/dados?formato=json</v>
      </c>
      <c r="O426">
        <v>6</v>
      </c>
      <c r="P426" t="s">
        <v>19</v>
      </c>
      <c r="Q426" t="s">
        <v>19</v>
      </c>
      <c r="R426" t="s">
        <v>909</v>
      </c>
      <c r="S426" t="s">
        <v>621</v>
      </c>
      <c r="T426" t="e">
        <f t="shared" si="71"/>
        <v>#VALUE!</v>
      </c>
      <c r="U426">
        <f t="shared" si="70"/>
        <v>18</v>
      </c>
    </row>
    <row r="427" spans="1:21" x14ac:dyDescent="0.25">
      <c r="A427" s="8"/>
      <c r="B427" s="8">
        <v>20773</v>
      </c>
      <c r="C427" s="9" t="s">
        <v>186</v>
      </c>
      <c r="D427" s="1" t="s">
        <v>358</v>
      </c>
      <c r="E427" s="10" t="s">
        <v>0</v>
      </c>
      <c r="F427" s="11">
        <v>40603</v>
      </c>
      <c r="G427" s="12">
        <v>45597</v>
      </c>
      <c r="H427" s="13" t="s">
        <v>1</v>
      </c>
      <c r="I427" s="8" t="s">
        <v>2</v>
      </c>
      <c r="J427" s="14"/>
      <c r="K427" s="15" t="s">
        <v>980</v>
      </c>
      <c r="L427" t="s">
        <v>464</v>
      </c>
      <c r="M427" t="s">
        <v>15</v>
      </c>
      <c r="N427" t="str">
        <f t="shared" si="66"/>
        <v>https://api.bcb.gov.br/dados/serie/bcdata.sgs.20773/dados?formato=json</v>
      </c>
      <c r="O427">
        <v>6</v>
      </c>
      <c r="P427" t="s">
        <v>19</v>
      </c>
      <c r="Q427" t="s">
        <v>19</v>
      </c>
      <c r="R427" t="s">
        <v>910</v>
      </c>
      <c r="S427" t="s">
        <v>621</v>
      </c>
      <c r="T427" t="e">
        <f t="shared" si="71"/>
        <v>#VALUE!</v>
      </c>
      <c r="U427">
        <f t="shared" si="70"/>
        <v>18</v>
      </c>
    </row>
    <row r="428" spans="1:21" x14ac:dyDescent="0.25">
      <c r="A428" s="1"/>
      <c r="B428" s="1">
        <v>20774</v>
      </c>
      <c r="C428" s="2" t="s">
        <v>187</v>
      </c>
      <c r="D428" s="1" t="s">
        <v>358</v>
      </c>
      <c r="E428" s="3" t="s">
        <v>0</v>
      </c>
      <c r="F428" s="4">
        <v>40603</v>
      </c>
      <c r="G428" s="5">
        <v>45597</v>
      </c>
      <c r="H428" s="6" t="s">
        <v>1</v>
      </c>
      <c r="I428" s="1" t="s">
        <v>2</v>
      </c>
      <c r="J428" s="7"/>
      <c r="K428" s="15" t="s">
        <v>980</v>
      </c>
      <c r="L428" t="s">
        <v>464</v>
      </c>
      <c r="M428" t="s">
        <v>15</v>
      </c>
      <c r="N428" t="str">
        <f t="shared" si="66"/>
        <v>https://api.bcb.gov.br/dados/serie/bcdata.sgs.20774/dados?formato=json</v>
      </c>
      <c r="O428">
        <v>6</v>
      </c>
      <c r="P428" t="s">
        <v>19</v>
      </c>
      <c r="Q428" t="s">
        <v>19</v>
      </c>
      <c r="R428" t="s">
        <v>911</v>
      </c>
      <c r="S428" t="s">
        <v>621</v>
      </c>
      <c r="T428" t="e">
        <f t="shared" si="71"/>
        <v>#VALUE!</v>
      </c>
      <c r="U428">
        <f t="shared" si="70"/>
        <v>18</v>
      </c>
    </row>
    <row r="429" spans="1:21" x14ac:dyDescent="0.25">
      <c r="A429" s="8"/>
      <c r="B429" s="8">
        <v>20776</v>
      </c>
      <c r="C429" s="9" t="s">
        <v>189</v>
      </c>
      <c r="D429" s="1" t="s">
        <v>358</v>
      </c>
      <c r="E429" s="10" t="s">
        <v>0</v>
      </c>
      <c r="F429" s="11">
        <v>40603</v>
      </c>
      <c r="G429" s="12">
        <v>45597</v>
      </c>
      <c r="H429" s="13" t="s">
        <v>1</v>
      </c>
      <c r="I429" s="8" t="s">
        <v>2</v>
      </c>
      <c r="J429" s="14"/>
      <c r="K429" s="15" t="s">
        <v>980</v>
      </c>
      <c r="L429" t="s">
        <v>464</v>
      </c>
      <c r="M429" t="s">
        <v>15</v>
      </c>
      <c r="N429" t="str">
        <f t="shared" si="66"/>
        <v>https://api.bcb.gov.br/dados/serie/bcdata.sgs.20776/dados?formato=json</v>
      </c>
      <c r="O429">
        <v>6</v>
      </c>
      <c r="P429" t="s">
        <v>19</v>
      </c>
      <c r="Q429" t="s">
        <v>19</v>
      </c>
      <c r="R429" t="s">
        <v>913</v>
      </c>
      <c r="S429" t="s">
        <v>621</v>
      </c>
      <c r="T429" t="e">
        <f t="shared" si="71"/>
        <v>#VALUE!</v>
      </c>
      <c r="U429">
        <f t="shared" si="70"/>
        <v>18</v>
      </c>
    </row>
    <row r="430" spans="1:21" x14ac:dyDescent="0.25">
      <c r="A430" s="1"/>
      <c r="B430" s="1">
        <v>20777</v>
      </c>
      <c r="C430" s="2" t="s">
        <v>190</v>
      </c>
      <c r="D430" s="1" t="s">
        <v>358</v>
      </c>
      <c r="E430" s="3" t="s">
        <v>0</v>
      </c>
      <c r="F430" s="4">
        <v>40603</v>
      </c>
      <c r="G430" s="5">
        <v>45597</v>
      </c>
      <c r="H430" s="6" t="s">
        <v>1</v>
      </c>
      <c r="I430" s="1" t="s">
        <v>2</v>
      </c>
      <c r="J430" s="7"/>
      <c r="K430" s="15" t="s">
        <v>980</v>
      </c>
      <c r="L430" t="s">
        <v>464</v>
      </c>
      <c r="M430" t="s">
        <v>15</v>
      </c>
      <c r="N430" t="str">
        <f t="shared" si="66"/>
        <v>https://api.bcb.gov.br/dados/serie/bcdata.sgs.20777/dados?formato=json</v>
      </c>
      <c r="O430">
        <v>6</v>
      </c>
      <c r="P430" t="s">
        <v>19</v>
      </c>
      <c r="Q430" t="s">
        <v>19</v>
      </c>
      <c r="R430" t="s">
        <v>914</v>
      </c>
      <c r="S430" t="s">
        <v>621</v>
      </c>
      <c r="T430" t="e">
        <f t="shared" si="71"/>
        <v>#VALUE!</v>
      </c>
      <c r="U430">
        <f t="shared" si="70"/>
        <v>18</v>
      </c>
    </row>
    <row r="431" spans="1:21" x14ac:dyDescent="0.25">
      <c r="A431" s="8"/>
      <c r="B431" s="8">
        <v>20778</v>
      </c>
      <c r="C431" s="9" t="s">
        <v>191</v>
      </c>
      <c r="D431" s="1" t="s">
        <v>358</v>
      </c>
      <c r="E431" s="10" t="s">
        <v>0</v>
      </c>
      <c r="F431" s="11">
        <v>40603</v>
      </c>
      <c r="G431" s="12">
        <v>45597</v>
      </c>
      <c r="H431" s="13" t="s">
        <v>1</v>
      </c>
      <c r="I431" s="8" t="s">
        <v>2</v>
      </c>
      <c r="J431" s="14"/>
      <c r="K431" s="15" t="s">
        <v>980</v>
      </c>
      <c r="L431" t="s">
        <v>464</v>
      </c>
      <c r="M431" t="s">
        <v>15</v>
      </c>
      <c r="N431" t="str">
        <f t="shared" si="66"/>
        <v>https://api.bcb.gov.br/dados/serie/bcdata.sgs.20778/dados?formato=json</v>
      </c>
      <c r="O431">
        <v>6</v>
      </c>
      <c r="P431" t="s">
        <v>19</v>
      </c>
      <c r="Q431" t="s">
        <v>19</v>
      </c>
      <c r="R431" t="s">
        <v>915</v>
      </c>
      <c r="S431" t="s">
        <v>621</v>
      </c>
      <c r="T431" t="e">
        <f t="shared" si="71"/>
        <v>#VALUE!</v>
      </c>
      <c r="U431">
        <f t="shared" si="70"/>
        <v>18</v>
      </c>
    </row>
    <row r="432" spans="1:21" x14ac:dyDescent="0.25">
      <c r="A432" s="1"/>
      <c r="B432" s="1">
        <v>20779</v>
      </c>
      <c r="C432" s="2" t="s">
        <v>192</v>
      </c>
      <c r="D432" s="1" t="s">
        <v>358</v>
      </c>
      <c r="E432" s="3" t="s">
        <v>0</v>
      </c>
      <c r="F432" s="4">
        <v>40603</v>
      </c>
      <c r="G432" s="5">
        <v>45597</v>
      </c>
      <c r="H432" s="6" t="s">
        <v>1</v>
      </c>
      <c r="I432" s="1" t="s">
        <v>2</v>
      </c>
      <c r="J432" s="7"/>
      <c r="K432" s="15" t="s">
        <v>980</v>
      </c>
      <c r="L432" t="s">
        <v>464</v>
      </c>
      <c r="M432" t="s">
        <v>15</v>
      </c>
      <c r="N432" t="str">
        <f t="shared" si="66"/>
        <v>https://api.bcb.gov.br/dados/serie/bcdata.sgs.20779/dados?formato=json</v>
      </c>
      <c r="O432">
        <v>6</v>
      </c>
      <c r="P432" t="s">
        <v>19</v>
      </c>
      <c r="Q432" t="s">
        <v>19</v>
      </c>
      <c r="R432" t="s">
        <v>917</v>
      </c>
      <c r="S432" t="s">
        <v>621</v>
      </c>
      <c r="T432" t="e">
        <f t="shared" si="71"/>
        <v>#VALUE!</v>
      </c>
      <c r="U432">
        <f t="shared" si="70"/>
        <v>18</v>
      </c>
    </row>
    <row r="433" spans="1:21" x14ac:dyDescent="0.25">
      <c r="A433" s="8"/>
      <c r="B433" s="8">
        <v>20780</v>
      </c>
      <c r="C433" s="9" t="s">
        <v>193</v>
      </c>
      <c r="D433" s="1" t="s">
        <v>358</v>
      </c>
      <c r="E433" s="10" t="s">
        <v>0</v>
      </c>
      <c r="F433" s="11">
        <v>40603</v>
      </c>
      <c r="G433" s="12">
        <v>45597</v>
      </c>
      <c r="H433" s="13" t="s">
        <v>1</v>
      </c>
      <c r="I433" s="8" t="s">
        <v>2</v>
      </c>
      <c r="J433" s="14"/>
      <c r="K433" s="15" t="s">
        <v>980</v>
      </c>
      <c r="L433" t="s">
        <v>464</v>
      </c>
      <c r="M433" t="s">
        <v>15</v>
      </c>
      <c r="N433" t="str">
        <f t="shared" si="66"/>
        <v>https://api.bcb.gov.br/dados/serie/bcdata.sgs.20780/dados?formato=json</v>
      </c>
      <c r="O433">
        <v>6</v>
      </c>
      <c r="P433" t="s">
        <v>19</v>
      </c>
      <c r="Q433" t="s">
        <v>19</v>
      </c>
      <c r="R433" t="s">
        <v>918</v>
      </c>
      <c r="S433" t="s">
        <v>621</v>
      </c>
      <c r="T433" t="e">
        <f t="shared" si="71"/>
        <v>#VALUE!</v>
      </c>
      <c r="U433">
        <f t="shared" si="70"/>
        <v>18</v>
      </c>
    </row>
    <row r="434" spans="1:21" x14ac:dyDescent="0.25">
      <c r="A434" s="1"/>
      <c r="B434" s="1">
        <v>20782</v>
      </c>
      <c r="C434" s="2" t="s">
        <v>194</v>
      </c>
      <c r="D434" s="1" t="s">
        <v>358</v>
      </c>
      <c r="E434" s="3" t="s">
        <v>0</v>
      </c>
      <c r="F434" s="4">
        <v>40603</v>
      </c>
      <c r="G434" s="5">
        <v>45597</v>
      </c>
      <c r="H434" s="6" t="s">
        <v>1</v>
      </c>
      <c r="I434" s="1" t="s">
        <v>2</v>
      </c>
      <c r="J434" s="7"/>
      <c r="K434" s="15" t="s">
        <v>980</v>
      </c>
      <c r="L434" t="s">
        <v>464</v>
      </c>
      <c r="M434" t="s">
        <v>15</v>
      </c>
      <c r="N434" t="str">
        <f t="shared" si="66"/>
        <v>https://api.bcb.gov.br/dados/serie/bcdata.sgs.20782/dados?formato=json</v>
      </c>
      <c r="O434">
        <v>6</v>
      </c>
      <c r="P434" t="s">
        <v>19</v>
      </c>
      <c r="Q434" t="s">
        <v>19</v>
      </c>
      <c r="R434" t="s">
        <v>919</v>
      </c>
      <c r="S434" t="s">
        <v>621</v>
      </c>
      <c r="T434" t="e">
        <f t="shared" si="71"/>
        <v>#VALUE!</v>
      </c>
      <c r="U434">
        <f t="shared" si="70"/>
        <v>18</v>
      </c>
    </row>
    <row r="435" spans="1:21" x14ac:dyDescent="0.25">
      <c r="A435" s="1"/>
      <c r="B435" s="1">
        <v>20019</v>
      </c>
      <c r="C435" s="2" t="s">
        <v>403</v>
      </c>
      <c r="D435" s="1" t="s">
        <v>358</v>
      </c>
      <c r="E435" s="3" t="s">
        <v>0</v>
      </c>
      <c r="F435" s="4">
        <v>40603</v>
      </c>
      <c r="G435" s="5">
        <v>45597</v>
      </c>
      <c r="H435" s="6" t="s">
        <v>404</v>
      </c>
      <c r="I435" s="1" t="s">
        <v>2</v>
      </c>
      <c r="J435" s="7"/>
      <c r="K435" s="15" t="s">
        <v>403</v>
      </c>
      <c r="L435" t="s">
        <v>405</v>
      </c>
      <c r="M435" t="s">
        <v>15</v>
      </c>
      <c r="N435" t="str">
        <f t="shared" ref="N435" si="72">_xlfn.CONCAT("https://api.bcb.gov.br/dados/serie/bcdata.sgs.",B435,"/dados?formato=json")</f>
        <v>https://api.bcb.gov.br/dados/serie/bcdata.sgs.20019/dados?formato=json</v>
      </c>
      <c r="O435">
        <v>6</v>
      </c>
      <c r="P435" t="s">
        <v>19</v>
      </c>
      <c r="Q435" t="s">
        <v>19</v>
      </c>
      <c r="R435" t="s">
        <v>118</v>
      </c>
      <c r="S435" t="s">
        <v>403</v>
      </c>
    </row>
    <row r="436" spans="1:21" x14ac:dyDescent="0.25">
      <c r="A436" s="1"/>
      <c r="B436" s="1">
        <v>25433</v>
      </c>
      <c r="C436" s="2" t="s">
        <v>118</v>
      </c>
      <c r="D436" s="1" t="s">
        <v>406</v>
      </c>
      <c r="E436" s="3" t="s">
        <v>0</v>
      </c>
      <c r="F436" s="4">
        <v>40603</v>
      </c>
      <c r="G436" s="5">
        <v>45597</v>
      </c>
      <c r="H436" s="6" t="s">
        <v>1</v>
      </c>
      <c r="I436" s="1" t="s">
        <v>2</v>
      </c>
      <c r="J436" s="7"/>
      <c r="K436" s="15" t="s">
        <v>981</v>
      </c>
      <c r="L436" t="s">
        <v>462</v>
      </c>
      <c r="M436" t="s">
        <v>15</v>
      </c>
      <c r="N436" t="str">
        <f t="shared" ref="N436:N440" si="73">_xlfn.CONCAT("https://api.bcb.gov.br/dados/serie/bcdata.sgs.",B436,"/dados?formato=json")</f>
        <v>https://api.bcb.gov.br/dados/serie/bcdata.sgs.25433/dados?formato=json</v>
      </c>
      <c r="O436">
        <v>6</v>
      </c>
      <c r="P436" t="s">
        <v>19</v>
      </c>
      <c r="Q436" t="s">
        <v>19</v>
      </c>
      <c r="R436" t="s">
        <v>118</v>
      </c>
      <c r="S436" t="s">
        <v>118</v>
      </c>
    </row>
    <row r="437" spans="1:21" x14ac:dyDescent="0.25">
      <c r="A437" s="8"/>
      <c r="B437" s="8">
        <v>27638</v>
      </c>
      <c r="C437" s="9" t="s">
        <v>371</v>
      </c>
      <c r="D437" s="1" t="s">
        <v>406</v>
      </c>
      <c r="E437" s="10" t="s">
        <v>0</v>
      </c>
      <c r="F437" s="11">
        <v>40603</v>
      </c>
      <c r="G437" s="12">
        <v>45597</v>
      </c>
      <c r="H437" s="13" t="s">
        <v>1</v>
      </c>
      <c r="I437" s="8" t="s">
        <v>2</v>
      </c>
      <c r="J437" s="14"/>
      <c r="K437" s="15" t="s">
        <v>981</v>
      </c>
      <c r="L437" t="s">
        <v>462</v>
      </c>
      <c r="M437" t="s">
        <v>15</v>
      </c>
      <c r="N437" t="str">
        <f t="shared" si="73"/>
        <v>https://api.bcb.gov.br/dados/serie/bcdata.sgs.27638/dados?formato=json</v>
      </c>
      <c r="O437">
        <v>6</v>
      </c>
      <c r="P437" t="s">
        <v>19</v>
      </c>
      <c r="Q437" t="s">
        <v>19</v>
      </c>
      <c r="R437" t="s">
        <v>970</v>
      </c>
      <c r="S437" t="s">
        <v>118</v>
      </c>
    </row>
    <row r="438" spans="1:21" x14ac:dyDescent="0.25">
      <c r="A438" s="1"/>
      <c r="B438" s="1">
        <v>25434</v>
      </c>
      <c r="C438" s="2" t="s">
        <v>119</v>
      </c>
      <c r="D438" s="1" t="s">
        <v>406</v>
      </c>
      <c r="E438" s="3" t="s">
        <v>0</v>
      </c>
      <c r="F438" s="4">
        <v>40603</v>
      </c>
      <c r="G438" s="5">
        <v>45597</v>
      </c>
      <c r="H438" s="6" t="s">
        <v>1</v>
      </c>
      <c r="I438" s="1" t="s">
        <v>2</v>
      </c>
      <c r="J438" s="7"/>
      <c r="K438" s="15" t="s">
        <v>981</v>
      </c>
      <c r="L438" t="s">
        <v>462</v>
      </c>
      <c r="M438" t="s">
        <v>15</v>
      </c>
      <c r="N438" t="str">
        <f t="shared" si="73"/>
        <v>https://api.bcb.gov.br/dados/serie/bcdata.sgs.25434/dados?formato=json</v>
      </c>
      <c r="O438">
        <v>6</v>
      </c>
      <c r="P438" t="s">
        <v>19</v>
      </c>
      <c r="Q438" t="s">
        <v>19</v>
      </c>
      <c r="R438" t="s">
        <v>118</v>
      </c>
      <c r="S438" t="s">
        <v>622</v>
      </c>
    </row>
    <row r="439" spans="1:21" x14ac:dyDescent="0.25">
      <c r="A439" s="1"/>
      <c r="B439" s="1">
        <v>25435</v>
      </c>
      <c r="C439" s="2" t="s">
        <v>120</v>
      </c>
      <c r="D439" s="1" t="s">
        <v>406</v>
      </c>
      <c r="E439" s="3" t="s">
        <v>0</v>
      </c>
      <c r="F439" s="4">
        <v>40603</v>
      </c>
      <c r="G439" s="5">
        <v>45597</v>
      </c>
      <c r="H439" s="6" t="s">
        <v>1</v>
      </c>
      <c r="I439" s="1" t="s">
        <v>2</v>
      </c>
      <c r="J439" s="7"/>
      <c r="K439" s="15" t="s">
        <v>981</v>
      </c>
      <c r="L439" t="s">
        <v>462</v>
      </c>
      <c r="M439" t="s">
        <v>15</v>
      </c>
      <c r="N439" t="str">
        <f t="shared" si="73"/>
        <v>https://api.bcb.gov.br/dados/serie/bcdata.sgs.25435/dados?formato=json</v>
      </c>
      <c r="O439">
        <v>6</v>
      </c>
      <c r="P439" t="s">
        <v>19</v>
      </c>
      <c r="Q439" t="s">
        <v>19</v>
      </c>
      <c r="R439" t="s">
        <v>118</v>
      </c>
      <c r="S439" t="s">
        <v>621</v>
      </c>
    </row>
    <row r="440" spans="1:21" x14ac:dyDescent="0.25">
      <c r="A440" s="8"/>
      <c r="B440" s="8">
        <v>27640</v>
      </c>
      <c r="C440" s="9" t="s">
        <v>378</v>
      </c>
      <c r="D440" s="1" t="s">
        <v>406</v>
      </c>
      <c r="E440" s="10" t="s">
        <v>0</v>
      </c>
      <c r="F440" s="11">
        <v>40603</v>
      </c>
      <c r="G440" s="12">
        <v>45597</v>
      </c>
      <c r="H440" s="13" t="s">
        <v>1</v>
      </c>
      <c r="I440" s="8" t="s">
        <v>2</v>
      </c>
      <c r="J440" s="14"/>
      <c r="K440" s="15" t="s">
        <v>981</v>
      </c>
      <c r="L440" t="s">
        <v>462</v>
      </c>
      <c r="M440" t="s">
        <v>15</v>
      </c>
      <c r="N440" t="str">
        <f t="shared" si="73"/>
        <v>https://api.bcb.gov.br/dados/serie/bcdata.sgs.27640/dados?formato=json</v>
      </c>
      <c r="O440">
        <v>6</v>
      </c>
      <c r="P440" t="s">
        <v>19</v>
      </c>
      <c r="Q440" t="s">
        <v>19</v>
      </c>
      <c r="R440" t="s">
        <v>970</v>
      </c>
      <c r="S440" t="s">
        <v>621</v>
      </c>
    </row>
    <row r="441" spans="1:21" x14ac:dyDescent="0.25">
      <c r="A441" s="1"/>
      <c r="B441" s="1">
        <v>25436</v>
      </c>
      <c r="C441" s="2" t="s">
        <v>118</v>
      </c>
      <c r="D441" s="1" t="s">
        <v>406</v>
      </c>
      <c r="E441" s="3" t="s">
        <v>0</v>
      </c>
      <c r="F441" s="4">
        <v>40603</v>
      </c>
      <c r="G441" s="5">
        <v>45597</v>
      </c>
      <c r="H441" s="6" t="s">
        <v>1</v>
      </c>
      <c r="I441" s="1" t="s">
        <v>2</v>
      </c>
      <c r="J441" s="7"/>
      <c r="K441" s="15" t="s">
        <v>982</v>
      </c>
      <c r="L441" t="s">
        <v>463</v>
      </c>
      <c r="M441" t="s">
        <v>15</v>
      </c>
      <c r="N441" t="str">
        <f t="shared" ref="N441" si="74">_xlfn.CONCAT("https://api.bcb.gov.br/dados/serie/bcdata.sgs.",B441,"/dados?formato=json")</f>
        <v>https://api.bcb.gov.br/dados/serie/bcdata.sgs.25436/dados?formato=json</v>
      </c>
      <c r="O441">
        <v>6</v>
      </c>
      <c r="P441" t="s">
        <v>19</v>
      </c>
      <c r="Q441" t="s">
        <v>19</v>
      </c>
      <c r="R441" t="s">
        <v>118</v>
      </c>
      <c r="S441" t="s">
        <v>118</v>
      </c>
    </row>
    <row r="442" spans="1:21" x14ac:dyDescent="0.25">
      <c r="A442" s="8"/>
      <c r="B442" s="8">
        <v>27641</v>
      </c>
      <c r="C442" s="9" t="s">
        <v>371</v>
      </c>
      <c r="D442" s="8" t="s">
        <v>406</v>
      </c>
      <c r="E442" s="10" t="s">
        <v>0</v>
      </c>
      <c r="F442" s="11">
        <v>40603</v>
      </c>
      <c r="G442" s="12">
        <v>45597</v>
      </c>
      <c r="H442" s="13" t="s">
        <v>1</v>
      </c>
      <c r="I442" s="8" t="s">
        <v>2</v>
      </c>
      <c r="J442" s="14"/>
      <c r="K442" s="15" t="s">
        <v>982</v>
      </c>
      <c r="L442" t="s">
        <v>463</v>
      </c>
      <c r="M442" t="s">
        <v>15</v>
      </c>
      <c r="N442" t="str">
        <f t="shared" ref="N442:N488" si="75">_xlfn.CONCAT("https://api.bcb.gov.br/dados/serie/bcdata.sgs.",B442,"/dados?formato=json")</f>
        <v>https://api.bcb.gov.br/dados/serie/bcdata.sgs.27641/dados?formato=json</v>
      </c>
      <c r="O442">
        <v>6</v>
      </c>
      <c r="P442" t="s">
        <v>19</v>
      </c>
      <c r="Q442" t="s">
        <v>19</v>
      </c>
      <c r="R442" t="s">
        <v>970</v>
      </c>
      <c r="S442" t="s">
        <v>118</v>
      </c>
    </row>
    <row r="443" spans="1:21" x14ac:dyDescent="0.25">
      <c r="A443" s="1"/>
      <c r="B443" s="1">
        <v>25437</v>
      </c>
      <c r="C443" s="2" t="s">
        <v>119</v>
      </c>
      <c r="D443" s="1" t="s">
        <v>406</v>
      </c>
      <c r="E443" s="3" t="s">
        <v>0</v>
      </c>
      <c r="F443" s="4">
        <v>40603</v>
      </c>
      <c r="G443" s="5">
        <v>45597</v>
      </c>
      <c r="H443" s="6" t="s">
        <v>1</v>
      </c>
      <c r="I443" s="1" t="s">
        <v>2</v>
      </c>
      <c r="J443" s="7"/>
      <c r="K443" s="15" t="s">
        <v>982</v>
      </c>
      <c r="L443" t="s">
        <v>463</v>
      </c>
      <c r="M443" t="s">
        <v>15</v>
      </c>
      <c r="N443" t="str">
        <f t="shared" si="75"/>
        <v>https://api.bcb.gov.br/dados/serie/bcdata.sgs.25437/dados?formato=json</v>
      </c>
      <c r="O443">
        <v>6</v>
      </c>
      <c r="P443" t="s">
        <v>19</v>
      </c>
      <c r="Q443" t="s">
        <v>19</v>
      </c>
      <c r="R443" t="s">
        <v>118</v>
      </c>
      <c r="S443" t="s">
        <v>622</v>
      </c>
    </row>
    <row r="444" spans="1:21" x14ac:dyDescent="0.25">
      <c r="A444" s="8"/>
      <c r="B444" s="8">
        <v>27642</v>
      </c>
      <c r="C444" s="9" t="s">
        <v>377</v>
      </c>
      <c r="D444" s="8" t="s">
        <v>406</v>
      </c>
      <c r="E444" s="10" t="s">
        <v>0</v>
      </c>
      <c r="F444" s="11">
        <v>40603</v>
      </c>
      <c r="G444" s="12">
        <v>45597</v>
      </c>
      <c r="H444" s="13" t="s">
        <v>1</v>
      </c>
      <c r="I444" s="8" t="s">
        <v>2</v>
      </c>
      <c r="J444" s="14"/>
      <c r="K444" s="15" t="s">
        <v>982</v>
      </c>
      <c r="L444" t="s">
        <v>463</v>
      </c>
      <c r="M444" t="s">
        <v>15</v>
      </c>
      <c r="N444" t="str">
        <f t="shared" si="75"/>
        <v>https://api.bcb.gov.br/dados/serie/bcdata.sgs.27642/dados?formato=json</v>
      </c>
      <c r="O444">
        <v>6</v>
      </c>
      <c r="P444" t="s">
        <v>19</v>
      </c>
      <c r="Q444" t="s">
        <v>19</v>
      </c>
      <c r="R444" t="s">
        <v>970</v>
      </c>
      <c r="S444" t="s">
        <v>622</v>
      </c>
    </row>
    <row r="445" spans="1:21" x14ac:dyDescent="0.25">
      <c r="A445" s="1"/>
      <c r="B445" s="1">
        <v>25438</v>
      </c>
      <c r="C445" s="2" t="s">
        <v>123</v>
      </c>
      <c r="D445" s="1" t="s">
        <v>406</v>
      </c>
      <c r="E445" s="3" t="s">
        <v>0</v>
      </c>
      <c r="F445" s="4">
        <v>34516</v>
      </c>
      <c r="G445" s="5">
        <v>45597</v>
      </c>
      <c r="H445" s="6" t="s">
        <v>1</v>
      </c>
      <c r="I445" s="1" t="s">
        <v>2</v>
      </c>
      <c r="J445" s="7"/>
      <c r="K445" s="15" t="s">
        <v>982</v>
      </c>
      <c r="L445" t="s">
        <v>463</v>
      </c>
      <c r="M445" t="s">
        <v>15</v>
      </c>
      <c r="N445" t="str">
        <f t="shared" si="75"/>
        <v>https://api.bcb.gov.br/dados/serie/bcdata.sgs.25438/dados?formato=json</v>
      </c>
      <c r="O445">
        <v>6</v>
      </c>
      <c r="P445" t="s">
        <v>19</v>
      </c>
      <c r="Q445" t="s">
        <v>19</v>
      </c>
      <c r="R445" t="s">
        <v>873</v>
      </c>
      <c r="S445" t="s">
        <v>622</v>
      </c>
      <c r="T445" t="e">
        <f t="shared" ref="T445" si="76">RIGHT(S445,LEN(S445)-U445)</f>
        <v>#VALUE!</v>
      </c>
      <c r="U445">
        <f t="shared" ref="U445:U468" si="77">LEN("Setor de serviços - ")</f>
        <v>20</v>
      </c>
    </row>
    <row r="446" spans="1:21" x14ac:dyDescent="0.25">
      <c r="A446" s="8"/>
      <c r="B446" s="8">
        <v>25439</v>
      </c>
      <c r="C446" s="9" t="s">
        <v>124</v>
      </c>
      <c r="D446" s="8" t="s">
        <v>406</v>
      </c>
      <c r="E446" s="10" t="s">
        <v>0</v>
      </c>
      <c r="F446" s="11">
        <v>40603</v>
      </c>
      <c r="G446" s="12">
        <v>45597</v>
      </c>
      <c r="H446" s="13" t="s">
        <v>1</v>
      </c>
      <c r="I446" s="8" t="s">
        <v>2</v>
      </c>
      <c r="J446" s="14"/>
      <c r="K446" s="15" t="s">
        <v>982</v>
      </c>
      <c r="L446" t="s">
        <v>463</v>
      </c>
      <c r="M446" t="s">
        <v>15</v>
      </c>
      <c r="N446" t="str">
        <f t="shared" si="75"/>
        <v>https://api.bcb.gov.br/dados/serie/bcdata.sgs.25439/dados?formato=json</v>
      </c>
      <c r="O446">
        <v>6</v>
      </c>
      <c r="P446" t="s">
        <v>19</v>
      </c>
      <c r="Q446" t="s">
        <v>19</v>
      </c>
      <c r="R446" t="s">
        <v>874</v>
      </c>
      <c r="S446" t="s">
        <v>622</v>
      </c>
      <c r="T446" t="e">
        <f t="shared" ref="T446:T468" si="78">RIGHT(S446,LEN(S446)-U446)</f>
        <v>#VALUE!</v>
      </c>
      <c r="U446">
        <f t="shared" si="77"/>
        <v>20</v>
      </c>
    </row>
    <row r="447" spans="1:21" x14ac:dyDescent="0.25">
      <c r="A447" s="1"/>
      <c r="B447" s="1">
        <v>25440</v>
      </c>
      <c r="C447" s="2" t="s">
        <v>125</v>
      </c>
      <c r="D447" s="1" t="s">
        <v>406</v>
      </c>
      <c r="E447" s="3" t="s">
        <v>0</v>
      </c>
      <c r="F447" s="4">
        <v>40603</v>
      </c>
      <c r="G447" s="5">
        <v>45597</v>
      </c>
      <c r="H447" s="6" t="s">
        <v>1</v>
      </c>
      <c r="I447" s="1" t="s">
        <v>2</v>
      </c>
      <c r="J447" s="7"/>
      <c r="K447" s="15" t="s">
        <v>982</v>
      </c>
      <c r="L447" t="s">
        <v>463</v>
      </c>
      <c r="M447" t="s">
        <v>15</v>
      </c>
      <c r="N447" t="str">
        <f t="shared" si="75"/>
        <v>https://api.bcb.gov.br/dados/serie/bcdata.sgs.25440/dados?formato=json</v>
      </c>
      <c r="O447">
        <v>6</v>
      </c>
      <c r="P447" t="s">
        <v>19</v>
      </c>
      <c r="Q447" t="s">
        <v>19</v>
      </c>
      <c r="R447" t="s">
        <v>875</v>
      </c>
      <c r="S447" t="s">
        <v>622</v>
      </c>
      <c r="T447" t="e">
        <f t="shared" si="78"/>
        <v>#VALUE!</v>
      </c>
      <c r="U447">
        <f t="shared" si="77"/>
        <v>20</v>
      </c>
    </row>
    <row r="448" spans="1:21" x14ac:dyDescent="0.25">
      <c r="A448" s="8"/>
      <c r="B448" s="8">
        <v>25441</v>
      </c>
      <c r="C448" s="9" t="s">
        <v>126</v>
      </c>
      <c r="D448" s="8" t="s">
        <v>406</v>
      </c>
      <c r="E448" s="10" t="s">
        <v>0</v>
      </c>
      <c r="F448" s="11">
        <v>40603</v>
      </c>
      <c r="G448" s="12">
        <v>45597</v>
      </c>
      <c r="H448" s="13" t="s">
        <v>1</v>
      </c>
      <c r="I448" s="8" t="s">
        <v>2</v>
      </c>
      <c r="J448" s="14"/>
      <c r="K448" s="15" t="s">
        <v>982</v>
      </c>
      <c r="L448" t="s">
        <v>463</v>
      </c>
      <c r="M448" t="s">
        <v>15</v>
      </c>
      <c r="N448" t="str">
        <f t="shared" si="75"/>
        <v>https://api.bcb.gov.br/dados/serie/bcdata.sgs.25441/dados?formato=json</v>
      </c>
      <c r="O448">
        <v>6</v>
      </c>
      <c r="P448" t="s">
        <v>19</v>
      </c>
      <c r="Q448" t="s">
        <v>19</v>
      </c>
      <c r="R448" t="s">
        <v>876</v>
      </c>
      <c r="S448" t="s">
        <v>622</v>
      </c>
      <c r="T448" t="e">
        <f t="shared" si="78"/>
        <v>#VALUE!</v>
      </c>
      <c r="U448">
        <f t="shared" si="77"/>
        <v>20</v>
      </c>
    </row>
    <row r="449" spans="1:21" x14ac:dyDescent="0.25">
      <c r="A449" s="1"/>
      <c r="B449" s="1">
        <v>25442</v>
      </c>
      <c r="C449" s="2" t="s">
        <v>127</v>
      </c>
      <c r="D449" s="1" t="s">
        <v>406</v>
      </c>
      <c r="E449" s="3" t="s">
        <v>0</v>
      </c>
      <c r="F449" s="4">
        <v>40603</v>
      </c>
      <c r="G449" s="5">
        <v>45597</v>
      </c>
      <c r="H449" s="6" t="s">
        <v>1</v>
      </c>
      <c r="I449" s="1" t="s">
        <v>2</v>
      </c>
      <c r="J449" s="7"/>
      <c r="K449" s="15" t="s">
        <v>982</v>
      </c>
      <c r="L449" t="s">
        <v>463</v>
      </c>
      <c r="M449" t="s">
        <v>15</v>
      </c>
      <c r="N449" t="str">
        <f t="shared" si="75"/>
        <v>https://api.bcb.gov.br/dados/serie/bcdata.sgs.25442/dados?formato=json</v>
      </c>
      <c r="O449">
        <v>6</v>
      </c>
      <c r="P449" t="s">
        <v>19</v>
      </c>
      <c r="Q449" t="s">
        <v>19</v>
      </c>
      <c r="R449" t="s">
        <v>877</v>
      </c>
      <c r="S449" t="s">
        <v>622</v>
      </c>
      <c r="T449" t="e">
        <f t="shared" si="78"/>
        <v>#VALUE!</v>
      </c>
      <c r="U449">
        <f t="shared" si="77"/>
        <v>20</v>
      </c>
    </row>
    <row r="450" spans="1:21" x14ac:dyDescent="0.25">
      <c r="A450" s="8"/>
      <c r="B450" s="8">
        <v>25443</v>
      </c>
      <c r="C450" s="9" t="s">
        <v>128</v>
      </c>
      <c r="D450" s="8" t="s">
        <v>406</v>
      </c>
      <c r="E450" s="10" t="s">
        <v>0</v>
      </c>
      <c r="F450" s="11">
        <v>40603</v>
      </c>
      <c r="G450" s="12">
        <v>45597</v>
      </c>
      <c r="H450" s="13" t="s">
        <v>1</v>
      </c>
      <c r="I450" s="8" t="s">
        <v>2</v>
      </c>
      <c r="J450" s="14"/>
      <c r="K450" s="15" t="s">
        <v>982</v>
      </c>
      <c r="L450" t="s">
        <v>463</v>
      </c>
      <c r="M450" t="s">
        <v>15</v>
      </c>
      <c r="N450" t="str">
        <f t="shared" si="75"/>
        <v>https://api.bcb.gov.br/dados/serie/bcdata.sgs.25443/dados?formato=json</v>
      </c>
      <c r="O450">
        <v>6</v>
      </c>
      <c r="P450" t="s">
        <v>19</v>
      </c>
      <c r="Q450" t="s">
        <v>19</v>
      </c>
      <c r="R450" t="s">
        <v>878</v>
      </c>
      <c r="S450" t="s">
        <v>622</v>
      </c>
      <c r="T450" t="e">
        <f t="shared" si="78"/>
        <v>#VALUE!</v>
      </c>
      <c r="U450">
        <f t="shared" si="77"/>
        <v>20</v>
      </c>
    </row>
    <row r="451" spans="1:21" x14ac:dyDescent="0.25">
      <c r="A451" s="1"/>
      <c r="B451" s="1">
        <v>25444</v>
      </c>
      <c r="C451" s="2" t="s">
        <v>129</v>
      </c>
      <c r="D451" s="1" t="s">
        <v>406</v>
      </c>
      <c r="E451" s="3" t="s">
        <v>0</v>
      </c>
      <c r="F451" s="4">
        <v>36678</v>
      </c>
      <c r="G451" s="5">
        <v>45597</v>
      </c>
      <c r="H451" s="6" t="s">
        <v>1</v>
      </c>
      <c r="I451" s="1" t="s">
        <v>2</v>
      </c>
      <c r="J451" s="7"/>
      <c r="K451" s="15" t="s">
        <v>982</v>
      </c>
      <c r="L451" t="s">
        <v>463</v>
      </c>
      <c r="M451" t="s">
        <v>15</v>
      </c>
      <c r="N451" t="str">
        <f t="shared" si="75"/>
        <v>https://api.bcb.gov.br/dados/serie/bcdata.sgs.25444/dados?formato=json</v>
      </c>
      <c r="O451">
        <v>6</v>
      </c>
      <c r="P451" t="s">
        <v>19</v>
      </c>
      <c r="Q451" t="s">
        <v>19</v>
      </c>
      <c r="R451" t="s">
        <v>879</v>
      </c>
      <c r="S451" t="s">
        <v>622</v>
      </c>
      <c r="T451" t="e">
        <f t="shared" si="78"/>
        <v>#VALUE!</v>
      </c>
      <c r="U451">
        <f t="shared" si="77"/>
        <v>20</v>
      </c>
    </row>
    <row r="452" spans="1:21" x14ac:dyDescent="0.25">
      <c r="A452" s="8"/>
      <c r="B452" s="8">
        <v>25445</v>
      </c>
      <c r="C452" s="9" t="s">
        <v>130</v>
      </c>
      <c r="D452" s="8" t="s">
        <v>406</v>
      </c>
      <c r="E452" s="10" t="s">
        <v>0</v>
      </c>
      <c r="F452" s="11">
        <v>40603</v>
      </c>
      <c r="G452" s="12">
        <v>45597</v>
      </c>
      <c r="H452" s="13" t="s">
        <v>1</v>
      </c>
      <c r="I452" s="8" t="s">
        <v>2</v>
      </c>
      <c r="J452" s="14"/>
      <c r="K452" s="15" t="s">
        <v>982</v>
      </c>
      <c r="L452" t="s">
        <v>463</v>
      </c>
      <c r="M452" t="s">
        <v>15</v>
      </c>
      <c r="N452" t="str">
        <f t="shared" si="75"/>
        <v>https://api.bcb.gov.br/dados/serie/bcdata.sgs.25445/dados?formato=json</v>
      </c>
      <c r="O452">
        <v>6</v>
      </c>
      <c r="P452" t="s">
        <v>19</v>
      </c>
      <c r="Q452" t="s">
        <v>19</v>
      </c>
      <c r="R452" t="s">
        <v>880</v>
      </c>
      <c r="S452" t="s">
        <v>622</v>
      </c>
      <c r="T452" t="e">
        <f t="shared" si="78"/>
        <v>#VALUE!</v>
      </c>
      <c r="U452">
        <f t="shared" si="77"/>
        <v>20</v>
      </c>
    </row>
    <row r="453" spans="1:21" x14ac:dyDescent="0.25">
      <c r="A453" s="1"/>
      <c r="B453" s="1">
        <v>25446</v>
      </c>
      <c r="C453" s="2" t="s">
        <v>131</v>
      </c>
      <c r="D453" s="1" t="s">
        <v>406</v>
      </c>
      <c r="E453" s="3" t="s">
        <v>0</v>
      </c>
      <c r="F453" s="4">
        <v>40603</v>
      </c>
      <c r="G453" s="5">
        <v>45597</v>
      </c>
      <c r="H453" s="6" t="s">
        <v>1</v>
      </c>
      <c r="I453" s="1" t="s">
        <v>2</v>
      </c>
      <c r="J453" s="7"/>
      <c r="K453" s="15" t="s">
        <v>982</v>
      </c>
      <c r="L453" t="s">
        <v>463</v>
      </c>
      <c r="M453" t="s">
        <v>15</v>
      </c>
      <c r="N453" t="str">
        <f t="shared" si="75"/>
        <v>https://api.bcb.gov.br/dados/serie/bcdata.sgs.25446/dados?formato=json</v>
      </c>
      <c r="O453">
        <v>6</v>
      </c>
      <c r="P453" t="s">
        <v>19</v>
      </c>
      <c r="Q453" t="s">
        <v>19</v>
      </c>
      <c r="R453" t="s">
        <v>881</v>
      </c>
      <c r="S453" t="s">
        <v>622</v>
      </c>
      <c r="T453" t="e">
        <f t="shared" si="78"/>
        <v>#VALUE!</v>
      </c>
      <c r="U453">
        <f t="shared" si="77"/>
        <v>20</v>
      </c>
    </row>
    <row r="454" spans="1:21" x14ac:dyDescent="0.25">
      <c r="A454" s="8"/>
      <c r="B454" s="8">
        <v>25447</v>
      </c>
      <c r="C454" s="9" t="s">
        <v>132</v>
      </c>
      <c r="D454" s="8" t="s">
        <v>406</v>
      </c>
      <c r="E454" s="10" t="s">
        <v>0</v>
      </c>
      <c r="F454" s="11">
        <v>40603</v>
      </c>
      <c r="G454" s="12">
        <v>45597</v>
      </c>
      <c r="H454" s="13" t="s">
        <v>1</v>
      </c>
      <c r="I454" s="8" t="s">
        <v>2</v>
      </c>
      <c r="J454" s="14"/>
      <c r="K454" s="15" t="s">
        <v>982</v>
      </c>
      <c r="L454" t="s">
        <v>463</v>
      </c>
      <c r="M454" t="s">
        <v>15</v>
      </c>
      <c r="N454" t="str">
        <f t="shared" si="75"/>
        <v>https://api.bcb.gov.br/dados/serie/bcdata.sgs.25447/dados?formato=json</v>
      </c>
      <c r="O454">
        <v>6</v>
      </c>
      <c r="P454" t="s">
        <v>19</v>
      </c>
      <c r="Q454" t="s">
        <v>19</v>
      </c>
      <c r="R454" t="s">
        <v>882</v>
      </c>
      <c r="S454" t="s">
        <v>622</v>
      </c>
      <c r="T454" t="e">
        <f t="shared" si="78"/>
        <v>#VALUE!</v>
      </c>
      <c r="U454">
        <f t="shared" si="77"/>
        <v>20</v>
      </c>
    </row>
    <row r="455" spans="1:21" x14ac:dyDescent="0.25">
      <c r="A455" s="1"/>
      <c r="B455" s="1">
        <v>25448</v>
      </c>
      <c r="C455" s="2" t="s">
        <v>133</v>
      </c>
      <c r="D455" s="1" t="s">
        <v>406</v>
      </c>
      <c r="E455" s="3" t="s">
        <v>0</v>
      </c>
      <c r="F455" s="4">
        <v>40603</v>
      </c>
      <c r="G455" s="5">
        <v>45597</v>
      </c>
      <c r="H455" s="6" t="s">
        <v>1</v>
      </c>
      <c r="I455" s="1" t="s">
        <v>2</v>
      </c>
      <c r="J455" s="7"/>
      <c r="K455" s="15" t="s">
        <v>982</v>
      </c>
      <c r="L455" t="s">
        <v>463</v>
      </c>
      <c r="M455" t="s">
        <v>15</v>
      </c>
      <c r="N455" t="str">
        <f t="shared" si="75"/>
        <v>https://api.bcb.gov.br/dados/serie/bcdata.sgs.25448/dados?formato=json</v>
      </c>
      <c r="O455">
        <v>6</v>
      </c>
      <c r="P455" t="s">
        <v>19</v>
      </c>
      <c r="Q455" t="s">
        <v>19</v>
      </c>
      <c r="R455" t="s">
        <v>883</v>
      </c>
      <c r="S455" t="s">
        <v>622</v>
      </c>
      <c r="T455" t="e">
        <f t="shared" si="78"/>
        <v>#VALUE!</v>
      </c>
      <c r="U455">
        <f t="shared" si="77"/>
        <v>20</v>
      </c>
    </row>
    <row r="456" spans="1:21" x14ac:dyDescent="0.25">
      <c r="A456" s="8"/>
      <c r="B456" s="8">
        <v>25449</v>
      </c>
      <c r="C456" s="9" t="s">
        <v>134</v>
      </c>
      <c r="D456" s="8" t="s">
        <v>406</v>
      </c>
      <c r="E456" s="10" t="s">
        <v>0</v>
      </c>
      <c r="F456" s="11">
        <v>40603</v>
      </c>
      <c r="G456" s="12">
        <v>45597</v>
      </c>
      <c r="H456" s="13" t="s">
        <v>1</v>
      </c>
      <c r="I456" s="8" t="s">
        <v>2</v>
      </c>
      <c r="J456" s="14"/>
      <c r="K456" s="15" t="s">
        <v>982</v>
      </c>
      <c r="L456" t="s">
        <v>463</v>
      </c>
      <c r="M456" t="s">
        <v>15</v>
      </c>
      <c r="N456" t="str">
        <f t="shared" si="75"/>
        <v>https://api.bcb.gov.br/dados/serie/bcdata.sgs.25449/dados?formato=json</v>
      </c>
      <c r="O456">
        <v>6</v>
      </c>
      <c r="P456" t="s">
        <v>19</v>
      </c>
      <c r="Q456" t="s">
        <v>19</v>
      </c>
      <c r="R456" t="s">
        <v>884</v>
      </c>
      <c r="S456" t="s">
        <v>622</v>
      </c>
      <c r="T456" t="e">
        <f t="shared" si="78"/>
        <v>#VALUE!</v>
      </c>
      <c r="U456">
        <f t="shared" si="77"/>
        <v>20</v>
      </c>
    </row>
    <row r="457" spans="1:21" x14ac:dyDescent="0.25">
      <c r="A457" s="1"/>
      <c r="B457" s="1">
        <v>25450</v>
      </c>
      <c r="C457" s="2" t="s">
        <v>135</v>
      </c>
      <c r="D457" s="1" t="s">
        <v>406</v>
      </c>
      <c r="E457" s="3" t="s">
        <v>0</v>
      </c>
      <c r="F457" s="4">
        <v>40603</v>
      </c>
      <c r="G457" s="5">
        <v>45597</v>
      </c>
      <c r="H457" s="6" t="s">
        <v>1</v>
      </c>
      <c r="I457" s="1" t="s">
        <v>2</v>
      </c>
      <c r="J457" s="7"/>
      <c r="K457" s="15" t="s">
        <v>982</v>
      </c>
      <c r="L457" t="s">
        <v>463</v>
      </c>
      <c r="M457" t="s">
        <v>15</v>
      </c>
      <c r="N457" t="str">
        <f t="shared" si="75"/>
        <v>https://api.bcb.gov.br/dados/serie/bcdata.sgs.25450/dados?formato=json</v>
      </c>
      <c r="O457">
        <v>6</v>
      </c>
      <c r="P457" t="s">
        <v>19</v>
      </c>
      <c r="Q457" t="s">
        <v>19</v>
      </c>
      <c r="R457" t="s">
        <v>885</v>
      </c>
      <c r="S457" t="s">
        <v>622</v>
      </c>
      <c r="T457" t="e">
        <f t="shared" si="78"/>
        <v>#VALUE!</v>
      </c>
      <c r="U457">
        <f t="shared" si="77"/>
        <v>20</v>
      </c>
    </row>
    <row r="458" spans="1:21" x14ac:dyDescent="0.25">
      <c r="A458" s="8"/>
      <c r="B458" s="8">
        <v>25451</v>
      </c>
      <c r="C458" s="9" t="s">
        <v>136</v>
      </c>
      <c r="D458" s="8" t="s">
        <v>406</v>
      </c>
      <c r="E458" s="10" t="s">
        <v>0</v>
      </c>
      <c r="F458" s="11">
        <v>40603</v>
      </c>
      <c r="G458" s="12">
        <v>45597</v>
      </c>
      <c r="H458" s="13" t="s">
        <v>1</v>
      </c>
      <c r="I458" s="8" t="s">
        <v>2</v>
      </c>
      <c r="J458" s="14"/>
      <c r="K458" s="15" t="s">
        <v>982</v>
      </c>
      <c r="L458" t="s">
        <v>463</v>
      </c>
      <c r="M458" t="s">
        <v>15</v>
      </c>
      <c r="N458" t="str">
        <f t="shared" si="75"/>
        <v>https://api.bcb.gov.br/dados/serie/bcdata.sgs.25451/dados?formato=json</v>
      </c>
      <c r="O458">
        <v>6</v>
      </c>
      <c r="P458" t="s">
        <v>19</v>
      </c>
      <c r="Q458" t="s">
        <v>19</v>
      </c>
      <c r="R458" t="s">
        <v>886</v>
      </c>
      <c r="S458" t="s">
        <v>622</v>
      </c>
      <c r="T458" t="e">
        <f t="shared" si="78"/>
        <v>#VALUE!</v>
      </c>
      <c r="U458">
        <f t="shared" si="77"/>
        <v>20</v>
      </c>
    </row>
    <row r="459" spans="1:21" x14ac:dyDescent="0.25">
      <c r="A459" s="1"/>
      <c r="B459" s="1">
        <v>25452</v>
      </c>
      <c r="C459" s="2" t="s">
        <v>137</v>
      </c>
      <c r="D459" s="1" t="s">
        <v>406</v>
      </c>
      <c r="E459" s="3" t="s">
        <v>0</v>
      </c>
      <c r="F459" s="4">
        <v>40603</v>
      </c>
      <c r="G459" s="5">
        <v>45597</v>
      </c>
      <c r="H459" s="6" t="s">
        <v>1</v>
      </c>
      <c r="I459" s="1" t="s">
        <v>2</v>
      </c>
      <c r="J459" s="7"/>
      <c r="K459" s="15" t="s">
        <v>982</v>
      </c>
      <c r="L459" t="s">
        <v>463</v>
      </c>
      <c r="M459" t="s">
        <v>15</v>
      </c>
      <c r="N459" t="str">
        <f t="shared" si="75"/>
        <v>https://api.bcb.gov.br/dados/serie/bcdata.sgs.25452/dados?formato=json</v>
      </c>
      <c r="O459">
        <v>6</v>
      </c>
      <c r="P459" t="s">
        <v>19</v>
      </c>
      <c r="Q459" t="s">
        <v>19</v>
      </c>
      <c r="R459" t="s">
        <v>887</v>
      </c>
      <c r="S459" t="s">
        <v>622</v>
      </c>
      <c r="T459" t="e">
        <f t="shared" si="78"/>
        <v>#VALUE!</v>
      </c>
      <c r="U459">
        <f t="shared" si="77"/>
        <v>20</v>
      </c>
    </row>
    <row r="460" spans="1:21" x14ac:dyDescent="0.25">
      <c r="A460" s="8"/>
      <c r="B460" s="8">
        <v>25453</v>
      </c>
      <c r="C460" s="9" t="s">
        <v>138</v>
      </c>
      <c r="D460" s="8" t="s">
        <v>406</v>
      </c>
      <c r="E460" s="10" t="s">
        <v>0</v>
      </c>
      <c r="F460" s="11">
        <v>36678</v>
      </c>
      <c r="G460" s="12">
        <v>45597</v>
      </c>
      <c r="H460" s="13" t="s">
        <v>1</v>
      </c>
      <c r="I460" s="8" t="s">
        <v>2</v>
      </c>
      <c r="J460" s="14"/>
      <c r="K460" s="15" t="s">
        <v>982</v>
      </c>
      <c r="L460" t="s">
        <v>463</v>
      </c>
      <c r="M460" t="s">
        <v>15</v>
      </c>
      <c r="N460" t="str">
        <f t="shared" si="75"/>
        <v>https://api.bcb.gov.br/dados/serie/bcdata.sgs.25453/dados?formato=json</v>
      </c>
      <c r="O460">
        <v>6</v>
      </c>
      <c r="P460" t="s">
        <v>19</v>
      </c>
      <c r="Q460" t="s">
        <v>19</v>
      </c>
      <c r="R460" t="s">
        <v>888</v>
      </c>
      <c r="S460" t="s">
        <v>622</v>
      </c>
      <c r="T460" t="e">
        <f t="shared" si="78"/>
        <v>#VALUE!</v>
      </c>
      <c r="U460">
        <f t="shared" si="77"/>
        <v>20</v>
      </c>
    </row>
    <row r="461" spans="1:21" x14ac:dyDescent="0.25">
      <c r="A461" s="1"/>
      <c r="B461" s="1">
        <v>25454</v>
      </c>
      <c r="C461" s="2" t="s">
        <v>139</v>
      </c>
      <c r="D461" s="1" t="s">
        <v>406</v>
      </c>
      <c r="E461" s="3" t="s">
        <v>0</v>
      </c>
      <c r="F461" s="4">
        <v>40603</v>
      </c>
      <c r="G461" s="5">
        <v>45597</v>
      </c>
      <c r="H461" s="6" t="s">
        <v>1</v>
      </c>
      <c r="I461" s="1" t="s">
        <v>2</v>
      </c>
      <c r="J461" s="7"/>
      <c r="K461" s="15" t="s">
        <v>982</v>
      </c>
      <c r="L461" t="s">
        <v>463</v>
      </c>
      <c r="M461" t="s">
        <v>15</v>
      </c>
      <c r="N461" t="str">
        <f t="shared" si="75"/>
        <v>https://api.bcb.gov.br/dados/serie/bcdata.sgs.25454/dados?formato=json</v>
      </c>
      <c r="O461">
        <v>6</v>
      </c>
      <c r="P461" t="s">
        <v>19</v>
      </c>
      <c r="Q461" t="s">
        <v>19</v>
      </c>
      <c r="R461" t="s">
        <v>889</v>
      </c>
      <c r="S461" t="s">
        <v>622</v>
      </c>
      <c r="T461" t="e">
        <f t="shared" si="78"/>
        <v>#VALUE!</v>
      </c>
      <c r="U461">
        <f t="shared" si="77"/>
        <v>20</v>
      </c>
    </row>
    <row r="462" spans="1:21" x14ac:dyDescent="0.25">
      <c r="A462" s="8"/>
      <c r="B462" s="8">
        <v>25455</v>
      </c>
      <c r="C462" s="9" t="s">
        <v>140</v>
      </c>
      <c r="D462" s="8" t="s">
        <v>406</v>
      </c>
      <c r="E462" s="10" t="s">
        <v>0</v>
      </c>
      <c r="F462" s="11">
        <v>40603</v>
      </c>
      <c r="G462" s="12">
        <v>45597</v>
      </c>
      <c r="H462" s="13" t="s">
        <v>1</v>
      </c>
      <c r="I462" s="8" t="s">
        <v>2</v>
      </c>
      <c r="J462" s="14"/>
      <c r="K462" s="15" t="s">
        <v>982</v>
      </c>
      <c r="L462" t="s">
        <v>463</v>
      </c>
      <c r="M462" t="s">
        <v>15</v>
      </c>
      <c r="N462" t="str">
        <f t="shared" si="75"/>
        <v>https://api.bcb.gov.br/dados/serie/bcdata.sgs.25455/dados?formato=json</v>
      </c>
      <c r="O462">
        <v>6</v>
      </c>
      <c r="P462" t="s">
        <v>19</v>
      </c>
      <c r="Q462" t="s">
        <v>19</v>
      </c>
      <c r="R462" t="s">
        <v>890</v>
      </c>
      <c r="S462" t="s">
        <v>622</v>
      </c>
      <c r="T462" t="e">
        <f t="shared" si="78"/>
        <v>#VALUE!</v>
      </c>
      <c r="U462">
        <f t="shared" si="77"/>
        <v>20</v>
      </c>
    </row>
    <row r="463" spans="1:21" x14ac:dyDescent="0.25">
      <c r="A463" s="1"/>
      <c r="B463" s="1">
        <v>25456</v>
      </c>
      <c r="C463" s="2" t="s">
        <v>141</v>
      </c>
      <c r="D463" s="1" t="s">
        <v>406</v>
      </c>
      <c r="E463" s="3" t="s">
        <v>0</v>
      </c>
      <c r="F463" s="4">
        <v>40603</v>
      </c>
      <c r="G463" s="5">
        <v>45597</v>
      </c>
      <c r="H463" s="6" t="s">
        <v>1</v>
      </c>
      <c r="I463" s="1" t="s">
        <v>2</v>
      </c>
      <c r="J463" s="7"/>
      <c r="K463" s="15" t="s">
        <v>982</v>
      </c>
      <c r="L463" t="s">
        <v>463</v>
      </c>
      <c r="M463" t="s">
        <v>15</v>
      </c>
      <c r="N463" t="str">
        <f t="shared" si="75"/>
        <v>https://api.bcb.gov.br/dados/serie/bcdata.sgs.25456/dados?formato=json</v>
      </c>
      <c r="O463">
        <v>6</v>
      </c>
      <c r="P463" t="s">
        <v>19</v>
      </c>
      <c r="Q463" t="s">
        <v>19</v>
      </c>
      <c r="R463" t="s">
        <v>891</v>
      </c>
      <c r="S463" t="s">
        <v>622</v>
      </c>
      <c r="T463" t="e">
        <f t="shared" si="78"/>
        <v>#VALUE!</v>
      </c>
      <c r="U463">
        <f t="shared" si="77"/>
        <v>20</v>
      </c>
    </row>
    <row r="464" spans="1:21" x14ac:dyDescent="0.25">
      <c r="A464" s="8"/>
      <c r="B464" s="8">
        <v>25457</v>
      </c>
      <c r="C464" s="9" t="s">
        <v>143</v>
      </c>
      <c r="D464" s="8" t="s">
        <v>406</v>
      </c>
      <c r="E464" s="10" t="s">
        <v>0</v>
      </c>
      <c r="F464" s="11">
        <v>40603</v>
      </c>
      <c r="G464" s="12">
        <v>45597</v>
      </c>
      <c r="H464" s="13" t="s">
        <v>1</v>
      </c>
      <c r="I464" s="8" t="s">
        <v>2</v>
      </c>
      <c r="J464" s="14"/>
      <c r="K464" s="15" t="s">
        <v>982</v>
      </c>
      <c r="L464" t="s">
        <v>463</v>
      </c>
      <c r="M464" t="s">
        <v>15</v>
      </c>
      <c r="N464" t="str">
        <f t="shared" si="75"/>
        <v>https://api.bcb.gov.br/dados/serie/bcdata.sgs.25457/dados?formato=json</v>
      </c>
      <c r="O464">
        <v>6</v>
      </c>
      <c r="P464" t="s">
        <v>19</v>
      </c>
      <c r="Q464" t="s">
        <v>19</v>
      </c>
      <c r="R464" t="s">
        <v>893</v>
      </c>
      <c r="S464" t="s">
        <v>622</v>
      </c>
      <c r="T464" t="e">
        <f t="shared" si="78"/>
        <v>#VALUE!</v>
      </c>
      <c r="U464">
        <f t="shared" si="77"/>
        <v>20</v>
      </c>
    </row>
    <row r="465" spans="1:21" x14ac:dyDescent="0.25">
      <c r="A465" s="1"/>
      <c r="B465" s="1">
        <v>25458</v>
      </c>
      <c r="C465" s="2" t="s">
        <v>144</v>
      </c>
      <c r="D465" s="1" t="s">
        <v>406</v>
      </c>
      <c r="E465" s="3" t="s">
        <v>0</v>
      </c>
      <c r="F465" s="4">
        <v>36678</v>
      </c>
      <c r="G465" s="5">
        <v>45597</v>
      </c>
      <c r="H465" s="6" t="s">
        <v>1</v>
      </c>
      <c r="I465" s="1" t="s">
        <v>2</v>
      </c>
      <c r="J465" s="7"/>
      <c r="K465" s="15" t="s">
        <v>982</v>
      </c>
      <c r="L465" t="s">
        <v>463</v>
      </c>
      <c r="M465" t="s">
        <v>15</v>
      </c>
      <c r="N465" t="str">
        <f t="shared" si="75"/>
        <v>https://api.bcb.gov.br/dados/serie/bcdata.sgs.25458/dados?formato=json</v>
      </c>
      <c r="O465">
        <v>6</v>
      </c>
      <c r="P465" t="s">
        <v>19</v>
      </c>
      <c r="Q465" t="s">
        <v>19</v>
      </c>
      <c r="R465" t="s">
        <v>894</v>
      </c>
      <c r="S465" t="s">
        <v>622</v>
      </c>
      <c r="T465" t="e">
        <f t="shared" si="78"/>
        <v>#VALUE!</v>
      </c>
      <c r="U465">
        <f t="shared" si="77"/>
        <v>20</v>
      </c>
    </row>
    <row r="466" spans="1:21" x14ac:dyDescent="0.25">
      <c r="A466" s="8"/>
      <c r="B466" s="8">
        <v>25459</v>
      </c>
      <c r="C466" s="9" t="s">
        <v>145</v>
      </c>
      <c r="D466" s="8" t="s">
        <v>406</v>
      </c>
      <c r="E466" s="10" t="s">
        <v>0</v>
      </c>
      <c r="F466" s="11">
        <v>40603</v>
      </c>
      <c r="G466" s="12">
        <v>45597</v>
      </c>
      <c r="H466" s="13" t="s">
        <v>1</v>
      </c>
      <c r="I466" s="8" t="s">
        <v>2</v>
      </c>
      <c r="J466" s="14"/>
      <c r="K466" s="15" t="s">
        <v>982</v>
      </c>
      <c r="L466" t="s">
        <v>463</v>
      </c>
      <c r="M466" t="s">
        <v>15</v>
      </c>
      <c r="N466" t="str">
        <f t="shared" si="75"/>
        <v>https://api.bcb.gov.br/dados/serie/bcdata.sgs.25459/dados?formato=json</v>
      </c>
      <c r="O466">
        <v>6</v>
      </c>
      <c r="P466" t="s">
        <v>19</v>
      </c>
      <c r="Q466" t="s">
        <v>19</v>
      </c>
      <c r="R466" t="s">
        <v>895</v>
      </c>
      <c r="S466" t="s">
        <v>622</v>
      </c>
      <c r="T466" t="e">
        <f t="shared" si="78"/>
        <v>#VALUE!</v>
      </c>
      <c r="U466">
        <f t="shared" si="77"/>
        <v>20</v>
      </c>
    </row>
    <row r="467" spans="1:21" x14ac:dyDescent="0.25">
      <c r="A467" s="1"/>
      <c r="B467" s="1">
        <v>25460</v>
      </c>
      <c r="C467" s="2" t="s">
        <v>146</v>
      </c>
      <c r="D467" s="1" t="s">
        <v>406</v>
      </c>
      <c r="E467" s="3" t="s">
        <v>0</v>
      </c>
      <c r="F467" s="4">
        <v>40603</v>
      </c>
      <c r="G467" s="5">
        <v>45597</v>
      </c>
      <c r="H467" s="6" t="s">
        <v>1</v>
      </c>
      <c r="I467" s="1" t="s">
        <v>2</v>
      </c>
      <c r="J467" s="7"/>
      <c r="K467" s="15" t="s">
        <v>982</v>
      </c>
      <c r="L467" t="s">
        <v>463</v>
      </c>
      <c r="M467" t="s">
        <v>15</v>
      </c>
      <c r="N467" t="str">
        <f t="shared" si="75"/>
        <v>https://api.bcb.gov.br/dados/serie/bcdata.sgs.25460/dados?formato=json</v>
      </c>
      <c r="O467">
        <v>6</v>
      </c>
      <c r="P467" t="s">
        <v>19</v>
      </c>
      <c r="Q467" t="s">
        <v>19</v>
      </c>
      <c r="R467" t="s">
        <v>896</v>
      </c>
      <c r="S467" t="s">
        <v>622</v>
      </c>
      <c r="T467" t="e">
        <f t="shared" si="78"/>
        <v>#VALUE!</v>
      </c>
      <c r="U467">
        <f t="shared" si="77"/>
        <v>20</v>
      </c>
    </row>
    <row r="468" spans="1:21" x14ac:dyDescent="0.25">
      <c r="A468" s="8"/>
      <c r="B468" s="8">
        <v>25461</v>
      </c>
      <c r="C468" s="9" t="s">
        <v>147</v>
      </c>
      <c r="D468" s="8" t="s">
        <v>406</v>
      </c>
      <c r="E468" s="10" t="s">
        <v>0</v>
      </c>
      <c r="F468" s="11">
        <v>36678</v>
      </c>
      <c r="G468" s="12">
        <v>45597</v>
      </c>
      <c r="H468" s="13" t="s">
        <v>1</v>
      </c>
      <c r="I468" s="8" t="s">
        <v>2</v>
      </c>
      <c r="J468" s="14"/>
      <c r="K468" s="15" t="s">
        <v>982</v>
      </c>
      <c r="L468" t="s">
        <v>463</v>
      </c>
      <c r="M468" t="s">
        <v>15</v>
      </c>
      <c r="N468" t="str">
        <f t="shared" si="75"/>
        <v>https://api.bcb.gov.br/dados/serie/bcdata.sgs.25461/dados?formato=json</v>
      </c>
      <c r="O468">
        <v>6</v>
      </c>
      <c r="P468" t="s">
        <v>19</v>
      </c>
      <c r="Q468" t="s">
        <v>19</v>
      </c>
      <c r="R468" t="s">
        <v>897</v>
      </c>
      <c r="S468" t="s">
        <v>622</v>
      </c>
      <c r="T468" t="e">
        <f t="shared" si="78"/>
        <v>#VALUE!</v>
      </c>
      <c r="U468">
        <f t="shared" si="77"/>
        <v>20</v>
      </c>
    </row>
    <row r="469" spans="1:21" x14ac:dyDescent="0.25">
      <c r="A469" s="1"/>
      <c r="B469" s="1">
        <v>25462</v>
      </c>
      <c r="C469" s="2" t="s">
        <v>120</v>
      </c>
      <c r="D469" s="1" t="s">
        <v>406</v>
      </c>
      <c r="E469" s="3" t="s">
        <v>0</v>
      </c>
      <c r="F469" s="4">
        <v>40603</v>
      </c>
      <c r="G469" s="5">
        <v>45597</v>
      </c>
      <c r="H469" s="6" t="s">
        <v>1</v>
      </c>
      <c r="I469" s="1" t="s">
        <v>2</v>
      </c>
      <c r="J469" s="7"/>
      <c r="K469" s="15" t="s">
        <v>982</v>
      </c>
      <c r="L469" t="s">
        <v>463</v>
      </c>
      <c r="M469" t="s">
        <v>15</v>
      </c>
      <c r="N469" t="str">
        <f t="shared" si="75"/>
        <v>https://api.bcb.gov.br/dados/serie/bcdata.sgs.25462/dados?formato=json</v>
      </c>
      <c r="O469">
        <v>6</v>
      </c>
      <c r="P469" t="s">
        <v>19</v>
      </c>
      <c r="Q469" t="s">
        <v>19</v>
      </c>
      <c r="R469" t="s">
        <v>118</v>
      </c>
      <c r="S469" t="s">
        <v>621</v>
      </c>
    </row>
    <row r="470" spans="1:21" x14ac:dyDescent="0.25">
      <c r="A470" s="8"/>
      <c r="B470" s="8">
        <v>27643</v>
      </c>
      <c r="C470" s="9" t="s">
        <v>378</v>
      </c>
      <c r="D470" s="8" t="s">
        <v>406</v>
      </c>
      <c r="E470" s="10" t="s">
        <v>0</v>
      </c>
      <c r="F470" s="11">
        <v>40603</v>
      </c>
      <c r="G470" s="12">
        <v>45597</v>
      </c>
      <c r="H470" s="13" t="s">
        <v>1</v>
      </c>
      <c r="I470" s="8" t="s">
        <v>2</v>
      </c>
      <c r="J470" s="14"/>
      <c r="K470" s="15" t="s">
        <v>982</v>
      </c>
      <c r="L470" t="s">
        <v>463</v>
      </c>
      <c r="M470" t="s">
        <v>15</v>
      </c>
      <c r="N470" t="str">
        <f t="shared" si="75"/>
        <v>https://api.bcb.gov.br/dados/serie/bcdata.sgs.27643/dados?formato=json</v>
      </c>
      <c r="O470">
        <v>6</v>
      </c>
      <c r="P470" t="s">
        <v>19</v>
      </c>
      <c r="Q470" t="s">
        <v>19</v>
      </c>
      <c r="R470" t="s">
        <v>970</v>
      </c>
      <c r="S470" t="s">
        <v>621</v>
      </c>
    </row>
    <row r="471" spans="1:21" x14ac:dyDescent="0.25">
      <c r="A471" s="1"/>
      <c r="B471" s="1">
        <v>25463</v>
      </c>
      <c r="C471" s="2" t="s">
        <v>151</v>
      </c>
      <c r="D471" s="1" t="s">
        <v>406</v>
      </c>
      <c r="E471" s="3" t="s">
        <v>0</v>
      </c>
      <c r="F471" s="4">
        <v>34516</v>
      </c>
      <c r="G471" s="5">
        <v>45597</v>
      </c>
      <c r="H471" s="6" t="s">
        <v>1</v>
      </c>
      <c r="I471" s="1" t="s">
        <v>2</v>
      </c>
      <c r="J471" s="7"/>
      <c r="K471" s="15" t="s">
        <v>982</v>
      </c>
      <c r="L471" t="s">
        <v>463</v>
      </c>
      <c r="M471" t="s">
        <v>15</v>
      </c>
      <c r="N471" t="str">
        <f t="shared" si="75"/>
        <v>https://api.bcb.gov.br/dados/serie/bcdata.sgs.25463/dados?formato=json</v>
      </c>
      <c r="O471">
        <v>6</v>
      </c>
      <c r="P471" t="s">
        <v>19</v>
      </c>
      <c r="Q471" t="s">
        <v>19</v>
      </c>
      <c r="R471" t="s">
        <v>881</v>
      </c>
      <c r="S471" t="s">
        <v>621</v>
      </c>
      <c r="T471" t="e">
        <f t="shared" ref="T471" si="79">RIGHT(S471,LEN(S471)-U471)</f>
        <v>#VALUE!</v>
      </c>
      <c r="U471">
        <f t="shared" ref="U471:U488" si="80">LEN("Pessoas físicas - ")</f>
        <v>18</v>
      </c>
    </row>
    <row r="472" spans="1:21" x14ac:dyDescent="0.25">
      <c r="A472" s="8"/>
      <c r="B472" s="8">
        <v>25464</v>
      </c>
      <c r="C472" s="9" t="s">
        <v>152</v>
      </c>
      <c r="D472" s="8" t="s">
        <v>406</v>
      </c>
      <c r="E472" s="10" t="s">
        <v>0</v>
      </c>
      <c r="F472" s="11">
        <v>40603</v>
      </c>
      <c r="G472" s="12">
        <v>45597</v>
      </c>
      <c r="H472" s="13" t="s">
        <v>1</v>
      </c>
      <c r="I472" s="8" t="s">
        <v>2</v>
      </c>
      <c r="J472" s="14"/>
      <c r="K472" s="15" t="s">
        <v>982</v>
      </c>
      <c r="L472" t="s">
        <v>463</v>
      </c>
      <c r="M472" t="s">
        <v>15</v>
      </c>
      <c r="N472" t="str">
        <f t="shared" si="75"/>
        <v>https://api.bcb.gov.br/dados/serie/bcdata.sgs.25464/dados?formato=json</v>
      </c>
      <c r="O472">
        <v>6</v>
      </c>
      <c r="P472" t="s">
        <v>19</v>
      </c>
      <c r="Q472" t="s">
        <v>19</v>
      </c>
      <c r="R472" t="s">
        <v>899</v>
      </c>
      <c r="S472" t="s">
        <v>621</v>
      </c>
      <c r="T472" t="e">
        <f t="shared" ref="T472:T488" si="81">RIGHT(S472,LEN(S472)-U472)</f>
        <v>#VALUE!</v>
      </c>
      <c r="U472">
        <f t="shared" si="80"/>
        <v>18</v>
      </c>
    </row>
    <row r="473" spans="1:21" x14ac:dyDescent="0.25">
      <c r="A473" s="1"/>
      <c r="B473" s="1">
        <v>25465</v>
      </c>
      <c r="C473" s="2" t="s">
        <v>153</v>
      </c>
      <c r="D473" s="1" t="s">
        <v>406</v>
      </c>
      <c r="E473" s="3" t="s">
        <v>0</v>
      </c>
      <c r="F473" s="4">
        <v>40603</v>
      </c>
      <c r="G473" s="5">
        <v>45597</v>
      </c>
      <c r="H473" s="6" t="s">
        <v>1</v>
      </c>
      <c r="I473" s="1" t="s">
        <v>2</v>
      </c>
      <c r="J473" s="7"/>
      <c r="K473" s="15" t="s">
        <v>982</v>
      </c>
      <c r="L473" t="s">
        <v>463</v>
      </c>
      <c r="M473" t="s">
        <v>15</v>
      </c>
      <c r="N473" t="str">
        <f t="shared" si="75"/>
        <v>https://api.bcb.gov.br/dados/serie/bcdata.sgs.25465/dados?formato=json</v>
      </c>
      <c r="O473">
        <v>6</v>
      </c>
      <c r="P473" t="s">
        <v>19</v>
      </c>
      <c r="Q473" t="s">
        <v>19</v>
      </c>
      <c r="R473" t="s">
        <v>900</v>
      </c>
      <c r="S473" t="s">
        <v>621</v>
      </c>
      <c r="T473" t="e">
        <f t="shared" si="81"/>
        <v>#VALUE!</v>
      </c>
      <c r="U473">
        <f t="shared" si="80"/>
        <v>18</v>
      </c>
    </row>
    <row r="474" spans="1:21" x14ac:dyDescent="0.25">
      <c r="A474" s="8"/>
      <c r="B474" s="8">
        <v>25466</v>
      </c>
      <c r="C474" s="9" t="s">
        <v>154</v>
      </c>
      <c r="D474" s="8" t="s">
        <v>406</v>
      </c>
      <c r="E474" s="10" t="s">
        <v>0</v>
      </c>
      <c r="F474" s="11">
        <v>40603</v>
      </c>
      <c r="G474" s="12">
        <v>45597</v>
      </c>
      <c r="H474" s="13" t="s">
        <v>1</v>
      </c>
      <c r="I474" s="8" t="s">
        <v>2</v>
      </c>
      <c r="J474" s="14"/>
      <c r="K474" s="15" t="s">
        <v>982</v>
      </c>
      <c r="L474" t="s">
        <v>463</v>
      </c>
      <c r="M474" t="s">
        <v>15</v>
      </c>
      <c r="N474" t="str">
        <f t="shared" si="75"/>
        <v>https://api.bcb.gov.br/dados/serie/bcdata.sgs.25466/dados?formato=json</v>
      </c>
      <c r="O474">
        <v>6</v>
      </c>
      <c r="P474" t="s">
        <v>19</v>
      </c>
      <c r="Q474" t="s">
        <v>19</v>
      </c>
      <c r="R474" t="s">
        <v>901</v>
      </c>
      <c r="S474" t="s">
        <v>621</v>
      </c>
      <c r="T474" t="e">
        <f t="shared" si="81"/>
        <v>#VALUE!</v>
      </c>
      <c r="U474">
        <f t="shared" si="80"/>
        <v>18</v>
      </c>
    </row>
    <row r="475" spans="1:21" x14ac:dyDescent="0.25">
      <c r="A475" s="1"/>
      <c r="B475" s="1">
        <v>25467</v>
      </c>
      <c r="C475" s="2" t="s">
        <v>155</v>
      </c>
      <c r="D475" s="1" t="s">
        <v>406</v>
      </c>
      <c r="E475" s="3" t="s">
        <v>0</v>
      </c>
      <c r="F475" s="4">
        <v>40603</v>
      </c>
      <c r="G475" s="5">
        <v>45597</v>
      </c>
      <c r="H475" s="6" t="s">
        <v>1</v>
      </c>
      <c r="I475" s="1" t="s">
        <v>2</v>
      </c>
      <c r="J475" s="7"/>
      <c r="K475" s="15" t="s">
        <v>982</v>
      </c>
      <c r="L475" t="s">
        <v>463</v>
      </c>
      <c r="M475" t="s">
        <v>15</v>
      </c>
      <c r="N475" t="str">
        <f t="shared" si="75"/>
        <v>https://api.bcb.gov.br/dados/serie/bcdata.sgs.25467/dados?formato=json</v>
      </c>
      <c r="O475">
        <v>6</v>
      </c>
      <c r="P475" t="s">
        <v>19</v>
      </c>
      <c r="Q475" t="s">
        <v>19</v>
      </c>
      <c r="R475" t="s">
        <v>902</v>
      </c>
      <c r="S475" t="s">
        <v>621</v>
      </c>
      <c r="T475" t="e">
        <f t="shared" si="81"/>
        <v>#VALUE!</v>
      </c>
      <c r="U475">
        <f t="shared" si="80"/>
        <v>18</v>
      </c>
    </row>
    <row r="476" spans="1:21" x14ac:dyDescent="0.25">
      <c r="A476" s="8"/>
      <c r="B476" s="8">
        <v>25468</v>
      </c>
      <c r="C476" s="9" t="s">
        <v>156</v>
      </c>
      <c r="D476" s="8" t="s">
        <v>406</v>
      </c>
      <c r="E476" s="10" t="s">
        <v>0</v>
      </c>
      <c r="F476" s="11">
        <v>40603</v>
      </c>
      <c r="G476" s="12">
        <v>45597</v>
      </c>
      <c r="H476" s="13" t="s">
        <v>1</v>
      </c>
      <c r="I476" s="8" t="s">
        <v>2</v>
      </c>
      <c r="J476" s="14"/>
      <c r="K476" s="15" t="s">
        <v>982</v>
      </c>
      <c r="L476" t="s">
        <v>463</v>
      </c>
      <c r="M476" t="s">
        <v>15</v>
      </c>
      <c r="N476" t="str">
        <f t="shared" si="75"/>
        <v>https://api.bcb.gov.br/dados/serie/bcdata.sgs.25468/dados?formato=json</v>
      </c>
      <c r="O476">
        <v>6</v>
      </c>
      <c r="P476" t="s">
        <v>19</v>
      </c>
      <c r="Q476" t="s">
        <v>19</v>
      </c>
      <c r="R476" t="s">
        <v>903</v>
      </c>
      <c r="S476" t="s">
        <v>621</v>
      </c>
      <c r="T476" t="e">
        <f t="shared" si="81"/>
        <v>#VALUE!</v>
      </c>
      <c r="U476">
        <f t="shared" si="80"/>
        <v>18</v>
      </c>
    </row>
    <row r="477" spans="1:21" x14ac:dyDescent="0.25">
      <c r="A477" s="1"/>
      <c r="B477" s="1">
        <v>25469</v>
      </c>
      <c r="C477" s="2" t="s">
        <v>157</v>
      </c>
      <c r="D477" s="1" t="s">
        <v>406</v>
      </c>
      <c r="E477" s="3" t="s">
        <v>0</v>
      </c>
      <c r="F477" s="4">
        <v>37987</v>
      </c>
      <c r="G477" s="5">
        <v>45597</v>
      </c>
      <c r="H477" s="6" t="s">
        <v>1</v>
      </c>
      <c r="I477" s="1" t="s">
        <v>2</v>
      </c>
      <c r="J477" s="7"/>
      <c r="K477" s="15" t="s">
        <v>982</v>
      </c>
      <c r="L477" t="s">
        <v>463</v>
      </c>
      <c r="M477" t="s">
        <v>15</v>
      </c>
      <c r="N477" t="str">
        <f t="shared" si="75"/>
        <v>https://api.bcb.gov.br/dados/serie/bcdata.sgs.25469/dados?formato=json</v>
      </c>
      <c r="O477">
        <v>6</v>
      </c>
      <c r="P477" t="s">
        <v>19</v>
      </c>
      <c r="Q477" t="s">
        <v>19</v>
      </c>
      <c r="R477" t="s">
        <v>904</v>
      </c>
      <c r="S477" t="s">
        <v>621</v>
      </c>
      <c r="T477" t="e">
        <f t="shared" si="81"/>
        <v>#VALUE!</v>
      </c>
      <c r="U477">
        <f t="shared" si="80"/>
        <v>18</v>
      </c>
    </row>
    <row r="478" spans="1:21" x14ac:dyDescent="0.25">
      <c r="A478" s="8"/>
      <c r="B478" s="8">
        <v>25470</v>
      </c>
      <c r="C478" s="9" t="s">
        <v>158</v>
      </c>
      <c r="D478" s="8" t="s">
        <v>406</v>
      </c>
      <c r="E478" s="10" t="s">
        <v>0</v>
      </c>
      <c r="F478" s="11">
        <v>34516</v>
      </c>
      <c r="G478" s="12">
        <v>45597</v>
      </c>
      <c r="H478" s="13" t="s">
        <v>1</v>
      </c>
      <c r="I478" s="8" t="s">
        <v>2</v>
      </c>
      <c r="J478" s="14"/>
      <c r="K478" s="15" t="s">
        <v>982</v>
      </c>
      <c r="L478" t="s">
        <v>463</v>
      </c>
      <c r="M478" t="s">
        <v>15</v>
      </c>
      <c r="N478" t="str">
        <f t="shared" si="75"/>
        <v>https://api.bcb.gov.br/dados/serie/bcdata.sgs.25470/dados?formato=json</v>
      </c>
      <c r="O478">
        <v>6</v>
      </c>
      <c r="P478" t="s">
        <v>19</v>
      </c>
      <c r="Q478" t="s">
        <v>19</v>
      </c>
      <c r="R478" t="s">
        <v>905</v>
      </c>
      <c r="S478" t="s">
        <v>621</v>
      </c>
      <c r="T478" t="e">
        <f t="shared" si="81"/>
        <v>#VALUE!</v>
      </c>
      <c r="U478">
        <f t="shared" si="80"/>
        <v>18</v>
      </c>
    </row>
    <row r="479" spans="1:21" x14ac:dyDescent="0.25">
      <c r="A479" s="1"/>
      <c r="B479" s="1">
        <v>25471</v>
      </c>
      <c r="C479" s="2" t="s">
        <v>159</v>
      </c>
      <c r="D479" s="1" t="s">
        <v>406</v>
      </c>
      <c r="E479" s="3" t="s">
        <v>0</v>
      </c>
      <c r="F479" s="4">
        <v>36678</v>
      </c>
      <c r="G479" s="5">
        <v>45597</v>
      </c>
      <c r="H479" s="6" t="s">
        <v>1</v>
      </c>
      <c r="I479" s="1" t="s">
        <v>2</v>
      </c>
      <c r="J479" s="7"/>
      <c r="K479" s="15" t="s">
        <v>982</v>
      </c>
      <c r="L479" t="s">
        <v>463</v>
      </c>
      <c r="M479" t="s">
        <v>15</v>
      </c>
      <c r="N479" t="str">
        <f t="shared" si="75"/>
        <v>https://api.bcb.gov.br/dados/serie/bcdata.sgs.25471/dados?formato=json</v>
      </c>
      <c r="O479">
        <v>6</v>
      </c>
      <c r="P479" t="s">
        <v>19</v>
      </c>
      <c r="Q479" t="s">
        <v>19</v>
      </c>
      <c r="R479" t="s">
        <v>882</v>
      </c>
      <c r="S479" t="s">
        <v>621</v>
      </c>
      <c r="T479" t="e">
        <f t="shared" si="81"/>
        <v>#VALUE!</v>
      </c>
      <c r="U479">
        <f t="shared" si="80"/>
        <v>18</v>
      </c>
    </row>
    <row r="480" spans="1:21" x14ac:dyDescent="0.25">
      <c r="A480" s="8"/>
      <c r="B480" s="8">
        <v>25472</v>
      </c>
      <c r="C480" s="9" t="s">
        <v>160</v>
      </c>
      <c r="D480" s="8" t="s">
        <v>406</v>
      </c>
      <c r="E480" s="10" t="s">
        <v>0</v>
      </c>
      <c r="F480" s="11">
        <v>40603</v>
      </c>
      <c r="G480" s="12">
        <v>45597</v>
      </c>
      <c r="H480" s="13" t="s">
        <v>1</v>
      </c>
      <c r="I480" s="8" t="s">
        <v>2</v>
      </c>
      <c r="J480" s="14"/>
      <c r="K480" s="15" t="s">
        <v>982</v>
      </c>
      <c r="L480" t="s">
        <v>463</v>
      </c>
      <c r="M480" t="s">
        <v>15</v>
      </c>
      <c r="N480" t="str">
        <f t="shared" si="75"/>
        <v>https://api.bcb.gov.br/dados/serie/bcdata.sgs.25472/dados?formato=json</v>
      </c>
      <c r="O480">
        <v>6</v>
      </c>
      <c r="P480" t="s">
        <v>19</v>
      </c>
      <c r="Q480" t="s">
        <v>19</v>
      </c>
      <c r="R480" t="s">
        <v>883</v>
      </c>
      <c r="S480" t="s">
        <v>621</v>
      </c>
      <c r="T480" t="e">
        <f t="shared" si="81"/>
        <v>#VALUE!</v>
      </c>
      <c r="U480">
        <f t="shared" si="80"/>
        <v>18</v>
      </c>
    </row>
    <row r="481" spans="1:21" x14ac:dyDescent="0.25">
      <c r="A481" s="1"/>
      <c r="B481" s="1">
        <v>25473</v>
      </c>
      <c r="C481" s="2" t="s">
        <v>161</v>
      </c>
      <c r="D481" s="1" t="s">
        <v>406</v>
      </c>
      <c r="E481" s="3" t="s">
        <v>0</v>
      </c>
      <c r="F481" s="4">
        <v>40603</v>
      </c>
      <c r="G481" s="5">
        <v>45597</v>
      </c>
      <c r="H481" s="6" t="s">
        <v>1</v>
      </c>
      <c r="I481" s="1" t="s">
        <v>2</v>
      </c>
      <c r="J481" s="7"/>
      <c r="K481" s="15" t="s">
        <v>982</v>
      </c>
      <c r="L481" t="s">
        <v>463</v>
      </c>
      <c r="M481" t="s">
        <v>15</v>
      </c>
      <c r="N481" t="str">
        <f t="shared" si="75"/>
        <v>https://api.bcb.gov.br/dados/serie/bcdata.sgs.25473/dados?formato=json</v>
      </c>
      <c r="O481">
        <v>6</v>
      </c>
      <c r="P481" t="s">
        <v>19</v>
      </c>
      <c r="Q481" t="s">
        <v>19</v>
      </c>
      <c r="R481" t="s">
        <v>884</v>
      </c>
      <c r="S481" t="s">
        <v>621</v>
      </c>
      <c r="T481" t="e">
        <f t="shared" si="81"/>
        <v>#VALUE!</v>
      </c>
      <c r="U481">
        <f t="shared" si="80"/>
        <v>18</v>
      </c>
    </row>
    <row r="482" spans="1:21" x14ac:dyDescent="0.25">
      <c r="A482" s="8"/>
      <c r="B482" s="8">
        <v>25474</v>
      </c>
      <c r="C482" s="9" t="s">
        <v>162</v>
      </c>
      <c r="D482" s="8" t="s">
        <v>406</v>
      </c>
      <c r="E482" s="10" t="s">
        <v>0</v>
      </c>
      <c r="F482" s="11">
        <v>40603</v>
      </c>
      <c r="G482" s="12">
        <v>45597</v>
      </c>
      <c r="H482" s="13" t="s">
        <v>1</v>
      </c>
      <c r="I482" s="8" t="s">
        <v>2</v>
      </c>
      <c r="J482" s="14"/>
      <c r="K482" s="15" t="s">
        <v>982</v>
      </c>
      <c r="L482" t="s">
        <v>463</v>
      </c>
      <c r="M482" t="s">
        <v>15</v>
      </c>
      <c r="N482" t="str">
        <f t="shared" si="75"/>
        <v>https://api.bcb.gov.br/dados/serie/bcdata.sgs.25474/dados?formato=json</v>
      </c>
      <c r="O482">
        <v>6</v>
      </c>
      <c r="P482" t="s">
        <v>19</v>
      </c>
      <c r="Q482" t="s">
        <v>19</v>
      </c>
      <c r="R482" t="s">
        <v>885</v>
      </c>
      <c r="S482" t="s">
        <v>621</v>
      </c>
      <c r="T482" t="e">
        <f t="shared" si="81"/>
        <v>#VALUE!</v>
      </c>
      <c r="U482">
        <f t="shared" si="80"/>
        <v>18</v>
      </c>
    </row>
    <row r="483" spans="1:21" x14ac:dyDescent="0.25">
      <c r="A483" s="1"/>
      <c r="B483" s="1">
        <v>25475</v>
      </c>
      <c r="C483" s="2" t="s">
        <v>163</v>
      </c>
      <c r="D483" s="1" t="s">
        <v>406</v>
      </c>
      <c r="E483" s="3" t="s">
        <v>0</v>
      </c>
      <c r="F483" s="4">
        <v>40603</v>
      </c>
      <c r="G483" s="5">
        <v>45597</v>
      </c>
      <c r="H483" s="6" t="s">
        <v>1</v>
      </c>
      <c r="I483" s="1" t="s">
        <v>2</v>
      </c>
      <c r="J483" s="7"/>
      <c r="K483" s="15" t="s">
        <v>982</v>
      </c>
      <c r="L483" t="s">
        <v>463</v>
      </c>
      <c r="M483" t="s">
        <v>15</v>
      </c>
      <c r="N483" t="str">
        <f t="shared" si="75"/>
        <v>https://api.bcb.gov.br/dados/serie/bcdata.sgs.25475/dados?formato=json</v>
      </c>
      <c r="O483">
        <v>6</v>
      </c>
      <c r="P483" t="s">
        <v>19</v>
      </c>
      <c r="Q483" t="s">
        <v>19</v>
      </c>
      <c r="R483" t="s">
        <v>886</v>
      </c>
      <c r="S483" t="s">
        <v>621</v>
      </c>
      <c r="T483" t="e">
        <f t="shared" si="81"/>
        <v>#VALUE!</v>
      </c>
      <c r="U483">
        <f t="shared" si="80"/>
        <v>18</v>
      </c>
    </row>
    <row r="484" spans="1:21" x14ac:dyDescent="0.25">
      <c r="A484" s="8"/>
      <c r="B484" s="8">
        <v>25476</v>
      </c>
      <c r="C484" s="9" t="s">
        <v>164</v>
      </c>
      <c r="D484" s="8" t="s">
        <v>406</v>
      </c>
      <c r="E484" s="10" t="s">
        <v>0</v>
      </c>
      <c r="F484" s="11">
        <v>40603</v>
      </c>
      <c r="G484" s="12">
        <v>45597</v>
      </c>
      <c r="H484" s="13" t="s">
        <v>1</v>
      </c>
      <c r="I484" s="8" t="s">
        <v>2</v>
      </c>
      <c r="J484" s="14"/>
      <c r="K484" s="15" t="s">
        <v>982</v>
      </c>
      <c r="L484" t="s">
        <v>463</v>
      </c>
      <c r="M484" t="s">
        <v>15</v>
      </c>
      <c r="N484" t="str">
        <f t="shared" si="75"/>
        <v>https://api.bcb.gov.br/dados/serie/bcdata.sgs.25476/dados?formato=json</v>
      </c>
      <c r="O484">
        <v>6</v>
      </c>
      <c r="P484" t="s">
        <v>19</v>
      </c>
      <c r="Q484" t="s">
        <v>19</v>
      </c>
      <c r="R484" t="s">
        <v>887</v>
      </c>
      <c r="S484" t="s">
        <v>621</v>
      </c>
      <c r="T484" t="e">
        <f t="shared" si="81"/>
        <v>#VALUE!</v>
      </c>
      <c r="U484">
        <f t="shared" si="80"/>
        <v>18</v>
      </c>
    </row>
    <row r="485" spans="1:21" x14ac:dyDescent="0.25">
      <c r="A485" s="1"/>
      <c r="B485" s="1">
        <v>25477</v>
      </c>
      <c r="C485" s="2" t="s">
        <v>165</v>
      </c>
      <c r="D485" s="1" t="s">
        <v>406</v>
      </c>
      <c r="E485" s="3" t="s">
        <v>0</v>
      </c>
      <c r="F485" s="4">
        <v>40603</v>
      </c>
      <c r="G485" s="5">
        <v>45597</v>
      </c>
      <c r="H485" s="6" t="s">
        <v>1</v>
      </c>
      <c r="I485" s="1" t="s">
        <v>2</v>
      </c>
      <c r="J485" s="7"/>
      <c r="K485" s="15" t="s">
        <v>982</v>
      </c>
      <c r="L485" t="s">
        <v>463</v>
      </c>
      <c r="M485" t="s">
        <v>15</v>
      </c>
      <c r="N485" t="str">
        <f t="shared" si="75"/>
        <v>https://api.bcb.gov.br/dados/serie/bcdata.sgs.25477/dados?formato=json</v>
      </c>
      <c r="O485">
        <v>6</v>
      </c>
      <c r="P485" t="s">
        <v>19</v>
      </c>
      <c r="Q485" t="s">
        <v>19</v>
      </c>
      <c r="R485" t="s">
        <v>890</v>
      </c>
      <c r="S485" t="s">
        <v>621</v>
      </c>
      <c r="T485" t="e">
        <f t="shared" si="81"/>
        <v>#VALUE!</v>
      </c>
      <c r="U485">
        <f t="shared" si="80"/>
        <v>18</v>
      </c>
    </row>
    <row r="486" spans="1:21" x14ac:dyDescent="0.25">
      <c r="A486" s="8"/>
      <c r="B486" s="8">
        <v>25478</v>
      </c>
      <c r="C486" s="9" t="s">
        <v>166</v>
      </c>
      <c r="D486" s="8" t="s">
        <v>406</v>
      </c>
      <c r="E486" s="10" t="s">
        <v>0</v>
      </c>
      <c r="F486" s="11">
        <v>40603</v>
      </c>
      <c r="G486" s="12">
        <v>45597</v>
      </c>
      <c r="H486" s="13" t="s">
        <v>1</v>
      </c>
      <c r="I486" s="8" t="s">
        <v>2</v>
      </c>
      <c r="J486" s="14"/>
      <c r="K486" s="15" t="s">
        <v>982</v>
      </c>
      <c r="L486" t="s">
        <v>463</v>
      </c>
      <c r="M486" t="s">
        <v>15</v>
      </c>
      <c r="N486" t="str">
        <f t="shared" si="75"/>
        <v>https://api.bcb.gov.br/dados/serie/bcdata.sgs.25478/dados?formato=json</v>
      </c>
      <c r="O486">
        <v>6</v>
      </c>
      <c r="P486" t="s">
        <v>19</v>
      </c>
      <c r="Q486" t="s">
        <v>19</v>
      </c>
      <c r="R486" t="s">
        <v>891</v>
      </c>
      <c r="S486" t="s">
        <v>621</v>
      </c>
      <c r="T486" t="e">
        <f t="shared" si="81"/>
        <v>#VALUE!</v>
      </c>
      <c r="U486">
        <f t="shared" si="80"/>
        <v>18</v>
      </c>
    </row>
    <row r="487" spans="1:21" x14ac:dyDescent="0.25">
      <c r="A487" s="1"/>
      <c r="B487" s="1">
        <v>25479</v>
      </c>
      <c r="C487" s="2" t="s">
        <v>168</v>
      </c>
      <c r="D487" s="1" t="s">
        <v>406</v>
      </c>
      <c r="E487" s="3" t="s">
        <v>0</v>
      </c>
      <c r="F487" s="4">
        <v>40603</v>
      </c>
      <c r="G487" s="5">
        <v>45597</v>
      </c>
      <c r="H487" s="6" t="s">
        <v>1</v>
      </c>
      <c r="I487" s="1" t="s">
        <v>2</v>
      </c>
      <c r="J487" s="7"/>
      <c r="K487" s="15" t="s">
        <v>982</v>
      </c>
      <c r="L487" t="s">
        <v>463</v>
      </c>
      <c r="M487" t="s">
        <v>15</v>
      </c>
      <c r="N487" t="str">
        <f t="shared" si="75"/>
        <v>https://api.bcb.gov.br/dados/serie/bcdata.sgs.25479/dados?formato=json</v>
      </c>
      <c r="O487">
        <v>6</v>
      </c>
      <c r="P487" t="s">
        <v>19</v>
      </c>
      <c r="Q487" t="s">
        <v>19</v>
      </c>
      <c r="R487" t="s">
        <v>893</v>
      </c>
      <c r="S487" t="s">
        <v>621</v>
      </c>
      <c r="T487" t="e">
        <f t="shared" si="81"/>
        <v>#VALUE!</v>
      </c>
      <c r="U487">
        <f t="shared" si="80"/>
        <v>18</v>
      </c>
    </row>
    <row r="488" spans="1:21" x14ac:dyDescent="0.25">
      <c r="A488" s="8"/>
      <c r="B488" s="8">
        <v>25480</v>
      </c>
      <c r="C488" s="9" t="s">
        <v>169</v>
      </c>
      <c r="D488" s="8" t="s">
        <v>406</v>
      </c>
      <c r="E488" s="10" t="s">
        <v>0</v>
      </c>
      <c r="F488" s="11">
        <v>40603</v>
      </c>
      <c r="G488" s="12">
        <v>45597</v>
      </c>
      <c r="H488" s="13" t="s">
        <v>1</v>
      </c>
      <c r="I488" s="8" t="s">
        <v>2</v>
      </c>
      <c r="J488" s="14"/>
      <c r="K488" s="15" t="s">
        <v>982</v>
      </c>
      <c r="L488" t="s">
        <v>463</v>
      </c>
      <c r="M488" t="s">
        <v>15</v>
      </c>
      <c r="N488" t="str">
        <f t="shared" si="75"/>
        <v>https://api.bcb.gov.br/dados/serie/bcdata.sgs.25480/dados?formato=json</v>
      </c>
      <c r="O488">
        <v>6</v>
      </c>
      <c r="P488" t="s">
        <v>19</v>
      </c>
      <c r="Q488" t="s">
        <v>19</v>
      </c>
      <c r="R488" t="s">
        <v>874</v>
      </c>
      <c r="S488" t="s">
        <v>621</v>
      </c>
      <c r="T488" t="e">
        <f t="shared" si="81"/>
        <v>#VALUE!</v>
      </c>
      <c r="U488">
        <f t="shared" si="80"/>
        <v>18</v>
      </c>
    </row>
    <row r="489" spans="1:21" x14ac:dyDescent="0.25">
      <c r="A489" s="1"/>
      <c r="B489" s="1">
        <v>25481</v>
      </c>
      <c r="C489" s="2" t="s">
        <v>118</v>
      </c>
      <c r="D489" s="1" t="s">
        <v>406</v>
      </c>
      <c r="E489" s="3" t="s">
        <v>0</v>
      </c>
      <c r="F489" s="4">
        <v>40603</v>
      </c>
      <c r="G489" s="5">
        <v>45597</v>
      </c>
      <c r="H489" s="6" t="s">
        <v>1</v>
      </c>
      <c r="I489" s="1" t="s">
        <v>2</v>
      </c>
      <c r="J489" s="7"/>
      <c r="K489" s="15" t="s">
        <v>983</v>
      </c>
      <c r="L489" t="s">
        <v>464</v>
      </c>
      <c r="M489" t="s">
        <v>15</v>
      </c>
      <c r="N489" t="str">
        <f t="shared" ref="N489:N513" si="82">_xlfn.CONCAT("https://api.bcb.gov.br/dados/serie/bcdata.sgs.",B489,"/dados?formato=json")</f>
        <v>https://api.bcb.gov.br/dados/serie/bcdata.sgs.25481/dados?formato=json</v>
      </c>
      <c r="O489">
        <v>6</v>
      </c>
      <c r="P489" t="s">
        <v>19</v>
      </c>
      <c r="Q489" t="s">
        <v>19</v>
      </c>
      <c r="R489" t="s">
        <v>118</v>
      </c>
      <c r="S489" t="s">
        <v>118</v>
      </c>
    </row>
    <row r="490" spans="1:21" x14ac:dyDescent="0.25">
      <c r="A490" s="8"/>
      <c r="B490" s="8">
        <v>25482</v>
      </c>
      <c r="C490" s="9" t="s">
        <v>119</v>
      </c>
      <c r="D490" s="8" t="s">
        <v>406</v>
      </c>
      <c r="E490" s="10" t="s">
        <v>0</v>
      </c>
      <c r="F490" s="11">
        <v>40603</v>
      </c>
      <c r="G490" s="12">
        <v>45597</v>
      </c>
      <c r="H490" s="13" t="s">
        <v>1</v>
      </c>
      <c r="I490" s="8" t="s">
        <v>2</v>
      </c>
      <c r="J490" s="14"/>
      <c r="K490" s="15" t="s">
        <v>983</v>
      </c>
      <c r="L490" t="s">
        <v>464</v>
      </c>
      <c r="M490" t="s">
        <v>15</v>
      </c>
      <c r="N490" t="str">
        <f t="shared" si="82"/>
        <v>https://api.bcb.gov.br/dados/serie/bcdata.sgs.25482/dados?formato=json</v>
      </c>
      <c r="O490">
        <v>6</v>
      </c>
      <c r="P490" t="s">
        <v>19</v>
      </c>
      <c r="Q490" t="s">
        <v>19</v>
      </c>
      <c r="R490" t="s">
        <v>118</v>
      </c>
      <c r="S490" t="s">
        <v>622</v>
      </c>
      <c r="T490" t="e">
        <f t="shared" ref="T490" si="83">RIGHT(S490,LEN(S490)-U490)</f>
        <v>#VALUE!</v>
      </c>
      <c r="U490">
        <f t="shared" ref="U490:U500" si="84">LEN("Setor de serviços - ")</f>
        <v>20</v>
      </c>
    </row>
    <row r="491" spans="1:21" x14ac:dyDescent="0.25">
      <c r="A491" s="1"/>
      <c r="B491" s="1">
        <v>25483</v>
      </c>
      <c r="C491" s="2" t="s">
        <v>171</v>
      </c>
      <c r="D491" s="1" t="s">
        <v>406</v>
      </c>
      <c r="E491" s="3" t="s">
        <v>0</v>
      </c>
      <c r="F491" s="4">
        <v>40603</v>
      </c>
      <c r="G491" s="5">
        <v>45597</v>
      </c>
      <c r="H491" s="6" t="s">
        <v>1</v>
      </c>
      <c r="I491" s="1" t="s">
        <v>2</v>
      </c>
      <c r="J491" s="7"/>
      <c r="K491" s="15" t="s">
        <v>983</v>
      </c>
      <c r="L491" t="s">
        <v>464</v>
      </c>
      <c r="M491" t="s">
        <v>15</v>
      </c>
      <c r="N491" t="str">
        <f t="shared" si="82"/>
        <v>https://api.bcb.gov.br/dados/serie/bcdata.sgs.25483/dados?formato=json</v>
      </c>
      <c r="O491">
        <v>6</v>
      </c>
      <c r="P491" t="s">
        <v>19</v>
      </c>
      <c r="Q491" t="s">
        <v>19</v>
      </c>
      <c r="R491" t="s">
        <v>906</v>
      </c>
      <c r="S491" t="s">
        <v>622</v>
      </c>
      <c r="T491" t="e">
        <f t="shared" ref="T491:T501" si="85">RIGHT(S491,LEN(S491)-U491)</f>
        <v>#VALUE!</v>
      </c>
      <c r="U491">
        <f t="shared" si="84"/>
        <v>20</v>
      </c>
    </row>
    <row r="492" spans="1:21" x14ac:dyDescent="0.25">
      <c r="A492" s="8"/>
      <c r="B492" s="8">
        <v>25484</v>
      </c>
      <c r="C492" s="9" t="s">
        <v>172</v>
      </c>
      <c r="D492" s="8" t="s">
        <v>406</v>
      </c>
      <c r="E492" s="10" t="s">
        <v>0</v>
      </c>
      <c r="F492" s="11">
        <v>40603</v>
      </c>
      <c r="G492" s="12">
        <v>45597</v>
      </c>
      <c r="H492" s="13" t="s">
        <v>1</v>
      </c>
      <c r="I492" s="8" t="s">
        <v>2</v>
      </c>
      <c r="J492" s="14"/>
      <c r="K492" s="15" t="s">
        <v>983</v>
      </c>
      <c r="L492" t="s">
        <v>464</v>
      </c>
      <c r="M492" t="s">
        <v>15</v>
      </c>
      <c r="N492" t="str">
        <f t="shared" si="82"/>
        <v>https://api.bcb.gov.br/dados/serie/bcdata.sgs.25484/dados?formato=json</v>
      </c>
      <c r="O492">
        <v>6</v>
      </c>
      <c r="P492" t="s">
        <v>19</v>
      </c>
      <c r="Q492" t="s">
        <v>19</v>
      </c>
      <c r="R492" t="s">
        <v>907</v>
      </c>
      <c r="S492" t="s">
        <v>622</v>
      </c>
      <c r="T492" t="e">
        <f t="shared" si="85"/>
        <v>#VALUE!</v>
      </c>
      <c r="U492">
        <f t="shared" si="84"/>
        <v>20</v>
      </c>
    </row>
    <row r="493" spans="1:21" x14ac:dyDescent="0.25">
      <c r="A493" s="1"/>
      <c r="B493" s="1">
        <v>25485</v>
      </c>
      <c r="C493" s="2" t="s">
        <v>173</v>
      </c>
      <c r="D493" s="1" t="s">
        <v>406</v>
      </c>
      <c r="E493" s="3" t="s">
        <v>0</v>
      </c>
      <c r="F493" s="4">
        <v>40603</v>
      </c>
      <c r="G493" s="5">
        <v>45597</v>
      </c>
      <c r="H493" s="6" t="s">
        <v>1</v>
      </c>
      <c r="I493" s="1" t="s">
        <v>2</v>
      </c>
      <c r="J493" s="7"/>
      <c r="K493" s="15" t="s">
        <v>983</v>
      </c>
      <c r="L493" t="s">
        <v>464</v>
      </c>
      <c r="M493" t="s">
        <v>15</v>
      </c>
      <c r="N493" t="str">
        <f t="shared" si="82"/>
        <v>https://api.bcb.gov.br/dados/serie/bcdata.sgs.25485/dados?formato=json</v>
      </c>
      <c r="O493">
        <v>6</v>
      </c>
      <c r="P493" t="s">
        <v>19</v>
      </c>
      <c r="Q493" t="s">
        <v>19</v>
      </c>
      <c r="R493" t="s">
        <v>908</v>
      </c>
      <c r="S493" t="s">
        <v>622</v>
      </c>
      <c r="T493" t="e">
        <f t="shared" si="85"/>
        <v>#VALUE!</v>
      </c>
      <c r="U493">
        <f t="shared" si="84"/>
        <v>20</v>
      </c>
    </row>
    <row r="494" spans="1:21" x14ac:dyDescent="0.25">
      <c r="A494" s="8"/>
      <c r="B494" s="8">
        <v>25486</v>
      </c>
      <c r="C494" s="9" t="s">
        <v>174</v>
      </c>
      <c r="D494" s="8" t="s">
        <v>406</v>
      </c>
      <c r="E494" s="10" t="s">
        <v>0</v>
      </c>
      <c r="F494" s="11">
        <v>40603</v>
      </c>
      <c r="G494" s="12">
        <v>45597</v>
      </c>
      <c r="H494" s="13" t="s">
        <v>1</v>
      </c>
      <c r="I494" s="8" t="s">
        <v>2</v>
      </c>
      <c r="J494" s="14"/>
      <c r="K494" s="15" t="s">
        <v>983</v>
      </c>
      <c r="L494" t="s">
        <v>464</v>
      </c>
      <c r="M494" t="s">
        <v>15</v>
      </c>
      <c r="N494" t="str">
        <f t="shared" si="82"/>
        <v>https://api.bcb.gov.br/dados/serie/bcdata.sgs.25486/dados?formato=json</v>
      </c>
      <c r="O494">
        <v>6</v>
      </c>
      <c r="P494" t="s">
        <v>19</v>
      </c>
      <c r="Q494" t="s">
        <v>19</v>
      </c>
      <c r="R494" t="s">
        <v>909</v>
      </c>
      <c r="S494" t="s">
        <v>622</v>
      </c>
      <c r="T494" t="e">
        <f t="shared" si="85"/>
        <v>#VALUE!</v>
      </c>
      <c r="U494">
        <f t="shared" si="84"/>
        <v>20</v>
      </c>
    </row>
    <row r="495" spans="1:21" x14ac:dyDescent="0.25">
      <c r="A495" s="1"/>
      <c r="B495" s="1">
        <v>25487</v>
      </c>
      <c r="C495" s="2" t="s">
        <v>175</v>
      </c>
      <c r="D495" s="1" t="s">
        <v>406</v>
      </c>
      <c r="E495" s="3" t="s">
        <v>0</v>
      </c>
      <c r="F495" s="4">
        <v>40603</v>
      </c>
      <c r="G495" s="5">
        <v>45597</v>
      </c>
      <c r="H495" s="6" t="s">
        <v>1</v>
      </c>
      <c r="I495" s="1" t="s">
        <v>2</v>
      </c>
      <c r="J495" s="7"/>
      <c r="K495" s="15" t="s">
        <v>983</v>
      </c>
      <c r="L495" t="s">
        <v>464</v>
      </c>
      <c r="M495" t="s">
        <v>15</v>
      </c>
      <c r="N495" t="str">
        <f t="shared" si="82"/>
        <v>https://api.bcb.gov.br/dados/serie/bcdata.sgs.25487/dados?formato=json</v>
      </c>
      <c r="O495">
        <v>6</v>
      </c>
      <c r="P495" t="s">
        <v>19</v>
      </c>
      <c r="Q495" t="s">
        <v>19</v>
      </c>
      <c r="R495" t="s">
        <v>910</v>
      </c>
      <c r="S495" t="s">
        <v>622</v>
      </c>
      <c r="T495" t="e">
        <f t="shared" si="85"/>
        <v>#VALUE!</v>
      </c>
      <c r="U495">
        <f t="shared" si="84"/>
        <v>20</v>
      </c>
    </row>
    <row r="496" spans="1:21" x14ac:dyDescent="0.25">
      <c r="A496" s="8"/>
      <c r="B496" s="8">
        <v>25488</v>
      </c>
      <c r="C496" s="9" t="s">
        <v>176</v>
      </c>
      <c r="D496" s="8" t="s">
        <v>406</v>
      </c>
      <c r="E496" s="10" t="s">
        <v>0</v>
      </c>
      <c r="F496" s="11">
        <v>40603</v>
      </c>
      <c r="G496" s="12">
        <v>45597</v>
      </c>
      <c r="H496" s="13" t="s">
        <v>1</v>
      </c>
      <c r="I496" s="8" t="s">
        <v>2</v>
      </c>
      <c r="J496" s="14"/>
      <c r="K496" s="15" t="s">
        <v>983</v>
      </c>
      <c r="L496" t="s">
        <v>464</v>
      </c>
      <c r="M496" t="s">
        <v>15</v>
      </c>
      <c r="N496" t="str">
        <f t="shared" si="82"/>
        <v>https://api.bcb.gov.br/dados/serie/bcdata.sgs.25488/dados?formato=json</v>
      </c>
      <c r="O496">
        <v>6</v>
      </c>
      <c r="P496" t="s">
        <v>19</v>
      </c>
      <c r="Q496" t="s">
        <v>19</v>
      </c>
      <c r="R496" t="s">
        <v>911</v>
      </c>
      <c r="S496" t="s">
        <v>622</v>
      </c>
      <c r="T496" t="e">
        <f t="shared" si="85"/>
        <v>#VALUE!</v>
      </c>
      <c r="U496">
        <f t="shared" si="84"/>
        <v>20</v>
      </c>
    </row>
    <row r="497" spans="1:21" x14ac:dyDescent="0.25">
      <c r="A497" s="1"/>
      <c r="B497" s="1">
        <v>25489</v>
      </c>
      <c r="C497" s="2" t="s">
        <v>177</v>
      </c>
      <c r="D497" s="1" t="s">
        <v>406</v>
      </c>
      <c r="E497" s="3" t="s">
        <v>0</v>
      </c>
      <c r="F497" s="4">
        <v>40603</v>
      </c>
      <c r="G497" s="5">
        <v>45597</v>
      </c>
      <c r="H497" s="6" t="s">
        <v>1</v>
      </c>
      <c r="I497" s="1" t="s">
        <v>2</v>
      </c>
      <c r="J497" s="7"/>
      <c r="K497" s="15" t="s">
        <v>983</v>
      </c>
      <c r="L497" t="s">
        <v>464</v>
      </c>
      <c r="M497" t="s">
        <v>15</v>
      </c>
      <c r="N497" t="str">
        <f t="shared" si="82"/>
        <v>https://api.bcb.gov.br/dados/serie/bcdata.sgs.25489/dados?formato=json</v>
      </c>
      <c r="O497">
        <v>6</v>
      </c>
      <c r="P497" t="s">
        <v>19</v>
      </c>
      <c r="Q497" t="s">
        <v>19</v>
      </c>
      <c r="R497" t="s">
        <v>912</v>
      </c>
      <c r="S497" t="s">
        <v>622</v>
      </c>
      <c r="T497" t="e">
        <f t="shared" si="85"/>
        <v>#VALUE!</v>
      </c>
      <c r="U497">
        <f t="shared" si="84"/>
        <v>20</v>
      </c>
    </row>
    <row r="498" spans="1:21" x14ac:dyDescent="0.25">
      <c r="A498" s="8"/>
      <c r="B498" s="8">
        <v>25490</v>
      </c>
      <c r="C498" s="9" t="s">
        <v>178</v>
      </c>
      <c r="D498" s="8" t="s">
        <v>406</v>
      </c>
      <c r="E498" s="10" t="s">
        <v>0</v>
      </c>
      <c r="F498" s="11">
        <v>40603</v>
      </c>
      <c r="G498" s="12">
        <v>45597</v>
      </c>
      <c r="H498" s="13" t="s">
        <v>1</v>
      </c>
      <c r="I498" s="8" t="s">
        <v>2</v>
      </c>
      <c r="J498" s="14"/>
      <c r="K498" s="15" t="s">
        <v>983</v>
      </c>
      <c r="L498" t="s">
        <v>464</v>
      </c>
      <c r="M498" t="s">
        <v>15</v>
      </c>
      <c r="N498" t="str">
        <f t="shared" si="82"/>
        <v>https://api.bcb.gov.br/dados/serie/bcdata.sgs.25490/dados?formato=json</v>
      </c>
      <c r="O498">
        <v>6</v>
      </c>
      <c r="P498" t="s">
        <v>19</v>
      </c>
      <c r="Q498" t="s">
        <v>19</v>
      </c>
      <c r="R498" t="s">
        <v>913</v>
      </c>
      <c r="S498" t="s">
        <v>622</v>
      </c>
      <c r="T498" t="e">
        <f t="shared" si="85"/>
        <v>#VALUE!</v>
      </c>
      <c r="U498">
        <f t="shared" si="84"/>
        <v>20</v>
      </c>
    </row>
    <row r="499" spans="1:21" x14ac:dyDescent="0.25">
      <c r="A499" s="1"/>
      <c r="B499" s="1">
        <v>25491</v>
      </c>
      <c r="C499" s="2" t="s">
        <v>179</v>
      </c>
      <c r="D499" s="1" t="s">
        <v>406</v>
      </c>
      <c r="E499" s="3" t="s">
        <v>0</v>
      </c>
      <c r="F499" s="4">
        <v>40603</v>
      </c>
      <c r="G499" s="5">
        <v>45597</v>
      </c>
      <c r="H499" s="6" t="s">
        <v>1</v>
      </c>
      <c r="I499" s="1" t="s">
        <v>2</v>
      </c>
      <c r="J499" s="7"/>
      <c r="K499" s="15" t="s">
        <v>983</v>
      </c>
      <c r="L499" t="s">
        <v>464</v>
      </c>
      <c r="M499" t="s">
        <v>15</v>
      </c>
      <c r="N499" t="str">
        <f t="shared" si="82"/>
        <v>https://api.bcb.gov.br/dados/serie/bcdata.sgs.25491/dados?formato=json</v>
      </c>
      <c r="O499">
        <v>6</v>
      </c>
      <c r="P499" t="s">
        <v>19</v>
      </c>
      <c r="Q499" t="s">
        <v>19</v>
      </c>
      <c r="R499" t="s">
        <v>914</v>
      </c>
      <c r="S499" t="s">
        <v>622</v>
      </c>
      <c r="T499" t="e">
        <f t="shared" si="85"/>
        <v>#VALUE!</v>
      </c>
      <c r="U499">
        <f t="shared" si="84"/>
        <v>20</v>
      </c>
    </row>
    <row r="500" spans="1:21" x14ac:dyDescent="0.25">
      <c r="A500" s="8"/>
      <c r="B500" s="8">
        <v>25492</v>
      </c>
      <c r="C500" s="9" t="s">
        <v>180</v>
      </c>
      <c r="D500" s="8" t="s">
        <v>406</v>
      </c>
      <c r="E500" s="10" t="s">
        <v>0</v>
      </c>
      <c r="F500" s="11">
        <v>40603</v>
      </c>
      <c r="G500" s="12">
        <v>45597</v>
      </c>
      <c r="H500" s="13" t="s">
        <v>1</v>
      </c>
      <c r="I500" s="8" t="s">
        <v>2</v>
      </c>
      <c r="J500" s="14"/>
      <c r="K500" s="15" t="s">
        <v>983</v>
      </c>
      <c r="L500" t="s">
        <v>464</v>
      </c>
      <c r="M500" t="s">
        <v>15</v>
      </c>
      <c r="N500" t="str">
        <f t="shared" si="82"/>
        <v>https://api.bcb.gov.br/dados/serie/bcdata.sgs.25492/dados?formato=json</v>
      </c>
      <c r="O500">
        <v>6</v>
      </c>
      <c r="P500" t="s">
        <v>19</v>
      </c>
      <c r="Q500" t="s">
        <v>19</v>
      </c>
      <c r="R500" t="s">
        <v>915</v>
      </c>
      <c r="S500" t="s">
        <v>622</v>
      </c>
      <c r="T500" t="e">
        <f t="shared" si="85"/>
        <v>#VALUE!</v>
      </c>
      <c r="U500">
        <f t="shared" si="84"/>
        <v>20</v>
      </c>
    </row>
    <row r="501" spans="1:21" x14ac:dyDescent="0.25">
      <c r="A501" s="1"/>
      <c r="B501" s="1">
        <v>25493</v>
      </c>
      <c r="C501" s="2" t="s">
        <v>120</v>
      </c>
      <c r="D501" s="1" t="s">
        <v>406</v>
      </c>
      <c r="E501" s="3" t="s">
        <v>0</v>
      </c>
      <c r="F501" s="4">
        <v>40603</v>
      </c>
      <c r="G501" s="5">
        <v>45597</v>
      </c>
      <c r="H501" s="6" t="s">
        <v>1</v>
      </c>
      <c r="I501" s="1" t="s">
        <v>2</v>
      </c>
      <c r="J501" s="7"/>
      <c r="K501" s="15" t="s">
        <v>983</v>
      </c>
      <c r="L501" t="s">
        <v>464</v>
      </c>
      <c r="M501" t="s">
        <v>15</v>
      </c>
      <c r="N501" t="str">
        <f t="shared" si="82"/>
        <v>https://api.bcb.gov.br/dados/serie/bcdata.sgs.25493/dados?formato=json</v>
      </c>
      <c r="O501">
        <v>6</v>
      </c>
      <c r="P501" t="s">
        <v>19</v>
      </c>
      <c r="Q501" t="s">
        <v>19</v>
      </c>
      <c r="R501" t="s">
        <v>118</v>
      </c>
      <c r="S501" t="s">
        <v>621</v>
      </c>
      <c r="T501" t="e">
        <f t="shared" si="85"/>
        <v>#VALUE!</v>
      </c>
      <c r="U501">
        <f t="shared" ref="U501:U513" si="86">LEN("Pessoas físicas - ")</f>
        <v>18</v>
      </c>
    </row>
    <row r="502" spans="1:21" x14ac:dyDescent="0.25">
      <c r="A502" s="8"/>
      <c r="B502" s="8">
        <v>25494</v>
      </c>
      <c r="C502" s="9" t="s">
        <v>182</v>
      </c>
      <c r="D502" s="8" t="s">
        <v>406</v>
      </c>
      <c r="E502" s="10" t="s">
        <v>0</v>
      </c>
      <c r="F502" s="11">
        <v>40603</v>
      </c>
      <c r="G502" s="12">
        <v>45597</v>
      </c>
      <c r="H502" s="13" t="s">
        <v>1</v>
      </c>
      <c r="I502" s="8" t="s">
        <v>2</v>
      </c>
      <c r="J502" s="14"/>
      <c r="K502" s="15" t="s">
        <v>983</v>
      </c>
      <c r="L502" t="s">
        <v>464</v>
      </c>
      <c r="M502" t="s">
        <v>15</v>
      </c>
      <c r="N502" t="str">
        <f t="shared" si="82"/>
        <v>https://api.bcb.gov.br/dados/serie/bcdata.sgs.25494/dados?formato=json</v>
      </c>
      <c r="O502">
        <v>6</v>
      </c>
      <c r="P502" t="s">
        <v>19</v>
      </c>
      <c r="Q502" t="s">
        <v>19</v>
      </c>
      <c r="R502" t="s">
        <v>906</v>
      </c>
      <c r="S502" t="s">
        <v>621</v>
      </c>
      <c r="T502" t="e">
        <f t="shared" ref="T502:T513" si="87">RIGHT(S502,LEN(S502)-U502)</f>
        <v>#VALUE!</v>
      </c>
      <c r="U502">
        <f t="shared" si="86"/>
        <v>18</v>
      </c>
    </row>
    <row r="503" spans="1:21" x14ac:dyDescent="0.25">
      <c r="A503" s="1"/>
      <c r="B503" s="1">
        <v>25495</v>
      </c>
      <c r="C503" s="2" t="s">
        <v>183</v>
      </c>
      <c r="D503" s="1" t="s">
        <v>406</v>
      </c>
      <c r="E503" s="3" t="s">
        <v>0</v>
      </c>
      <c r="F503" s="4">
        <v>40603</v>
      </c>
      <c r="G503" s="5">
        <v>45597</v>
      </c>
      <c r="H503" s="6" t="s">
        <v>1</v>
      </c>
      <c r="I503" s="1" t="s">
        <v>2</v>
      </c>
      <c r="J503" s="7"/>
      <c r="K503" s="15" t="s">
        <v>983</v>
      </c>
      <c r="L503" t="s">
        <v>464</v>
      </c>
      <c r="M503" t="s">
        <v>15</v>
      </c>
      <c r="N503" t="str">
        <f t="shared" si="82"/>
        <v>https://api.bcb.gov.br/dados/serie/bcdata.sgs.25495/dados?formato=json</v>
      </c>
      <c r="O503">
        <v>6</v>
      </c>
      <c r="P503" t="s">
        <v>19</v>
      </c>
      <c r="Q503" t="s">
        <v>19</v>
      </c>
      <c r="R503" t="s">
        <v>907</v>
      </c>
      <c r="S503" t="s">
        <v>621</v>
      </c>
      <c r="T503" t="e">
        <f t="shared" si="87"/>
        <v>#VALUE!</v>
      </c>
      <c r="U503">
        <f t="shared" si="86"/>
        <v>18</v>
      </c>
    </row>
    <row r="504" spans="1:21" x14ac:dyDescent="0.25">
      <c r="A504" s="8"/>
      <c r="B504" s="8">
        <v>25496</v>
      </c>
      <c r="C504" s="9" t="s">
        <v>184</v>
      </c>
      <c r="D504" s="8" t="s">
        <v>406</v>
      </c>
      <c r="E504" s="10" t="s">
        <v>0</v>
      </c>
      <c r="F504" s="11">
        <v>40603</v>
      </c>
      <c r="G504" s="12">
        <v>45597</v>
      </c>
      <c r="H504" s="13" t="s">
        <v>1</v>
      </c>
      <c r="I504" s="8" t="s">
        <v>2</v>
      </c>
      <c r="J504" s="14"/>
      <c r="K504" s="15" t="s">
        <v>983</v>
      </c>
      <c r="L504" t="s">
        <v>464</v>
      </c>
      <c r="M504" t="s">
        <v>15</v>
      </c>
      <c r="N504" t="str">
        <f t="shared" si="82"/>
        <v>https://api.bcb.gov.br/dados/serie/bcdata.sgs.25496/dados?formato=json</v>
      </c>
      <c r="O504">
        <v>6</v>
      </c>
      <c r="P504" t="s">
        <v>19</v>
      </c>
      <c r="Q504" t="s">
        <v>19</v>
      </c>
      <c r="R504" t="s">
        <v>908</v>
      </c>
      <c r="S504" t="s">
        <v>621</v>
      </c>
      <c r="T504" t="e">
        <f t="shared" si="87"/>
        <v>#VALUE!</v>
      </c>
      <c r="U504">
        <f t="shared" si="86"/>
        <v>18</v>
      </c>
    </row>
    <row r="505" spans="1:21" x14ac:dyDescent="0.25">
      <c r="A505" s="1"/>
      <c r="B505" s="1">
        <v>25497</v>
      </c>
      <c r="C505" s="2" t="s">
        <v>185</v>
      </c>
      <c r="D505" s="1" t="s">
        <v>406</v>
      </c>
      <c r="E505" s="3" t="s">
        <v>0</v>
      </c>
      <c r="F505" s="4">
        <v>40603</v>
      </c>
      <c r="G505" s="5">
        <v>45597</v>
      </c>
      <c r="H505" s="6" t="s">
        <v>1</v>
      </c>
      <c r="I505" s="1" t="s">
        <v>2</v>
      </c>
      <c r="J505" s="7"/>
      <c r="K505" s="15" t="s">
        <v>983</v>
      </c>
      <c r="L505" t="s">
        <v>464</v>
      </c>
      <c r="M505" t="s">
        <v>15</v>
      </c>
      <c r="N505" t="str">
        <f t="shared" si="82"/>
        <v>https://api.bcb.gov.br/dados/serie/bcdata.sgs.25497/dados?formato=json</v>
      </c>
      <c r="O505">
        <v>6</v>
      </c>
      <c r="P505" t="s">
        <v>19</v>
      </c>
      <c r="Q505" t="s">
        <v>19</v>
      </c>
      <c r="R505" t="s">
        <v>909</v>
      </c>
      <c r="S505" t="s">
        <v>621</v>
      </c>
      <c r="T505" t="e">
        <f t="shared" si="87"/>
        <v>#VALUE!</v>
      </c>
      <c r="U505">
        <f t="shared" si="86"/>
        <v>18</v>
      </c>
    </row>
    <row r="506" spans="1:21" x14ac:dyDescent="0.25">
      <c r="A506" s="8"/>
      <c r="B506" s="8">
        <v>25498</v>
      </c>
      <c r="C506" s="9" t="s">
        <v>186</v>
      </c>
      <c r="D506" s="8" t="s">
        <v>406</v>
      </c>
      <c r="E506" s="10" t="s">
        <v>0</v>
      </c>
      <c r="F506" s="11">
        <v>40603</v>
      </c>
      <c r="G506" s="12">
        <v>45597</v>
      </c>
      <c r="H506" s="13" t="s">
        <v>1</v>
      </c>
      <c r="I506" s="8" t="s">
        <v>2</v>
      </c>
      <c r="J506" s="14"/>
      <c r="K506" s="15" t="s">
        <v>983</v>
      </c>
      <c r="L506" t="s">
        <v>464</v>
      </c>
      <c r="M506" t="s">
        <v>15</v>
      </c>
      <c r="N506" t="str">
        <f t="shared" si="82"/>
        <v>https://api.bcb.gov.br/dados/serie/bcdata.sgs.25498/dados?formato=json</v>
      </c>
      <c r="O506">
        <v>6</v>
      </c>
      <c r="P506" t="s">
        <v>19</v>
      </c>
      <c r="Q506" t="s">
        <v>19</v>
      </c>
      <c r="R506" t="s">
        <v>910</v>
      </c>
      <c r="S506" t="s">
        <v>621</v>
      </c>
      <c r="T506" t="e">
        <f t="shared" si="87"/>
        <v>#VALUE!</v>
      </c>
      <c r="U506">
        <f t="shared" si="86"/>
        <v>18</v>
      </c>
    </row>
    <row r="507" spans="1:21" x14ac:dyDescent="0.25">
      <c r="A507" s="1"/>
      <c r="B507" s="1">
        <v>25499</v>
      </c>
      <c r="C507" s="2" t="s">
        <v>187</v>
      </c>
      <c r="D507" s="1" t="s">
        <v>406</v>
      </c>
      <c r="E507" s="3" t="s">
        <v>0</v>
      </c>
      <c r="F507" s="4">
        <v>40603</v>
      </c>
      <c r="G507" s="5">
        <v>45597</v>
      </c>
      <c r="H507" s="6" t="s">
        <v>1</v>
      </c>
      <c r="I507" s="1" t="s">
        <v>2</v>
      </c>
      <c r="J507" s="7"/>
      <c r="K507" s="15" t="s">
        <v>983</v>
      </c>
      <c r="L507" t="s">
        <v>464</v>
      </c>
      <c r="M507" t="s">
        <v>15</v>
      </c>
      <c r="N507" t="str">
        <f t="shared" si="82"/>
        <v>https://api.bcb.gov.br/dados/serie/bcdata.sgs.25499/dados?formato=json</v>
      </c>
      <c r="O507">
        <v>6</v>
      </c>
      <c r="P507" t="s">
        <v>19</v>
      </c>
      <c r="Q507" t="s">
        <v>19</v>
      </c>
      <c r="R507" t="s">
        <v>911</v>
      </c>
      <c r="S507" t="s">
        <v>621</v>
      </c>
      <c r="T507" t="e">
        <f t="shared" si="87"/>
        <v>#VALUE!</v>
      </c>
      <c r="U507">
        <f t="shared" si="86"/>
        <v>18</v>
      </c>
    </row>
    <row r="508" spans="1:21" x14ac:dyDescent="0.25">
      <c r="A508" s="8"/>
      <c r="B508" s="8">
        <v>25501</v>
      </c>
      <c r="C508" s="9" t="s">
        <v>189</v>
      </c>
      <c r="D508" s="8" t="s">
        <v>406</v>
      </c>
      <c r="E508" s="10" t="s">
        <v>0</v>
      </c>
      <c r="F508" s="11">
        <v>40603</v>
      </c>
      <c r="G508" s="12">
        <v>45597</v>
      </c>
      <c r="H508" s="13" t="s">
        <v>1</v>
      </c>
      <c r="I508" s="8" t="s">
        <v>2</v>
      </c>
      <c r="J508" s="14"/>
      <c r="K508" s="15" t="s">
        <v>983</v>
      </c>
      <c r="L508" t="s">
        <v>464</v>
      </c>
      <c r="M508" t="s">
        <v>15</v>
      </c>
      <c r="N508" t="str">
        <f t="shared" si="82"/>
        <v>https://api.bcb.gov.br/dados/serie/bcdata.sgs.25501/dados?formato=json</v>
      </c>
      <c r="O508">
        <v>6</v>
      </c>
      <c r="P508" t="s">
        <v>19</v>
      </c>
      <c r="Q508" t="s">
        <v>19</v>
      </c>
      <c r="R508" t="s">
        <v>913</v>
      </c>
      <c r="S508" t="s">
        <v>621</v>
      </c>
      <c r="T508" t="e">
        <f t="shared" si="87"/>
        <v>#VALUE!</v>
      </c>
      <c r="U508">
        <f t="shared" si="86"/>
        <v>18</v>
      </c>
    </row>
    <row r="509" spans="1:21" x14ac:dyDescent="0.25">
      <c r="A509" s="1"/>
      <c r="B509" s="1">
        <v>25502</v>
      </c>
      <c r="C509" s="2" t="s">
        <v>190</v>
      </c>
      <c r="D509" s="1" t="s">
        <v>406</v>
      </c>
      <c r="E509" s="3" t="s">
        <v>0</v>
      </c>
      <c r="F509" s="4">
        <v>40603</v>
      </c>
      <c r="G509" s="5">
        <v>45597</v>
      </c>
      <c r="H509" s="6" t="s">
        <v>1</v>
      </c>
      <c r="I509" s="1" t="s">
        <v>2</v>
      </c>
      <c r="J509" s="7"/>
      <c r="K509" s="15" t="s">
        <v>983</v>
      </c>
      <c r="L509" t="s">
        <v>464</v>
      </c>
      <c r="M509" t="s">
        <v>15</v>
      </c>
      <c r="N509" t="str">
        <f t="shared" si="82"/>
        <v>https://api.bcb.gov.br/dados/serie/bcdata.sgs.25502/dados?formato=json</v>
      </c>
      <c r="O509">
        <v>6</v>
      </c>
      <c r="P509" t="s">
        <v>19</v>
      </c>
      <c r="Q509" t="s">
        <v>19</v>
      </c>
      <c r="R509" t="s">
        <v>914</v>
      </c>
      <c r="S509" t="s">
        <v>621</v>
      </c>
      <c r="T509" t="e">
        <f t="shared" si="87"/>
        <v>#VALUE!</v>
      </c>
      <c r="U509">
        <f t="shared" si="86"/>
        <v>18</v>
      </c>
    </row>
    <row r="510" spans="1:21" x14ac:dyDescent="0.25">
      <c r="A510" s="8"/>
      <c r="B510" s="8">
        <v>25503</v>
      </c>
      <c r="C510" s="9" t="s">
        <v>191</v>
      </c>
      <c r="D510" s="8" t="s">
        <v>406</v>
      </c>
      <c r="E510" s="10" t="s">
        <v>0</v>
      </c>
      <c r="F510" s="11">
        <v>40603</v>
      </c>
      <c r="G510" s="12">
        <v>45597</v>
      </c>
      <c r="H510" s="13" t="s">
        <v>1</v>
      </c>
      <c r="I510" s="8" t="s">
        <v>2</v>
      </c>
      <c r="J510" s="14"/>
      <c r="K510" s="15" t="s">
        <v>983</v>
      </c>
      <c r="L510" t="s">
        <v>464</v>
      </c>
      <c r="M510" t="s">
        <v>15</v>
      </c>
      <c r="N510" t="str">
        <f t="shared" si="82"/>
        <v>https://api.bcb.gov.br/dados/serie/bcdata.sgs.25503/dados?formato=json</v>
      </c>
      <c r="O510">
        <v>6</v>
      </c>
      <c r="P510" t="s">
        <v>19</v>
      </c>
      <c r="Q510" t="s">
        <v>19</v>
      </c>
      <c r="R510" t="s">
        <v>915</v>
      </c>
      <c r="S510" t="s">
        <v>621</v>
      </c>
      <c r="T510" t="e">
        <f t="shared" si="87"/>
        <v>#VALUE!</v>
      </c>
      <c r="U510">
        <f t="shared" si="86"/>
        <v>18</v>
      </c>
    </row>
    <row r="511" spans="1:21" x14ac:dyDescent="0.25">
      <c r="A511" s="1"/>
      <c r="B511" s="1">
        <v>25504</v>
      </c>
      <c r="C511" s="2" t="s">
        <v>192</v>
      </c>
      <c r="D511" s="1" t="s">
        <v>406</v>
      </c>
      <c r="E511" s="3" t="s">
        <v>0</v>
      </c>
      <c r="F511" s="4">
        <v>40603</v>
      </c>
      <c r="G511" s="5">
        <v>45597</v>
      </c>
      <c r="H511" s="6" t="s">
        <v>1</v>
      </c>
      <c r="I511" s="1" t="s">
        <v>2</v>
      </c>
      <c r="J511" s="7"/>
      <c r="K511" s="15" t="s">
        <v>983</v>
      </c>
      <c r="L511" t="s">
        <v>464</v>
      </c>
      <c r="M511" t="s">
        <v>15</v>
      </c>
      <c r="N511" t="str">
        <f t="shared" si="82"/>
        <v>https://api.bcb.gov.br/dados/serie/bcdata.sgs.25504/dados?formato=json</v>
      </c>
      <c r="O511">
        <v>6</v>
      </c>
      <c r="P511" t="s">
        <v>19</v>
      </c>
      <c r="Q511" t="s">
        <v>19</v>
      </c>
      <c r="R511" t="s">
        <v>917</v>
      </c>
      <c r="S511" t="s">
        <v>621</v>
      </c>
      <c r="T511" t="e">
        <f t="shared" si="87"/>
        <v>#VALUE!</v>
      </c>
      <c r="U511">
        <f t="shared" si="86"/>
        <v>18</v>
      </c>
    </row>
    <row r="512" spans="1:21" x14ac:dyDescent="0.25">
      <c r="A512" s="8"/>
      <c r="B512" s="8">
        <v>25505</v>
      </c>
      <c r="C512" s="9" t="s">
        <v>193</v>
      </c>
      <c r="D512" s="8" t="s">
        <v>406</v>
      </c>
      <c r="E512" s="10" t="s">
        <v>0</v>
      </c>
      <c r="F512" s="11">
        <v>40603</v>
      </c>
      <c r="G512" s="12">
        <v>45597</v>
      </c>
      <c r="H512" s="13" t="s">
        <v>1</v>
      </c>
      <c r="I512" s="8" t="s">
        <v>2</v>
      </c>
      <c r="J512" s="14"/>
      <c r="K512" s="15" t="s">
        <v>983</v>
      </c>
      <c r="L512" t="s">
        <v>464</v>
      </c>
      <c r="M512" t="s">
        <v>15</v>
      </c>
      <c r="N512" t="str">
        <f t="shared" si="82"/>
        <v>https://api.bcb.gov.br/dados/serie/bcdata.sgs.25505/dados?formato=json</v>
      </c>
      <c r="O512">
        <v>6</v>
      </c>
      <c r="P512" t="s">
        <v>19</v>
      </c>
      <c r="Q512" t="s">
        <v>19</v>
      </c>
      <c r="R512" t="s">
        <v>918</v>
      </c>
      <c r="S512" t="s">
        <v>621</v>
      </c>
      <c r="T512" t="e">
        <f t="shared" si="87"/>
        <v>#VALUE!</v>
      </c>
      <c r="U512">
        <f t="shared" si="86"/>
        <v>18</v>
      </c>
    </row>
    <row r="513" spans="1:21" x14ac:dyDescent="0.25">
      <c r="A513" s="1"/>
      <c r="B513" s="1">
        <v>25507</v>
      </c>
      <c r="C513" s="2" t="s">
        <v>194</v>
      </c>
      <c r="D513" s="1" t="s">
        <v>406</v>
      </c>
      <c r="E513" s="3" t="s">
        <v>0</v>
      </c>
      <c r="F513" s="4">
        <v>40603</v>
      </c>
      <c r="G513" s="5">
        <v>45597</v>
      </c>
      <c r="H513" s="6" t="s">
        <v>1</v>
      </c>
      <c r="I513" s="1" t="s">
        <v>2</v>
      </c>
      <c r="J513" s="7"/>
      <c r="K513" s="15" t="s">
        <v>983</v>
      </c>
      <c r="L513" t="s">
        <v>464</v>
      </c>
      <c r="M513" t="s">
        <v>15</v>
      </c>
      <c r="N513" t="str">
        <f t="shared" si="82"/>
        <v>https://api.bcb.gov.br/dados/serie/bcdata.sgs.25507/dados?formato=json</v>
      </c>
      <c r="O513">
        <v>6</v>
      </c>
      <c r="P513" t="s">
        <v>19</v>
      </c>
      <c r="Q513" t="s">
        <v>19</v>
      </c>
      <c r="R513" t="s">
        <v>919</v>
      </c>
      <c r="S513" t="s">
        <v>621</v>
      </c>
      <c r="T513" t="e">
        <f t="shared" si="87"/>
        <v>#VALUE!</v>
      </c>
      <c r="U513">
        <f t="shared" si="86"/>
        <v>18</v>
      </c>
    </row>
    <row r="514" spans="1:21" x14ac:dyDescent="0.25">
      <c r="A514" s="1"/>
      <c r="B514" s="1">
        <v>20783</v>
      </c>
      <c r="C514" s="2" t="s">
        <v>118</v>
      </c>
      <c r="D514" s="1" t="s">
        <v>365</v>
      </c>
      <c r="E514" s="3" t="s">
        <v>0</v>
      </c>
      <c r="F514" s="4">
        <v>40603</v>
      </c>
      <c r="G514" s="5">
        <v>45597</v>
      </c>
      <c r="H514" s="6" t="s">
        <v>1</v>
      </c>
      <c r="I514" s="1" t="s">
        <v>2</v>
      </c>
      <c r="J514" s="7"/>
      <c r="K514" s="15" t="s">
        <v>410</v>
      </c>
      <c r="L514" t="s">
        <v>465</v>
      </c>
      <c r="M514" t="s">
        <v>15</v>
      </c>
      <c r="N514" t="str">
        <f t="shared" ref="N514:N519" si="88">_xlfn.CONCAT("https://api.bcb.gov.br/dados/serie/bcdata.sgs.",B514,"/dados?formato=json")</f>
        <v>https://api.bcb.gov.br/dados/serie/bcdata.sgs.20783/dados?formato=json</v>
      </c>
      <c r="O514">
        <v>6</v>
      </c>
      <c r="P514" t="s">
        <v>19</v>
      </c>
      <c r="Q514" t="s">
        <v>19</v>
      </c>
      <c r="R514" t="s">
        <v>118</v>
      </c>
      <c r="S514" t="s">
        <v>118</v>
      </c>
    </row>
    <row r="515" spans="1:21" x14ac:dyDescent="0.25">
      <c r="A515" s="8"/>
      <c r="B515" s="8">
        <v>27631</v>
      </c>
      <c r="C515" s="9" t="s">
        <v>371</v>
      </c>
      <c r="D515" s="8" t="s">
        <v>365</v>
      </c>
      <c r="E515" s="10" t="s">
        <v>0</v>
      </c>
      <c r="F515" s="11">
        <v>40603</v>
      </c>
      <c r="G515" s="12">
        <v>45597</v>
      </c>
      <c r="H515" s="13" t="s">
        <v>1</v>
      </c>
      <c r="I515" s="8" t="s">
        <v>2</v>
      </c>
      <c r="J515" s="14"/>
      <c r="K515" s="15" t="s">
        <v>410</v>
      </c>
      <c r="L515" t="s">
        <v>465</v>
      </c>
      <c r="M515" t="s">
        <v>15</v>
      </c>
      <c r="N515" t="str">
        <f t="shared" si="88"/>
        <v>https://api.bcb.gov.br/dados/serie/bcdata.sgs.27631/dados?formato=json</v>
      </c>
      <c r="O515">
        <v>6</v>
      </c>
      <c r="P515" t="s">
        <v>19</v>
      </c>
      <c r="Q515" t="s">
        <v>19</v>
      </c>
      <c r="R515" t="s">
        <v>970</v>
      </c>
      <c r="S515" t="s">
        <v>118</v>
      </c>
    </row>
    <row r="516" spans="1:21" x14ac:dyDescent="0.25">
      <c r="A516" s="1"/>
      <c r="B516" s="1">
        <v>20784</v>
      </c>
      <c r="C516" s="2" t="s">
        <v>119</v>
      </c>
      <c r="D516" s="1" t="s">
        <v>365</v>
      </c>
      <c r="E516" s="3" t="s">
        <v>0</v>
      </c>
      <c r="F516" s="4">
        <v>40603</v>
      </c>
      <c r="G516" s="5">
        <v>45597</v>
      </c>
      <c r="H516" s="6" t="s">
        <v>1</v>
      </c>
      <c r="I516" s="1" t="s">
        <v>2</v>
      </c>
      <c r="J516" s="7"/>
      <c r="K516" s="15" t="s">
        <v>410</v>
      </c>
      <c r="L516" t="s">
        <v>465</v>
      </c>
      <c r="M516" t="s">
        <v>15</v>
      </c>
      <c r="N516" t="str">
        <f t="shared" si="88"/>
        <v>https://api.bcb.gov.br/dados/serie/bcdata.sgs.20784/dados?formato=json</v>
      </c>
      <c r="O516">
        <v>6</v>
      </c>
      <c r="P516" t="s">
        <v>19</v>
      </c>
      <c r="Q516" t="s">
        <v>19</v>
      </c>
      <c r="R516" t="s">
        <v>118</v>
      </c>
      <c r="S516" t="s">
        <v>622</v>
      </c>
    </row>
    <row r="517" spans="1:21" x14ac:dyDescent="0.25">
      <c r="A517" s="8"/>
      <c r="B517" s="8">
        <v>27632</v>
      </c>
      <c r="C517" s="9" t="s">
        <v>377</v>
      </c>
      <c r="D517" s="8" t="s">
        <v>365</v>
      </c>
      <c r="E517" s="10" t="s">
        <v>0</v>
      </c>
      <c r="F517" s="11">
        <v>40603</v>
      </c>
      <c r="G517" s="12">
        <v>45597</v>
      </c>
      <c r="H517" s="13" t="s">
        <v>1</v>
      </c>
      <c r="I517" s="8" t="s">
        <v>2</v>
      </c>
      <c r="J517" s="14"/>
      <c r="K517" s="15" t="s">
        <v>410</v>
      </c>
      <c r="L517" t="s">
        <v>465</v>
      </c>
      <c r="M517" t="s">
        <v>15</v>
      </c>
      <c r="N517" t="str">
        <f t="shared" si="88"/>
        <v>https://api.bcb.gov.br/dados/serie/bcdata.sgs.27632/dados?formato=json</v>
      </c>
      <c r="O517">
        <v>6</v>
      </c>
      <c r="P517" t="s">
        <v>19</v>
      </c>
      <c r="Q517" t="s">
        <v>19</v>
      </c>
      <c r="R517" t="s">
        <v>970</v>
      </c>
      <c r="S517" t="s">
        <v>622</v>
      </c>
    </row>
    <row r="518" spans="1:21" x14ac:dyDescent="0.25">
      <c r="A518" s="1"/>
      <c r="B518" s="1">
        <v>20785</v>
      </c>
      <c r="C518" s="2" t="s">
        <v>120</v>
      </c>
      <c r="D518" s="1" t="s">
        <v>365</v>
      </c>
      <c r="E518" s="3" t="s">
        <v>0</v>
      </c>
      <c r="F518" s="4">
        <v>40603</v>
      </c>
      <c r="G518" s="5">
        <v>45597</v>
      </c>
      <c r="H518" s="6" t="s">
        <v>1</v>
      </c>
      <c r="I518" s="1" t="s">
        <v>2</v>
      </c>
      <c r="J518" s="7"/>
      <c r="K518" s="15" t="s">
        <v>410</v>
      </c>
      <c r="L518" t="s">
        <v>465</v>
      </c>
      <c r="M518" t="s">
        <v>15</v>
      </c>
      <c r="N518" t="str">
        <f t="shared" si="88"/>
        <v>https://api.bcb.gov.br/dados/serie/bcdata.sgs.20785/dados?formato=json</v>
      </c>
      <c r="O518">
        <v>6</v>
      </c>
      <c r="P518" t="s">
        <v>19</v>
      </c>
      <c r="Q518" t="s">
        <v>19</v>
      </c>
      <c r="R518" t="s">
        <v>118</v>
      </c>
      <c r="S518" t="s">
        <v>621</v>
      </c>
    </row>
    <row r="519" spans="1:21" x14ac:dyDescent="0.25">
      <c r="A519" s="8"/>
      <c r="B519" s="8">
        <v>27633</v>
      </c>
      <c r="C519" s="9" t="s">
        <v>378</v>
      </c>
      <c r="D519" s="8" t="s">
        <v>365</v>
      </c>
      <c r="E519" s="10" t="s">
        <v>0</v>
      </c>
      <c r="F519" s="11">
        <v>40603</v>
      </c>
      <c r="G519" s="12">
        <v>45597</v>
      </c>
      <c r="H519" s="13" t="s">
        <v>1</v>
      </c>
      <c r="I519" s="8" t="s">
        <v>2</v>
      </c>
      <c r="J519" s="14"/>
      <c r="K519" s="15" t="s">
        <v>410</v>
      </c>
      <c r="L519" t="s">
        <v>465</v>
      </c>
      <c r="M519" t="s">
        <v>15</v>
      </c>
      <c r="N519" t="str">
        <f t="shared" si="88"/>
        <v>https://api.bcb.gov.br/dados/serie/bcdata.sgs.27633/dados?formato=json</v>
      </c>
      <c r="O519">
        <v>6</v>
      </c>
      <c r="P519" t="s">
        <v>19</v>
      </c>
      <c r="Q519" t="s">
        <v>19</v>
      </c>
      <c r="R519" t="s">
        <v>970</v>
      </c>
      <c r="S519" t="s">
        <v>621</v>
      </c>
    </row>
    <row r="520" spans="1:21" x14ac:dyDescent="0.25">
      <c r="A520" s="1"/>
      <c r="B520" s="1">
        <v>20786</v>
      </c>
      <c r="C520" s="2" t="s">
        <v>118</v>
      </c>
      <c r="D520" s="1" t="s">
        <v>365</v>
      </c>
      <c r="E520" s="3" t="s">
        <v>0</v>
      </c>
      <c r="F520" s="4">
        <v>40603</v>
      </c>
      <c r="G520" s="5">
        <v>45597</v>
      </c>
      <c r="H520" s="6" t="s">
        <v>1</v>
      </c>
      <c r="I520" s="1" t="s">
        <v>2</v>
      </c>
      <c r="J520" s="7"/>
      <c r="K520" s="15" t="s">
        <v>411</v>
      </c>
      <c r="L520" t="s">
        <v>466</v>
      </c>
      <c r="M520" t="s">
        <v>15</v>
      </c>
      <c r="N520" t="str">
        <f t="shared" ref="N520:N525" si="89">_xlfn.CONCAT("https://api.bcb.gov.br/dados/serie/bcdata.sgs.",B520,"/dados?formato=json")</f>
        <v>https://api.bcb.gov.br/dados/serie/bcdata.sgs.20786/dados?formato=json</v>
      </c>
      <c r="O520">
        <v>6</v>
      </c>
      <c r="P520" t="s">
        <v>19</v>
      </c>
      <c r="Q520" t="s">
        <v>19</v>
      </c>
      <c r="R520" t="s">
        <v>118</v>
      </c>
      <c r="S520" t="s">
        <v>118</v>
      </c>
    </row>
    <row r="521" spans="1:21" x14ac:dyDescent="0.25">
      <c r="A521" s="8"/>
      <c r="B521" s="8">
        <v>27634</v>
      </c>
      <c r="C521" s="9" t="s">
        <v>371</v>
      </c>
      <c r="D521" s="8" t="s">
        <v>365</v>
      </c>
      <c r="E521" s="10" t="s">
        <v>0</v>
      </c>
      <c r="F521" s="11">
        <v>40603</v>
      </c>
      <c r="G521" s="12">
        <v>45597</v>
      </c>
      <c r="H521" s="13" t="s">
        <v>1</v>
      </c>
      <c r="I521" s="8" t="s">
        <v>2</v>
      </c>
      <c r="J521" s="14"/>
      <c r="K521" s="15" t="s">
        <v>411</v>
      </c>
      <c r="L521" t="s">
        <v>466</v>
      </c>
      <c r="M521" t="s">
        <v>15</v>
      </c>
      <c r="N521" t="str">
        <f t="shared" si="89"/>
        <v>https://api.bcb.gov.br/dados/serie/bcdata.sgs.27634/dados?formato=json</v>
      </c>
      <c r="O521">
        <v>6</v>
      </c>
      <c r="P521" t="s">
        <v>19</v>
      </c>
      <c r="Q521" t="s">
        <v>19</v>
      </c>
      <c r="R521" t="s">
        <v>970</v>
      </c>
      <c r="S521" t="s">
        <v>118</v>
      </c>
    </row>
    <row r="522" spans="1:21" x14ac:dyDescent="0.25">
      <c r="A522" s="1"/>
      <c r="B522" s="1">
        <v>20787</v>
      </c>
      <c r="C522" s="2" t="s">
        <v>119</v>
      </c>
      <c r="D522" s="1" t="s">
        <v>365</v>
      </c>
      <c r="E522" s="3" t="s">
        <v>0</v>
      </c>
      <c r="F522" s="4">
        <v>40603</v>
      </c>
      <c r="G522" s="5">
        <v>45597</v>
      </c>
      <c r="H522" s="6" t="s">
        <v>1</v>
      </c>
      <c r="I522" s="1" t="s">
        <v>2</v>
      </c>
      <c r="J522" s="7"/>
      <c r="K522" s="15" t="s">
        <v>411</v>
      </c>
      <c r="L522" t="s">
        <v>466</v>
      </c>
      <c r="M522" t="s">
        <v>15</v>
      </c>
      <c r="N522" t="str">
        <f t="shared" si="89"/>
        <v>https://api.bcb.gov.br/dados/serie/bcdata.sgs.20787/dados?formato=json</v>
      </c>
      <c r="O522">
        <v>6</v>
      </c>
      <c r="P522" t="s">
        <v>19</v>
      </c>
      <c r="Q522" t="s">
        <v>19</v>
      </c>
      <c r="R522" t="s">
        <v>118</v>
      </c>
      <c r="S522" t="s">
        <v>622</v>
      </c>
    </row>
    <row r="523" spans="1:21" x14ac:dyDescent="0.25">
      <c r="A523" s="8"/>
      <c r="B523" s="8">
        <v>27635</v>
      </c>
      <c r="C523" s="9" t="s">
        <v>377</v>
      </c>
      <c r="D523" s="8" t="s">
        <v>365</v>
      </c>
      <c r="E523" s="10" t="s">
        <v>0</v>
      </c>
      <c r="F523" s="11">
        <v>40603</v>
      </c>
      <c r="G523" s="12">
        <v>45597</v>
      </c>
      <c r="H523" s="13" t="s">
        <v>1</v>
      </c>
      <c r="I523" s="8" t="s">
        <v>2</v>
      </c>
      <c r="J523" s="14"/>
      <c r="K523" s="15" t="s">
        <v>411</v>
      </c>
      <c r="L523" t="s">
        <v>466</v>
      </c>
      <c r="M523" t="s">
        <v>15</v>
      </c>
      <c r="N523" t="str">
        <f t="shared" si="89"/>
        <v>https://api.bcb.gov.br/dados/serie/bcdata.sgs.27635/dados?formato=json</v>
      </c>
      <c r="O523">
        <v>6</v>
      </c>
      <c r="P523" t="s">
        <v>19</v>
      </c>
      <c r="Q523" t="s">
        <v>19</v>
      </c>
      <c r="R523" t="s">
        <v>970</v>
      </c>
      <c r="S523" t="s">
        <v>622</v>
      </c>
    </row>
    <row r="524" spans="1:21" x14ac:dyDescent="0.25">
      <c r="A524" s="1"/>
      <c r="B524" s="1">
        <v>20809</v>
      </c>
      <c r="C524" s="2" t="s">
        <v>120</v>
      </c>
      <c r="D524" s="1" t="s">
        <v>365</v>
      </c>
      <c r="E524" s="3" t="s">
        <v>0</v>
      </c>
      <c r="F524" s="4">
        <v>40603</v>
      </c>
      <c r="G524" s="5">
        <v>45597</v>
      </c>
      <c r="H524" s="6" t="s">
        <v>1</v>
      </c>
      <c r="I524" s="1" t="s">
        <v>2</v>
      </c>
      <c r="J524" s="7"/>
      <c r="K524" s="15" t="s">
        <v>411</v>
      </c>
      <c r="L524" t="s">
        <v>466</v>
      </c>
      <c r="M524" t="s">
        <v>15</v>
      </c>
      <c r="N524" t="str">
        <f t="shared" si="89"/>
        <v>https://api.bcb.gov.br/dados/serie/bcdata.sgs.20809/dados?formato=json</v>
      </c>
      <c r="O524">
        <v>6</v>
      </c>
      <c r="P524" t="s">
        <v>19</v>
      </c>
      <c r="Q524" t="s">
        <v>19</v>
      </c>
      <c r="R524" t="s">
        <v>118</v>
      </c>
      <c r="S524" t="s">
        <v>621</v>
      </c>
    </row>
    <row r="525" spans="1:21" x14ac:dyDescent="0.25">
      <c r="A525" s="8"/>
      <c r="B525" s="8">
        <v>27636</v>
      </c>
      <c r="C525" s="9" t="s">
        <v>378</v>
      </c>
      <c r="D525" s="8" t="s">
        <v>365</v>
      </c>
      <c r="E525" s="10" t="s">
        <v>0</v>
      </c>
      <c r="F525" s="11">
        <v>40603</v>
      </c>
      <c r="G525" s="12">
        <v>45597</v>
      </c>
      <c r="H525" s="13" t="s">
        <v>1</v>
      </c>
      <c r="I525" s="8" t="s">
        <v>2</v>
      </c>
      <c r="J525" s="14"/>
      <c r="K525" s="15" t="s">
        <v>411</v>
      </c>
      <c r="L525" t="s">
        <v>466</v>
      </c>
      <c r="M525" t="s">
        <v>15</v>
      </c>
      <c r="N525" t="str">
        <f t="shared" si="89"/>
        <v>https://api.bcb.gov.br/dados/serie/bcdata.sgs.27636/dados?formato=json</v>
      </c>
      <c r="O525">
        <v>6</v>
      </c>
      <c r="P525" t="s">
        <v>19</v>
      </c>
      <c r="Q525" t="s">
        <v>19</v>
      </c>
      <c r="R525" t="s">
        <v>970</v>
      </c>
      <c r="S525" t="s">
        <v>621</v>
      </c>
    </row>
    <row r="526" spans="1:21" x14ac:dyDescent="0.25">
      <c r="A526" s="1"/>
      <c r="B526" s="1">
        <v>20825</v>
      </c>
      <c r="C526" s="2" t="s">
        <v>407</v>
      </c>
      <c r="D526" s="1" t="s">
        <v>365</v>
      </c>
      <c r="E526" s="3" t="s">
        <v>0</v>
      </c>
      <c r="F526" s="4">
        <v>40603</v>
      </c>
      <c r="G526" s="5">
        <v>45597</v>
      </c>
      <c r="H526" s="6" t="s">
        <v>1</v>
      </c>
      <c r="I526" s="1" t="s">
        <v>2</v>
      </c>
      <c r="J526" s="7"/>
      <c r="K526" s="15" t="s">
        <v>412</v>
      </c>
      <c r="L526" t="s">
        <v>467</v>
      </c>
      <c r="M526" t="s">
        <v>15</v>
      </c>
      <c r="N526" t="str">
        <f t="shared" ref="N526:N528" si="90">_xlfn.CONCAT("https://api.bcb.gov.br/dados/serie/bcdata.sgs.",B526,"/dados?formato=json")</f>
        <v>https://api.bcb.gov.br/dados/serie/bcdata.sgs.20825/dados?formato=json</v>
      </c>
      <c r="O526">
        <v>6</v>
      </c>
      <c r="P526" t="s">
        <v>19</v>
      </c>
      <c r="Q526" t="s">
        <v>19</v>
      </c>
      <c r="R526" t="s">
        <v>118</v>
      </c>
      <c r="S526" t="s">
        <v>118</v>
      </c>
    </row>
    <row r="527" spans="1:21" x14ac:dyDescent="0.25">
      <c r="A527" s="8"/>
      <c r="B527" s="8">
        <v>20826</v>
      </c>
      <c r="C527" s="9" t="s">
        <v>408</v>
      </c>
      <c r="D527" s="8" t="s">
        <v>365</v>
      </c>
      <c r="E527" s="10" t="s">
        <v>0</v>
      </c>
      <c r="F527" s="11">
        <v>40603</v>
      </c>
      <c r="G527" s="12">
        <v>45597</v>
      </c>
      <c r="H527" s="13" t="s">
        <v>1</v>
      </c>
      <c r="I527" s="8" t="s">
        <v>2</v>
      </c>
      <c r="J527" s="14"/>
      <c r="K527" s="15" t="s">
        <v>412</v>
      </c>
      <c r="L527" t="s">
        <v>467</v>
      </c>
      <c r="M527" t="s">
        <v>15</v>
      </c>
      <c r="N527" t="str">
        <f t="shared" si="90"/>
        <v>https://api.bcb.gov.br/dados/serie/bcdata.sgs.20826/dados?formato=json</v>
      </c>
      <c r="O527">
        <v>6</v>
      </c>
      <c r="P527" t="s">
        <v>19</v>
      </c>
      <c r="Q527" t="s">
        <v>19</v>
      </c>
      <c r="R527" t="s">
        <v>118</v>
      </c>
      <c r="S527" t="s">
        <v>622</v>
      </c>
    </row>
    <row r="528" spans="1:21" x14ac:dyDescent="0.25">
      <c r="A528" s="1"/>
      <c r="B528" s="1">
        <v>20837</v>
      </c>
      <c r="C528" s="2" t="s">
        <v>409</v>
      </c>
      <c r="D528" s="1" t="s">
        <v>365</v>
      </c>
      <c r="E528" s="3" t="s">
        <v>0</v>
      </c>
      <c r="F528" s="4">
        <v>40603</v>
      </c>
      <c r="G528" s="5">
        <v>45597</v>
      </c>
      <c r="H528" s="6" t="s">
        <v>1</v>
      </c>
      <c r="I528" s="1" t="s">
        <v>2</v>
      </c>
      <c r="J528" s="7"/>
      <c r="K528" s="15" t="s">
        <v>412</v>
      </c>
      <c r="L528" t="s">
        <v>467</v>
      </c>
      <c r="M528" t="s">
        <v>15</v>
      </c>
      <c r="N528" t="str">
        <f t="shared" si="90"/>
        <v>https://api.bcb.gov.br/dados/serie/bcdata.sgs.20837/dados?formato=json</v>
      </c>
      <c r="O528">
        <v>6</v>
      </c>
      <c r="P528" t="s">
        <v>19</v>
      </c>
      <c r="Q528" t="s">
        <v>19</v>
      </c>
      <c r="R528" t="s">
        <v>118</v>
      </c>
      <c r="S528" t="s">
        <v>621</v>
      </c>
    </row>
    <row r="529" spans="1:21" x14ac:dyDescent="0.25">
      <c r="A529" s="1"/>
      <c r="B529" s="1">
        <v>20852</v>
      </c>
      <c r="C529" s="2" t="s">
        <v>118</v>
      </c>
      <c r="D529" s="1" t="s">
        <v>413</v>
      </c>
      <c r="E529" s="3" t="s">
        <v>0</v>
      </c>
      <c r="F529" s="4">
        <v>40603</v>
      </c>
      <c r="G529" s="5">
        <v>45597</v>
      </c>
      <c r="H529" s="6" t="s">
        <v>1</v>
      </c>
      <c r="I529" s="1" t="s">
        <v>2</v>
      </c>
      <c r="J529" s="7"/>
      <c r="K529" s="15" t="s">
        <v>414</v>
      </c>
      <c r="L529" t="s">
        <v>468</v>
      </c>
      <c r="M529" t="s">
        <v>15</v>
      </c>
      <c r="N529" t="str">
        <f t="shared" ref="N529:N531" si="91">_xlfn.CONCAT("https://api.bcb.gov.br/dados/serie/bcdata.sgs.",B529,"/dados?formato=json")</f>
        <v>https://api.bcb.gov.br/dados/serie/bcdata.sgs.20852/dados?formato=json</v>
      </c>
      <c r="O529">
        <v>6</v>
      </c>
      <c r="P529" t="s">
        <v>19</v>
      </c>
      <c r="Q529" t="s">
        <v>19</v>
      </c>
      <c r="R529" t="s">
        <v>118</v>
      </c>
      <c r="S529" t="s">
        <v>118</v>
      </c>
    </row>
    <row r="530" spans="1:21" x14ac:dyDescent="0.25">
      <c r="A530" s="8"/>
      <c r="B530" s="8">
        <v>20853</v>
      </c>
      <c r="C530" s="9" t="s">
        <v>119</v>
      </c>
      <c r="D530" s="8" t="s">
        <v>413</v>
      </c>
      <c r="E530" s="10" t="s">
        <v>0</v>
      </c>
      <c r="F530" s="11">
        <v>40603</v>
      </c>
      <c r="G530" s="12">
        <v>45597</v>
      </c>
      <c r="H530" s="13" t="s">
        <v>1</v>
      </c>
      <c r="I530" s="8" t="s">
        <v>2</v>
      </c>
      <c r="J530" s="14"/>
      <c r="K530" s="15" t="s">
        <v>414</v>
      </c>
      <c r="L530" t="s">
        <v>468</v>
      </c>
      <c r="M530" t="s">
        <v>15</v>
      </c>
      <c r="N530" t="str">
        <f t="shared" si="91"/>
        <v>https://api.bcb.gov.br/dados/serie/bcdata.sgs.20853/dados?formato=json</v>
      </c>
      <c r="O530">
        <v>6</v>
      </c>
      <c r="P530" t="s">
        <v>19</v>
      </c>
      <c r="Q530" t="s">
        <v>19</v>
      </c>
      <c r="R530" t="s">
        <v>118</v>
      </c>
      <c r="S530" t="s">
        <v>622</v>
      </c>
    </row>
    <row r="531" spans="1:21" x14ac:dyDescent="0.25">
      <c r="A531" s="1"/>
      <c r="B531" s="1">
        <v>20854</v>
      </c>
      <c r="C531" s="2" t="s">
        <v>120</v>
      </c>
      <c r="D531" s="1" t="s">
        <v>413</v>
      </c>
      <c r="E531" s="3" t="s">
        <v>0</v>
      </c>
      <c r="F531" s="4">
        <v>40603</v>
      </c>
      <c r="G531" s="5">
        <v>45597</v>
      </c>
      <c r="H531" s="6" t="s">
        <v>1</v>
      </c>
      <c r="I531" s="1" t="s">
        <v>2</v>
      </c>
      <c r="J531" s="7"/>
      <c r="K531" s="15" t="s">
        <v>414</v>
      </c>
      <c r="L531" t="s">
        <v>468</v>
      </c>
      <c r="M531" t="s">
        <v>15</v>
      </c>
      <c r="N531" t="str">
        <f t="shared" si="91"/>
        <v>https://api.bcb.gov.br/dados/serie/bcdata.sgs.20854/dados?formato=json</v>
      </c>
      <c r="O531">
        <v>6</v>
      </c>
      <c r="P531" t="s">
        <v>19</v>
      </c>
      <c r="Q531" t="s">
        <v>19</v>
      </c>
      <c r="R531" t="s">
        <v>118</v>
      </c>
      <c r="S531" t="s">
        <v>621</v>
      </c>
    </row>
    <row r="532" spans="1:21" x14ac:dyDescent="0.25">
      <c r="A532" s="1"/>
      <c r="B532" s="1">
        <v>20855</v>
      </c>
      <c r="C532" s="2" t="s">
        <v>118</v>
      </c>
      <c r="D532" s="1" t="s">
        <v>413</v>
      </c>
      <c r="E532" s="3" t="s">
        <v>0</v>
      </c>
      <c r="F532" s="4">
        <v>40603</v>
      </c>
      <c r="G532" s="5">
        <v>45597</v>
      </c>
      <c r="H532" s="6" t="s">
        <v>1</v>
      </c>
      <c r="I532" s="1" t="s">
        <v>2</v>
      </c>
      <c r="J532" s="7"/>
      <c r="K532" s="15" t="s">
        <v>415</v>
      </c>
      <c r="L532" t="s">
        <v>469</v>
      </c>
      <c r="M532" t="s">
        <v>15</v>
      </c>
      <c r="N532" t="str">
        <f t="shared" ref="N532:N571" si="92">_xlfn.CONCAT("https://api.bcb.gov.br/dados/serie/bcdata.sgs.",B532,"/dados?formato=json")</f>
        <v>https://api.bcb.gov.br/dados/serie/bcdata.sgs.20855/dados?formato=json</v>
      </c>
      <c r="O532">
        <v>6</v>
      </c>
      <c r="P532" t="s">
        <v>19</v>
      </c>
      <c r="Q532" t="s">
        <v>19</v>
      </c>
      <c r="R532" t="s">
        <v>118</v>
      </c>
      <c r="S532" t="s">
        <v>118</v>
      </c>
    </row>
    <row r="533" spans="1:21" x14ac:dyDescent="0.25">
      <c r="A533" s="8"/>
      <c r="B533" s="8">
        <v>20856</v>
      </c>
      <c r="C533" s="9" t="s">
        <v>119</v>
      </c>
      <c r="D533" s="8" t="s">
        <v>413</v>
      </c>
      <c r="E533" s="10" t="s">
        <v>0</v>
      </c>
      <c r="F533" s="11">
        <v>40603</v>
      </c>
      <c r="G533" s="12">
        <v>45597</v>
      </c>
      <c r="H533" s="13" t="s">
        <v>1</v>
      </c>
      <c r="I533" s="8" t="s">
        <v>2</v>
      </c>
      <c r="J533" s="14"/>
      <c r="K533" s="15" t="s">
        <v>415</v>
      </c>
      <c r="L533" t="s">
        <v>469</v>
      </c>
      <c r="M533" t="s">
        <v>15</v>
      </c>
      <c r="N533" t="str">
        <f t="shared" si="92"/>
        <v>https://api.bcb.gov.br/dados/serie/bcdata.sgs.20856/dados?formato=json</v>
      </c>
      <c r="O533">
        <v>6</v>
      </c>
      <c r="P533" t="s">
        <v>19</v>
      </c>
      <c r="Q533" t="s">
        <v>19</v>
      </c>
      <c r="R533" t="s">
        <v>118</v>
      </c>
      <c r="S533" t="s">
        <v>622</v>
      </c>
      <c r="T533" t="e">
        <f t="shared" ref="T533" si="93">RIGHT(S533,LEN(S533)-U533)</f>
        <v>#VALUE!</v>
      </c>
      <c r="U533">
        <f t="shared" ref="U533:U554" si="94">LEN("Setor de serviços - ")</f>
        <v>20</v>
      </c>
    </row>
    <row r="534" spans="1:21" x14ac:dyDescent="0.25">
      <c r="A534" s="1"/>
      <c r="B534" s="1">
        <v>20857</v>
      </c>
      <c r="C534" s="2" t="s">
        <v>123</v>
      </c>
      <c r="D534" s="1" t="s">
        <v>413</v>
      </c>
      <c r="E534" s="3" t="s">
        <v>0</v>
      </c>
      <c r="F534" s="4">
        <v>40603</v>
      </c>
      <c r="G534" s="5">
        <v>45597</v>
      </c>
      <c r="H534" s="6" t="s">
        <v>1</v>
      </c>
      <c r="I534" s="1" t="s">
        <v>2</v>
      </c>
      <c r="J534" s="7"/>
      <c r="K534" s="15" t="s">
        <v>415</v>
      </c>
      <c r="L534" t="s">
        <v>469</v>
      </c>
      <c r="M534" t="s">
        <v>15</v>
      </c>
      <c r="N534" t="str">
        <f t="shared" si="92"/>
        <v>https://api.bcb.gov.br/dados/serie/bcdata.sgs.20857/dados?formato=json</v>
      </c>
      <c r="O534">
        <v>6</v>
      </c>
      <c r="P534" t="s">
        <v>19</v>
      </c>
      <c r="Q534" t="s">
        <v>19</v>
      </c>
      <c r="R534" t="s">
        <v>873</v>
      </c>
      <c r="S534" t="s">
        <v>622</v>
      </c>
      <c r="T534" t="e">
        <f t="shared" ref="T534:T552" si="95">RIGHT(S534,LEN(S534)-U534)</f>
        <v>#VALUE!</v>
      </c>
      <c r="U534">
        <f t="shared" si="94"/>
        <v>20</v>
      </c>
    </row>
    <row r="535" spans="1:21" x14ac:dyDescent="0.25">
      <c r="A535" s="8"/>
      <c r="B535" s="8">
        <v>20858</v>
      </c>
      <c r="C535" s="9" t="s">
        <v>124</v>
      </c>
      <c r="D535" s="8" t="s">
        <v>413</v>
      </c>
      <c r="E535" s="10" t="s">
        <v>0</v>
      </c>
      <c r="F535" s="11">
        <v>40603</v>
      </c>
      <c r="G535" s="12">
        <v>45597</v>
      </c>
      <c r="H535" s="13" t="s">
        <v>1</v>
      </c>
      <c r="I535" s="8" t="s">
        <v>2</v>
      </c>
      <c r="J535" s="14"/>
      <c r="K535" s="15" t="s">
        <v>415</v>
      </c>
      <c r="L535" t="s">
        <v>469</v>
      </c>
      <c r="M535" t="s">
        <v>15</v>
      </c>
      <c r="N535" t="str">
        <f t="shared" si="92"/>
        <v>https://api.bcb.gov.br/dados/serie/bcdata.sgs.20858/dados?formato=json</v>
      </c>
      <c r="O535">
        <v>6</v>
      </c>
      <c r="P535" t="s">
        <v>19</v>
      </c>
      <c r="Q535" t="s">
        <v>19</v>
      </c>
      <c r="R535" t="s">
        <v>874</v>
      </c>
      <c r="S535" t="s">
        <v>622</v>
      </c>
      <c r="T535" t="e">
        <f t="shared" si="95"/>
        <v>#VALUE!</v>
      </c>
      <c r="U535">
        <f t="shared" si="94"/>
        <v>20</v>
      </c>
    </row>
    <row r="536" spans="1:21" x14ac:dyDescent="0.25">
      <c r="A536" s="1"/>
      <c r="B536" s="1">
        <v>20859</v>
      </c>
      <c r="C536" s="2" t="s">
        <v>125</v>
      </c>
      <c r="D536" s="1" t="s">
        <v>413</v>
      </c>
      <c r="E536" s="3" t="s">
        <v>0</v>
      </c>
      <c r="F536" s="4">
        <v>40603</v>
      </c>
      <c r="G536" s="5">
        <v>45597</v>
      </c>
      <c r="H536" s="6" t="s">
        <v>1</v>
      </c>
      <c r="I536" s="1" t="s">
        <v>2</v>
      </c>
      <c r="J536" s="7"/>
      <c r="K536" s="15" t="s">
        <v>415</v>
      </c>
      <c r="L536" t="s">
        <v>469</v>
      </c>
      <c r="M536" t="s">
        <v>15</v>
      </c>
      <c r="N536" t="str">
        <f t="shared" si="92"/>
        <v>https://api.bcb.gov.br/dados/serie/bcdata.sgs.20859/dados?formato=json</v>
      </c>
      <c r="O536">
        <v>6</v>
      </c>
      <c r="P536" t="s">
        <v>19</v>
      </c>
      <c r="Q536" t="s">
        <v>19</v>
      </c>
      <c r="R536" t="s">
        <v>875</v>
      </c>
      <c r="S536" t="s">
        <v>622</v>
      </c>
      <c r="T536" t="e">
        <f t="shared" si="95"/>
        <v>#VALUE!</v>
      </c>
      <c r="U536">
        <f t="shared" si="94"/>
        <v>20</v>
      </c>
    </row>
    <row r="537" spans="1:21" x14ac:dyDescent="0.25">
      <c r="A537" s="8"/>
      <c r="B537" s="8">
        <v>20860</v>
      </c>
      <c r="C537" s="9" t="s">
        <v>126</v>
      </c>
      <c r="D537" s="8" t="s">
        <v>413</v>
      </c>
      <c r="E537" s="10" t="s">
        <v>0</v>
      </c>
      <c r="F537" s="11">
        <v>40603</v>
      </c>
      <c r="G537" s="12">
        <v>45597</v>
      </c>
      <c r="H537" s="13" t="s">
        <v>1</v>
      </c>
      <c r="I537" s="8" t="s">
        <v>2</v>
      </c>
      <c r="J537" s="14"/>
      <c r="K537" s="15" t="s">
        <v>415</v>
      </c>
      <c r="L537" t="s">
        <v>469</v>
      </c>
      <c r="M537" t="s">
        <v>15</v>
      </c>
      <c r="N537" t="str">
        <f t="shared" si="92"/>
        <v>https://api.bcb.gov.br/dados/serie/bcdata.sgs.20860/dados?formato=json</v>
      </c>
      <c r="O537">
        <v>6</v>
      </c>
      <c r="P537" t="s">
        <v>19</v>
      </c>
      <c r="Q537" t="s">
        <v>19</v>
      </c>
      <c r="R537" t="s">
        <v>876</v>
      </c>
      <c r="S537" t="s">
        <v>622</v>
      </c>
      <c r="T537" t="e">
        <f t="shared" si="95"/>
        <v>#VALUE!</v>
      </c>
      <c r="U537">
        <f t="shared" si="94"/>
        <v>20</v>
      </c>
    </row>
    <row r="538" spans="1:21" x14ac:dyDescent="0.25">
      <c r="A538" s="1"/>
      <c r="B538" s="1">
        <v>20861</v>
      </c>
      <c r="C538" s="2" t="s">
        <v>127</v>
      </c>
      <c r="D538" s="1" t="s">
        <v>413</v>
      </c>
      <c r="E538" s="3" t="s">
        <v>0</v>
      </c>
      <c r="F538" s="4">
        <v>40603</v>
      </c>
      <c r="G538" s="5">
        <v>45597</v>
      </c>
      <c r="H538" s="6" t="s">
        <v>1</v>
      </c>
      <c r="I538" s="1" t="s">
        <v>2</v>
      </c>
      <c r="J538" s="7"/>
      <c r="K538" s="15" t="s">
        <v>415</v>
      </c>
      <c r="L538" t="s">
        <v>469</v>
      </c>
      <c r="M538" t="s">
        <v>15</v>
      </c>
      <c r="N538" t="str">
        <f t="shared" si="92"/>
        <v>https://api.bcb.gov.br/dados/serie/bcdata.sgs.20861/dados?formato=json</v>
      </c>
      <c r="O538">
        <v>6</v>
      </c>
      <c r="P538" t="s">
        <v>19</v>
      </c>
      <c r="Q538" t="s">
        <v>19</v>
      </c>
      <c r="R538" t="s">
        <v>877</v>
      </c>
      <c r="S538" t="s">
        <v>622</v>
      </c>
      <c r="T538" t="e">
        <f t="shared" si="95"/>
        <v>#VALUE!</v>
      </c>
      <c r="U538">
        <f t="shared" si="94"/>
        <v>20</v>
      </c>
    </row>
    <row r="539" spans="1:21" x14ac:dyDescent="0.25">
      <c r="A539" s="8"/>
      <c r="B539" s="8">
        <v>20862</v>
      </c>
      <c r="C539" s="9" t="s">
        <v>128</v>
      </c>
      <c r="D539" s="8" t="s">
        <v>413</v>
      </c>
      <c r="E539" s="10" t="s">
        <v>0</v>
      </c>
      <c r="F539" s="11">
        <v>40603</v>
      </c>
      <c r="G539" s="12">
        <v>45597</v>
      </c>
      <c r="H539" s="13" t="s">
        <v>1</v>
      </c>
      <c r="I539" s="8" t="s">
        <v>2</v>
      </c>
      <c r="J539" s="14"/>
      <c r="K539" s="15" t="s">
        <v>415</v>
      </c>
      <c r="L539" t="s">
        <v>469</v>
      </c>
      <c r="M539" t="s">
        <v>15</v>
      </c>
      <c r="N539" t="str">
        <f t="shared" si="92"/>
        <v>https://api.bcb.gov.br/dados/serie/bcdata.sgs.20862/dados?formato=json</v>
      </c>
      <c r="O539">
        <v>6</v>
      </c>
      <c r="P539" t="s">
        <v>19</v>
      </c>
      <c r="Q539" t="s">
        <v>19</v>
      </c>
      <c r="R539" t="s">
        <v>878</v>
      </c>
      <c r="S539" t="s">
        <v>622</v>
      </c>
      <c r="T539" t="e">
        <f t="shared" si="95"/>
        <v>#VALUE!</v>
      </c>
      <c r="U539">
        <f t="shared" si="94"/>
        <v>20</v>
      </c>
    </row>
    <row r="540" spans="1:21" x14ac:dyDescent="0.25">
      <c r="A540" s="1"/>
      <c r="B540" s="1">
        <v>20863</v>
      </c>
      <c r="C540" s="2" t="s">
        <v>129</v>
      </c>
      <c r="D540" s="1" t="s">
        <v>413</v>
      </c>
      <c r="E540" s="3" t="s">
        <v>0</v>
      </c>
      <c r="F540" s="4">
        <v>40603</v>
      </c>
      <c r="G540" s="5">
        <v>45597</v>
      </c>
      <c r="H540" s="6" t="s">
        <v>1</v>
      </c>
      <c r="I540" s="1" t="s">
        <v>2</v>
      </c>
      <c r="J540" s="7"/>
      <c r="K540" s="15" t="s">
        <v>415</v>
      </c>
      <c r="L540" t="s">
        <v>469</v>
      </c>
      <c r="M540" t="s">
        <v>15</v>
      </c>
      <c r="N540" t="str">
        <f t="shared" si="92"/>
        <v>https://api.bcb.gov.br/dados/serie/bcdata.sgs.20863/dados?formato=json</v>
      </c>
      <c r="O540">
        <v>6</v>
      </c>
      <c r="P540" t="s">
        <v>19</v>
      </c>
      <c r="Q540" t="s">
        <v>19</v>
      </c>
      <c r="R540" t="s">
        <v>879</v>
      </c>
      <c r="S540" t="s">
        <v>622</v>
      </c>
      <c r="T540" t="e">
        <f t="shared" si="95"/>
        <v>#VALUE!</v>
      </c>
      <c r="U540">
        <f t="shared" si="94"/>
        <v>20</v>
      </c>
    </row>
    <row r="541" spans="1:21" x14ac:dyDescent="0.25">
      <c r="A541" s="8"/>
      <c r="B541" s="8">
        <v>20864</v>
      </c>
      <c r="C541" s="9" t="s">
        <v>132</v>
      </c>
      <c r="D541" s="8" t="s">
        <v>413</v>
      </c>
      <c r="E541" s="10" t="s">
        <v>0</v>
      </c>
      <c r="F541" s="11">
        <v>40603</v>
      </c>
      <c r="G541" s="12">
        <v>45597</v>
      </c>
      <c r="H541" s="13" t="s">
        <v>1</v>
      </c>
      <c r="I541" s="8" t="s">
        <v>2</v>
      </c>
      <c r="J541" s="14"/>
      <c r="K541" s="15" t="s">
        <v>415</v>
      </c>
      <c r="L541" t="s">
        <v>469</v>
      </c>
      <c r="M541" t="s">
        <v>15</v>
      </c>
      <c r="N541" t="str">
        <f t="shared" si="92"/>
        <v>https://api.bcb.gov.br/dados/serie/bcdata.sgs.20864/dados?formato=json</v>
      </c>
      <c r="O541">
        <v>6</v>
      </c>
      <c r="P541" t="s">
        <v>19</v>
      </c>
      <c r="Q541" t="s">
        <v>19</v>
      </c>
      <c r="R541" t="s">
        <v>882</v>
      </c>
      <c r="S541" t="s">
        <v>622</v>
      </c>
      <c r="T541" t="e">
        <f t="shared" si="95"/>
        <v>#VALUE!</v>
      </c>
      <c r="U541">
        <f t="shared" si="94"/>
        <v>20</v>
      </c>
    </row>
    <row r="542" spans="1:21" x14ac:dyDescent="0.25">
      <c r="A542" s="1"/>
      <c r="B542" s="1">
        <v>20865</v>
      </c>
      <c r="C542" s="2" t="s">
        <v>133</v>
      </c>
      <c r="D542" s="1" t="s">
        <v>413</v>
      </c>
      <c r="E542" s="3" t="s">
        <v>0</v>
      </c>
      <c r="F542" s="4">
        <v>40603</v>
      </c>
      <c r="G542" s="5">
        <v>45597</v>
      </c>
      <c r="H542" s="6" t="s">
        <v>1</v>
      </c>
      <c r="I542" s="1" t="s">
        <v>2</v>
      </c>
      <c r="J542" s="7"/>
      <c r="K542" s="15" t="s">
        <v>415</v>
      </c>
      <c r="L542" t="s">
        <v>469</v>
      </c>
      <c r="M542" t="s">
        <v>15</v>
      </c>
      <c r="N542" t="str">
        <f t="shared" si="92"/>
        <v>https://api.bcb.gov.br/dados/serie/bcdata.sgs.20865/dados?formato=json</v>
      </c>
      <c r="O542">
        <v>6</v>
      </c>
      <c r="P542" t="s">
        <v>19</v>
      </c>
      <c r="Q542" t="s">
        <v>19</v>
      </c>
      <c r="R542" t="s">
        <v>883</v>
      </c>
      <c r="S542" t="s">
        <v>622</v>
      </c>
      <c r="T542" t="e">
        <f t="shared" si="95"/>
        <v>#VALUE!</v>
      </c>
      <c r="U542">
        <f t="shared" si="94"/>
        <v>20</v>
      </c>
    </row>
    <row r="543" spans="1:21" x14ac:dyDescent="0.25">
      <c r="A543" s="8"/>
      <c r="B543" s="8">
        <v>20866</v>
      </c>
      <c r="C543" s="9" t="s">
        <v>134</v>
      </c>
      <c r="D543" s="8" t="s">
        <v>413</v>
      </c>
      <c r="E543" s="10" t="s">
        <v>0</v>
      </c>
      <c r="F543" s="11">
        <v>40603</v>
      </c>
      <c r="G543" s="12">
        <v>45597</v>
      </c>
      <c r="H543" s="13" t="s">
        <v>1</v>
      </c>
      <c r="I543" s="8" t="s">
        <v>2</v>
      </c>
      <c r="J543" s="14"/>
      <c r="K543" s="15" t="s">
        <v>415</v>
      </c>
      <c r="L543" t="s">
        <v>469</v>
      </c>
      <c r="M543" t="s">
        <v>15</v>
      </c>
      <c r="N543" t="str">
        <f t="shared" si="92"/>
        <v>https://api.bcb.gov.br/dados/serie/bcdata.sgs.20866/dados?formato=json</v>
      </c>
      <c r="O543">
        <v>6</v>
      </c>
      <c r="P543" t="s">
        <v>19</v>
      </c>
      <c r="Q543" t="s">
        <v>19</v>
      </c>
      <c r="R543" t="s">
        <v>884</v>
      </c>
      <c r="S543" t="s">
        <v>622</v>
      </c>
      <c r="T543" t="e">
        <f t="shared" si="95"/>
        <v>#VALUE!</v>
      </c>
      <c r="U543">
        <f t="shared" si="94"/>
        <v>20</v>
      </c>
    </row>
    <row r="544" spans="1:21" x14ac:dyDescent="0.25">
      <c r="A544" s="1"/>
      <c r="B544" s="1">
        <v>20867</v>
      </c>
      <c r="C544" s="2" t="s">
        <v>135</v>
      </c>
      <c r="D544" s="1" t="s">
        <v>413</v>
      </c>
      <c r="E544" s="3" t="s">
        <v>0</v>
      </c>
      <c r="F544" s="4">
        <v>40603</v>
      </c>
      <c r="G544" s="5">
        <v>45597</v>
      </c>
      <c r="H544" s="6" t="s">
        <v>1</v>
      </c>
      <c r="I544" s="1" t="s">
        <v>2</v>
      </c>
      <c r="J544" s="7"/>
      <c r="K544" s="15" t="s">
        <v>415</v>
      </c>
      <c r="L544" t="s">
        <v>469</v>
      </c>
      <c r="M544" t="s">
        <v>15</v>
      </c>
      <c r="N544" t="str">
        <f t="shared" si="92"/>
        <v>https://api.bcb.gov.br/dados/serie/bcdata.sgs.20867/dados?formato=json</v>
      </c>
      <c r="O544">
        <v>6</v>
      </c>
      <c r="P544" t="s">
        <v>19</v>
      </c>
      <c r="Q544" t="s">
        <v>19</v>
      </c>
      <c r="R544" t="s">
        <v>885</v>
      </c>
      <c r="S544" t="s">
        <v>622</v>
      </c>
      <c r="T544" t="e">
        <f t="shared" si="95"/>
        <v>#VALUE!</v>
      </c>
      <c r="U544">
        <f t="shared" si="94"/>
        <v>20</v>
      </c>
    </row>
    <row r="545" spans="1:21" x14ac:dyDescent="0.25">
      <c r="A545" s="8"/>
      <c r="B545" s="8">
        <v>20868</v>
      </c>
      <c r="C545" s="9" t="s">
        <v>136</v>
      </c>
      <c r="D545" s="8" t="s">
        <v>413</v>
      </c>
      <c r="E545" s="10" t="s">
        <v>0</v>
      </c>
      <c r="F545" s="11">
        <v>40603</v>
      </c>
      <c r="G545" s="12">
        <v>45597</v>
      </c>
      <c r="H545" s="13" t="s">
        <v>1</v>
      </c>
      <c r="I545" s="8" t="s">
        <v>2</v>
      </c>
      <c r="J545" s="14"/>
      <c r="K545" s="15" t="s">
        <v>415</v>
      </c>
      <c r="L545" t="s">
        <v>469</v>
      </c>
      <c r="M545" t="s">
        <v>15</v>
      </c>
      <c r="N545" t="str">
        <f t="shared" si="92"/>
        <v>https://api.bcb.gov.br/dados/serie/bcdata.sgs.20868/dados?formato=json</v>
      </c>
      <c r="O545">
        <v>6</v>
      </c>
      <c r="P545" t="s">
        <v>19</v>
      </c>
      <c r="Q545" t="s">
        <v>19</v>
      </c>
      <c r="R545" t="s">
        <v>886</v>
      </c>
      <c r="S545" t="s">
        <v>622</v>
      </c>
      <c r="T545" t="e">
        <f t="shared" si="95"/>
        <v>#VALUE!</v>
      </c>
      <c r="U545">
        <f t="shared" si="94"/>
        <v>20</v>
      </c>
    </row>
    <row r="546" spans="1:21" x14ac:dyDescent="0.25">
      <c r="A546" s="1"/>
      <c r="B546" s="1">
        <v>20869</v>
      </c>
      <c r="C546" s="2" t="s">
        <v>137</v>
      </c>
      <c r="D546" s="1" t="s">
        <v>413</v>
      </c>
      <c r="E546" s="3" t="s">
        <v>0</v>
      </c>
      <c r="F546" s="4">
        <v>40603</v>
      </c>
      <c r="G546" s="5">
        <v>45597</v>
      </c>
      <c r="H546" s="6" t="s">
        <v>1</v>
      </c>
      <c r="I546" s="1" t="s">
        <v>2</v>
      </c>
      <c r="J546" s="7"/>
      <c r="K546" s="15" t="s">
        <v>415</v>
      </c>
      <c r="L546" t="s">
        <v>469</v>
      </c>
      <c r="M546" t="s">
        <v>15</v>
      </c>
      <c r="N546" t="str">
        <f t="shared" si="92"/>
        <v>https://api.bcb.gov.br/dados/serie/bcdata.sgs.20869/dados?formato=json</v>
      </c>
      <c r="O546">
        <v>6</v>
      </c>
      <c r="P546" t="s">
        <v>19</v>
      </c>
      <c r="Q546" t="s">
        <v>19</v>
      </c>
      <c r="R546" t="s">
        <v>887</v>
      </c>
      <c r="S546" t="s">
        <v>622</v>
      </c>
      <c r="T546" t="e">
        <f t="shared" si="95"/>
        <v>#VALUE!</v>
      </c>
      <c r="U546">
        <f t="shared" si="94"/>
        <v>20</v>
      </c>
    </row>
    <row r="547" spans="1:21" x14ac:dyDescent="0.25">
      <c r="A547" s="8"/>
      <c r="B547" s="8">
        <v>20870</v>
      </c>
      <c r="C547" s="9" t="s">
        <v>138</v>
      </c>
      <c r="D547" s="8" t="s">
        <v>413</v>
      </c>
      <c r="E547" s="10" t="s">
        <v>0</v>
      </c>
      <c r="F547" s="11">
        <v>40603</v>
      </c>
      <c r="G547" s="12">
        <v>45597</v>
      </c>
      <c r="H547" s="13" t="s">
        <v>1</v>
      </c>
      <c r="I547" s="8" t="s">
        <v>2</v>
      </c>
      <c r="J547" s="14"/>
      <c r="K547" s="15" t="s">
        <v>415</v>
      </c>
      <c r="L547" t="s">
        <v>469</v>
      </c>
      <c r="M547" t="s">
        <v>15</v>
      </c>
      <c r="N547" t="str">
        <f t="shared" si="92"/>
        <v>https://api.bcb.gov.br/dados/serie/bcdata.sgs.20870/dados?formato=json</v>
      </c>
      <c r="O547">
        <v>6</v>
      </c>
      <c r="P547" t="s">
        <v>19</v>
      </c>
      <c r="Q547" t="s">
        <v>19</v>
      </c>
      <c r="R547" t="s">
        <v>888</v>
      </c>
      <c r="S547" t="s">
        <v>622</v>
      </c>
      <c r="T547" t="e">
        <f t="shared" si="95"/>
        <v>#VALUE!</v>
      </c>
      <c r="U547">
        <f t="shared" si="94"/>
        <v>20</v>
      </c>
    </row>
    <row r="548" spans="1:21" x14ac:dyDescent="0.25">
      <c r="A548" s="1"/>
      <c r="B548" s="1">
        <v>20871</v>
      </c>
      <c r="C548" s="2" t="s">
        <v>139</v>
      </c>
      <c r="D548" s="1" t="s">
        <v>413</v>
      </c>
      <c r="E548" s="3" t="s">
        <v>0</v>
      </c>
      <c r="F548" s="4">
        <v>40603</v>
      </c>
      <c r="G548" s="5">
        <v>45597</v>
      </c>
      <c r="H548" s="6" t="s">
        <v>1</v>
      </c>
      <c r="I548" s="1" t="s">
        <v>2</v>
      </c>
      <c r="J548" s="7"/>
      <c r="K548" s="15" t="s">
        <v>415</v>
      </c>
      <c r="L548" t="s">
        <v>469</v>
      </c>
      <c r="M548" t="s">
        <v>15</v>
      </c>
      <c r="N548" t="str">
        <f t="shared" si="92"/>
        <v>https://api.bcb.gov.br/dados/serie/bcdata.sgs.20871/dados?formato=json</v>
      </c>
      <c r="O548">
        <v>6</v>
      </c>
      <c r="P548" t="s">
        <v>19</v>
      </c>
      <c r="Q548" t="s">
        <v>19</v>
      </c>
      <c r="R548" t="s">
        <v>889</v>
      </c>
      <c r="S548" t="s">
        <v>622</v>
      </c>
      <c r="T548" t="e">
        <f t="shared" si="95"/>
        <v>#VALUE!</v>
      </c>
      <c r="U548">
        <f t="shared" si="94"/>
        <v>20</v>
      </c>
    </row>
    <row r="549" spans="1:21" x14ac:dyDescent="0.25">
      <c r="A549" s="8"/>
      <c r="B549" s="8">
        <v>20872</v>
      </c>
      <c r="C549" s="9" t="s">
        <v>141</v>
      </c>
      <c r="D549" s="8" t="s">
        <v>413</v>
      </c>
      <c r="E549" s="10" t="s">
        <v>0</v>
      </c>
      <c r="F549" s="11">
        <v>40603</v>
      </c>
      <c r="G549" s="12">
        <v>45597</v>
      </c>
      <c r="H549" s="13" t="s">
        <v>1</v>
      </c>
      <c r="I549" s="8" t="s">
        <v>2</v>
      </c>
      <c r="J549" s="14"/>
      <c r="K549" s="15" t="s">
        <v>415</v>
      </c>
      <c r="L549" t="s">
        <v>469</v>
      </c>
      <c r="M549" t="s">
        <v>15</v>
      </c>
      <c r="N549" t="str">
        <f t="shared" si="92"/>
        <v>https://api.bcb.gov.br/dados/serie/bcdata.sgs.20872/dados?formato=json</v>
      </c>
      <c r="O549">
        <v>6</v>
      </c>
      <c r="P549" t="s">
        <v>19</v>
      </c>
      <c r="Q549" t="s">
        <v>19</v>
      </c>
      <c r="R549" t="s">
        <v>891</v>
      </c>
      <c r="S549" t="s">
        <v>622</v>
      </c>
      <c r="T549" t="e">
        <f t="shared" si="95"/>
        <v>#VALUE!</v>
      </c>
      <c r="U549">
        <f t="shared" si="94"/>
        <v>20</v>
      </c>
    </row>
    <row r="550" spans="1:21" x14ac:dyDescent="0.25">
      <c r="A550" s="1"/>
      <c r="B550" s="1">
        <v>20873</v>
      </c>
      <c r="C550" s="2" t="s">
        <v>144</v>
      </c>
      <c r="D550" s="1" t="s">
        <v>413</v>
      </c>
      <c r="E550" s="3" t="s">
        <v>0</v>
      </c>
      <c r="F550" s="4">
        <v>40603</v>
      </c>
      <c r="G550" s="5">
        <v>45597</v>
      </c>
      <c r="H550" s="6" t="s">
        <v>1</v>
      </c>
      <c r="I550" s="1" t="s">
        <v>2</v>
      </c>
      <c r="J550" s="7"/>
      <c r="K550" s="15" t="s">
        <v>415</v>
      </c>
      <c r="L550" t="s">
        <v>469</v>
      </c>
      <c r="M550" t="s">
        <v>15</v>
      </c>
      <c r="N550" t="str">
        <f t="shared" si="92"/>
        <v>https://api.bcb.gov.br/dados/serie/bcdata.sgs.20873/dados?formato=json</v>
      </c>
      <c r="O550">
        <v>6</v>
      </c>
      <c r="P550" t="s">
        <v>19</v>
      </c>
      <c r="Q550" t="s">
        <v>19</v>
      </c>
      <c r="R550" t="s">
        <v>894</v>
      </c>
      <c r="S550" t="s">
        <v>622</v>
      </c>
      <c r="T550" t="e">
        <f t="shared" si="95"/>
        <v>#VALUE!</v>
      </c>
      <c r="U550">
        <f t="shared" si="94"/>
        <v>20</v>
      </c>
    </row>
    <row r="551" spans="1:21" x14ac:dyDescent="0.25">
      <c r="A551" s="8"/>
      <c r="B551" s="8">
        <v>20874</v>
      </c>
      <c r="C551" s="9" t="s">
        <v>145</v>
      </c>
      <c r="D551" s="8" t="s">
        <v>413</v>
      </c>
      <c r="E551" s="10" t="s">
        <v>0</v>
      </c>
      <c r="F551" s="11">
        <v>40603</v>
      </c>
      <c r="G551" s="12">
        <v>45597</v>
      </c>
      <c r="H551" s="13" t="s">
        <v>1</v>
      </c>
      <c r="I551" s="8" t="s">
        <v>2</v>
      </c>
      <c r="J551" s="14"/>
      <c r="K551" s="15" t="s">
        <v>415</v>
      </c>
      <c r="L551" t="s">
        <v>469</v>
      </c>
      <c r="M551" t="s">
        <v>15</v>
      </c>
      <c r="N551" t="str">
        <f t="shared" si="92"/>
        <v>https://api.bcb.gov.br/dados/serie/bcdata.sgs.20874/dados?formato=json</v>
      </c>
      <c r="O551">
        <v>6</v>
      </c>
      <c r="P551" t="s">
        <v>19</v>
      </c>
      <c r="Q551" t="s">
        <v>19</v>
      </c>
      <c r="R551" t="s">
        <v>895</v>
      </c>
      <c r="S551" t="s">
        <v>622</v>
      </c>
      <c r="T551" t="e">
        <f t="shared" si="95"/>
        <v>#VALUE!</v>
      </c>
      <c r="U551">
        <f t="shared" si="94"/>
        <v>20</v>
      </c>
    </row>
    <row r="552" spans="1:21" x14ac:dyDescent="0.25">
      <c r="A552" s="1"/>
      <c r="B552" s="1">
        <v>20875</v>
      </c>
      <c r="C552" s="2" t="s">
        <v>146</v>
      </c>
      <c r="D552" s="1" t="s">
        <v>413</v>
      </c>
      <c r="E552" s="3" t="s">
        <v>0</v>
      </c>
      <c r="F552" s="4">
        <v>40603</v>
      </c>
      <c r="G552" s="5">
        <v>45597</v>
      </c>
      <c r="H552" s="6" t="s">
        <v>1</v>
      </c>
      <c r="I552" s="1" t="s">
        <v>2</v>
      </c>
      <c r="J552" s="7"/>
      <c r="K552" s="15" t="s">
        <v>415</v>
      </c>
      <c r="L552" t="s">
        <v>469</v>
      </c>
      <c r="M552" t="s">
        <v>15</v>
      </c>
      <c r="N552" t="str">
        <f t="shared" si="92"/>
        <v>https://api.bcb.gov.br/dados/serie/bcdata.sgs.20875/dados?formato=json</v>
      </c>
      <c r="O552">
        <v>6</v>
      </c>
      <c r="P552" t="s">
        <v>19</v>
      </c>
      <c r="Q552" t="s">
        <v>19</v>
      </c>
      <c r="R552" t="s">
        <v>896</v>
      </c>
      <c r="S552" t="s">
        <v>622</v>
      </c>
      <c r="T552" t="e">
        <f t="shared" si="95"/>
        <v>#VALUE!</v>
      </c>
      <c r="U552">
        <f t="shared" si="94"/>
        <v>20</v>
      </c>
    </row>
    <row r="553" spans="1:21" x14ac:dyDescent="0.25">
      <c r="A553" s="8"/>
      <c r="B553" s="8">
        <v>20876</v>
      </c>
      <c r="C553" s="9" t="s">
        <v>147</v>
      </c>
      <c r="D553" s="8" t="s">
        <v>413</v>
      </c>
      <c r="E553" s="10" t="s">
        <v>0</v>
      </c>
      <c r="F553" s="11">
        <v>40603</v>
      </c>
      <c r="G553" s="12">
        <v>45597</v>
      </c>
      <c r="H553" s="13" t="s">
        <v>1</v>
      </c>
      <c r="I553" s="8" t="s">
        <v>2</v>
      </c>
      <c r="J553" s="14"/>
      <c r="K553" s="15" t="s">
        <v>415</v>
      </c>
      <c r="L553" t="s">
        <v>469</v>
      </c>
      <c r="M553" t="s">
        <v>15</v>
      </c>
      <c r="N553" t="str">
        <f t="shared" si="92"/>
        <v>https://api.bcb.gov.br/dados/serie/bcdata.sgs.20876/dados?formato=json</v>
      </c>
      <c r="O553">
        <v>6</v>
      </c>
      <c r="P553" t="s">
        <v>19</v>
      </c>
      <c r="Q553" t="s">
        <v>19</v>
      </c>
      <c r="R553" t="s">
        <v>897</v>
      </c>
      <c r="S553" t="s">
        <v>622</v>
      </c>
      <c r="T553" t="e">
        <f t="shared" ref="T553:T555" si="96">RIGHT(S553,LEN(S553)-U553)</f>
        <v>#VALUE!</v>
      </c>
      <c r="U553">
        <f t="shared" si="94"/>
        <v>20</v>
      </c>
    </row>
    <row r="554" spans="1:21" x14ac:dyDescent="0.25">
      <c r="A554" s="1"/>
      <c r="B554" s="1">
        <v>20877</v>
      </c>
      <c r="C554" s="2" t="s">
        <v>148</v>
      </c>
      <c r="D554" s="1" t="s">
        <v>413</v>
      </c>
      <c r="E554" s="3" t="s">
        <v>0</v>
      </c>
      <c r="F554" s="4">
        <v>40603</v>
      </c>
      <c r="G554" s="5">
        <v>45597</v>
      </c>
      <c r="H554" s="6" t="s">
        <v>1</v>
      </c>
      <c r="I554" s="1" t="s">
        <v>2</v>
      </c>
      <c r="J554" s="7"/>
      <c r="K554" s="15" t="s">
        <v>415</v>
      </c>
      <c r="L554" t="s">
        <v>469</v>
      </c>
      <c r="M554" t="s">
        <v>15</v>
      </c>
      <c r="N554" t="str">
        <f t="shared" si="92"/>
        <v>https://api.bcb.gov.br/dados/serie/bcdata.sgs.20877/dados?formato=json</v>
      </c>
      <c r="O554">
        <v>6</v>
      </c>
      <c r="P554" t="s">
        <v>19</v>
      </c>
      <c r="Q554" t="s">
        <v>19</v>
      </c>
      <c r="R554" t="s">
        <v>898</v>
      </c>
      <c r="S554" t="s">
        <v>622</v>
      </c>
      <c r="T554" t="e">
        <f t="shared" si="96"/>
        <v>#VALUE!</v>
      </c>
      <c r="U554">
        <f t="shared" si="94"/>
        <v>20</v>
      </c>
    </row>
    <row r="555" spans="1:21" x14ac:dyDescent="0.25">
      <c r="A555" s="8"/>
      <c r="B555" s="8">
        <v>20878</v>
      </c>
      <c r="C555" s="9" t="s">
        <v>120</v>
      </c>
      <c r="D555" s="8" t="s">
        <v>413</v>
      </c>
      <c r="E555" s="10" t="s">
        <v>0</v>
      </c>
      <c r="F555" s="11">
        <v>40603</v>
      </c>
      <c r="G555" s="12">
        <v>45597</v>
      </c>
      <c r="H555" s="13" t="s">
        <v>1</v>
      </c>
      <c r="I555" s="8" t="s">
        <v>2</v>
      </c>
      <c r="J555" s="14"/>
      <c r="K555" s="15" t="s">
        <v>415</v>
      </c>
      <c r="L555" t="s">
        <v>469</v>
      </c>
      <c r="M555" t="s">
        <v>15</v>
      </c>
      <c r="N555" t="str">
        <f t="shared" si="92"/>
        <v>https://api.bcb.gov.br/dados/serie/bcdata.sgs.20878/dados?formato=json</v>
      </c>
      <c r="O555">
        <v>6</v>
      </c>
      <c r="P555" t="s">
        <v>19</v>
      </c>
      <c r="Q555" t="s">
        <v>19</v>
      </c>
      <c r="R555" t="s">
        <v>118</v>
      </c>
      <c r="S555" t="s">
        <v>621</v>
      </c>
      <c r="T555" t="e">
        <f t="shared" si="96"/>
        <v>#VALUE!</v>
      </c>
      <c r="U555">
        <f t="shared" ref="U555:U571" si="97">LEN("Pessoas físicas - ")</f>
        <v>18</v>
      </c>
    </row>
    <row r="556" spans="1:21" x14ac:dyDescent="0.25">
      <c r="A556" s="1"/>
      <c r="B556" s="1">
        <v>20879</v>
      </c>
      <c r="C556" s="2" t="s">
        <v>152</v>
      </c>
      <c r="D556" s="1" t="s">
        <v>413</v>
      </c>
      <c r="E556" s="3" t="s">
        <v>0</v>
      </c>
      <c r="F556" s="4">
        <v>40603</v>
      </c>
      <c r="G556" s="5">
        <v>45597</v>
      </c>
      <c r="H556" s="6" t="s">
        <v>1</v>
      </c>
      <c r="I556" s="1" t="s">
        <v>2</v>
      </c>
      <c r="J556" s="7"/>
      <c r="K556" s="15" t="s">
        <v>415</v>
      </c>
      <c r="L556" t="s">
        <v>469</v>
      </c>
      <c r="M556" t="s">
        <v>15</v>
      </c>
      <c r="N556" t="str">
        <f t="shared" si="92"/>
        <v>https://api.bcb.gov.br/dados/serie/bcdata.sgs.20879/dados?formato=json</v>
      </c>
      <c r="O556">
        <v>6</v>
      </c>
      <c r="P556" t="s">
        <v>19</v>
      </c>
      <c r="Q556" t="s">
        <v>19</v>
      </c>
      <c r="R556" t="s">
        <v>899</v>
      </c>
      <c r="S556" t="s">
        <v>621</v>
      </c>
      <c r="T556" t="e">
        <f t="shared" ref="T556:T571" si="98">RIGHT(S556,LEN(S556)-U556)</f>
        <v>#VALUE!</v>
      </c>
      <c r="U556">
        <f t="shared" si="97"/>
        <v>18</v>
      </c>
    </row>
    <row r="557" spans="1:21" x14ac:dyDescent="0.25">
      <c r="A557" s="8"/>
      <c r="B557" s="8">
        <v>20880</v>
      </c>
      <c r="C557" s="9" t="s">
        <v>153</v>
      </c>
      <c r="D557" s="8" t="s">
        <v>413</v>
      </c>
      <c r="E557" s="10" t="s">
        <v>0</v>
      </c>
      <c r="F557" s="11">
        <v>40603</v>
      </c>
      <c r="G557" s="12">
        <v>45597</v>
      </c>
      <c r="H557" s="13" t="s">
        <v>1</v>
      </c>
      <c r="I557" s="8" t="s">
        <v>2</v>
      </c>
      <c r="J557" s="14"/>
      <c r="K557" s="15" t="s">
        <v>415</v>
      </c>
      <c r="L557" t="s">
        <v>469</v>
      </c>
      <c r="M557" t="s">
        <v>15</v>
      </c>
      <c r="N557" t="str">
        <f t="shared" si="92"/>
        <v>https://api.bcb.gov.br/dados/serie/bcdata.sgs.20880/dados?formato=json</v>
      </c>
      <c r="O557">
        <v>6</v>
      </c>
      <c r="P557" t="s">
        <v>19</v>
      </c>
      <c r="Q557" t="s">
        <v>19</v>
      </c>
      <c r="R557" t="s">
        <v>900</v>
      </c>
      <c r="S557" t="s">
        <v>621</v>
      </c>
      <c r="T557" t="e">
        <f t="shared" si="98"/>
        <v>#VALUE!</v>
      </c>
      <c r="U557">
        <f t="shared" si="97"/>
        <v>18</v>
      </c>
    </row>
    <row r="558" spans="1:21" x14ac:dyDescent="0.25">
      <c r="A558" s="1"/>
      <c r="B558" s="1">
        <v>20881</v>
      </c>
      <c r="C558" s="2" t="s">
        <v>154</v>
      </c>
      <c r="D558" s="1" t="s">
        <v>413</v>
      </c>
      <c r="E558" s="3" t="s">
        <v>0</v>
      </c>
      <c r="F558" s="4">
        <v>40603</v>
      </c>
      <c r="G558" s="5">
        <v>45597</v>
      </c>
      <c r="H558" s="6" t="s">
        <v>1</v>
      </c>
      <c r="I558" s="1" t="s">
        <v>2</v>
      </c>
      <c r="J558" s="7"/>
      <c r="K558" s="15" t="s">
        <v>415</v>
      </c>
      <c r="L558" t="s">
        <v>469</v>
      </c>
      <c r="M558" t="s">
        <v>15</v>
      </c>
      <c r="N558" t="str">
        <f t="shared" si="92"/>
        <v>https://api.bcb.gov.br/dados/serie/bcdata.sgs.20881/dados?formato=json</v>
      </c>
      <c r="O558">
        <v>6</v>
      </c>
      <c r="P558" t="s">
        <v>19</v>
      </c>
      <c r="Q558" t="s">
        <v>19</v>
      </c>
      <c r="R558" t="s">
        <v>901</v>
      </c>
      <c r="S558" t="s">
        <v>621</v>
      </c>
      <c r="T558" t="e">
        <f t="shared" si="98"/>
        <v>#VALUE!</v>
      </c>
      <c r="U558">
        <f t="shared" si="97"/>
        <v>18</v>
      </c>
    </row>
    <row r="559" spans="1:21" x14ac:dyDescent="0.25">
      <c r="A559" s="8"/>
      <c r="B559" s="8">
        <v>20882</v>
      </c>
      <c r="C559" s="9" t="s">
        <v>155</v>
      </c>
      <c r="D559" s="8" t="s">
        <v>413</v>
      </c>
      <c r="E559" s="10" t="s">
        <v>0</v>
      </c>
      <c r="F559" s="11">
        <v>40603</v>
      </c>
      <c r="G559" s="12">
        <v>45597</v>
      </c>
      <c r="H559" s="13" t="s">
        <v>1</v>
      </c>
      <c r="I559" s="8" t="s">
        <v>2</v>
      </c>
      <c r="J559" s="14"/>
      <c r="K559" s="15" t="s">
        <v>415</v>
      </c>
      <c r="L559" t="s">
        <v>469</v>
      </c>
      <c r="M559" t="s">
        <v>15</v>
      </c>
      <c r="N559" t="str">
        <f t="shared" si="92"/>
        <v>https://api.bcb.gov.br/dados/serie/bcdata.sgs.20882/dados?formato=json</v>
      </c>
      <c r="O559">
        <v>6</v>
      </c>
      <c r="P559" t="s">
        <v>19</v>
      </c>
      <c r="Q559" t="s">
        <v>19</v>
      </c>
      <c r="R559" t="s">
        <v>902</v>
      </c>
      <c r="S559" t="s">
        <v>621</v>
      </c>
      <c r="T559" t="e">
        <f t="shared" si="98"/>
        <v>#VALUE!</v>
      </c>
      <c r="U559">
        <f t="shared" si="97"/>
        <v>18</v>
      </c>
    </row>
    <row r="560" spans="1:21" x14ac:dyDescent="0.25">
      <c r="A560" s="1"/>
      <c r="B560" s="1">
        <v>20883</v>
      </c>
      <c r="C560" s="2" t="s">
        <v>156</v>
      </c>
      <c r="D560" s="1" t="s">
        <v>413</v>
      </c>
      <c r="E560" s="3" t="s">
        <v>0</v>
      </c>
      <c r="F560" s="4">
        <v>40603</v>
      </c>
      <c r="G560" s="5">
        <v>45597</v>
      </c>
      <c r="H560" s="6" t="s">
        <v>1</v>
      </c>
      <c r="I560" s="1" t="s">
        <v>2</v>
      </c>
      <c r="J560" s="7"/>
      <c r="K560" s="15" t="s">
        <v>415</v>
      </c>
      <c r="L560" t="s">
        <v>469</v>
      </c>
      <c r="M560" t="s">
        <v>15</v>
      </c>
      <c r="N560" t="str">
        <f t="shared" si="92"/>
        <v>https://api.bcb.gov.br/dados/serie/bcdata.sgs.20883/dados?formato=json</v>
      </c>
      <c r="O560">
        <v>6</v>
      </c>
      <c r="P560" t="s">
        <v>19</v>
      </c>
      <c r="Q560" t="s">
        <v>19</v>
      </c>
      <c r="R560" t="s">
        <v>903</v>
      </c>
      <c r="S560" t="s">
        <v>621</v>
      </c>
      <c r="T560" t="e">
        <f t="shared" si="98"/>
        <v>#VALUE!</v>
      </c>
      <c r="U560">
        <f t="shared" si="97"/>
        <v>18</v>
      </c>
    </row>
    <row r="561" spans="1:21" x14ac:dyDescent="0.25">
      <c r="A561" s="8"/>
      <c r="B561" s="8">
        <v>20884</v>
      </c>
      <c r="C561" s="9" t="s">
        <v>157</v>
      </c>
      <c r="D561" s="8" t="s">
        <v>413</v>
      </c>
      <c r="E561" s="10" t="s">
        <v>0</v>
      </c>
      <c r="F561" s="11">
        <v>40603</v>
      </c>
      <c r="G561" s="12">
        <v>45597</v>
      </c>
      <c r="H561" s="13" t="s">
        <v>1</v>
      </c>
      <c r="I561" s="8" t="s">
        <v>2</v>
      </c>
      <c r="J561" s="14"/>
      <c r="K561" s="15" t="s">
        <v>415</v>
      </c>
      <c r="L561" t="s">
        <v>469</v>
      </c>
      <c r="M561" t="s">
        <v>15</v>
      </c>
      <c r="N561" t="str">
        <f t="shared" si="92"/>
        <v>https://api.bcb.gov.br/dados/serie/bcdata.sgs.20884/dados?formato=json</v>
      </c>
      <c r="O561">
        <v>6</v>
      </c>
      <c r="P561" t="s">
        <v>19</v>
      </c>
      <c r="Q561" t="s">
        <v>19</v>
      </c>
      <c r="R561" t="s">
        <v>904</v>
      </c>
      <c r="S561" t="s">
        <v>621</v>
      </c>
      <c r="T561" t="e">
        <f t="shared" si="98"/>
        <v>#VALUE!</v>
      </c>
      <c r="U561">
        <f t="shared" si="97"/>
        <v>18</v>
      </c>
    </row>
    <row r="562" spans="1:21" x14ac:dyDescent="0.25">
      <c r="A562" s="1"/>
      <c r="B562" s="1">
        <v>20885</v>
      </c>
      <c r="C562" s="2" t="s">
        <v>158</v>
      </c>
      <c r="D562" s="1" t="s">
        <v>413</v>
      </c>
      <c r="E562" s="3" t="s">
        <v>0</v>
      </c>
      <c r="F562" s="4">
        <v>40603</v>
      </c>
      <c r="G562" s="5">
        <v>45597</v>
      </c>
      <c r="H562" s="6" t="s">
        <v>1</v>
      </c>
      <c r="I562" s="1" t="s">
        <v>2</v>
      </c>
      <c r="J562" s="7"/>
      <c r="K562" s="15" t="s">
        <v>415</v>
      </c>
      <c r="L562" t="s">
        <v>469</v>
      </c>
      <c r="M562" t="s">
        <v>15</v>
      </c>
      <c r="N562" t="str">
        <f t="shared" si="92"/>
        <v>https://api.bcb.gov.br/dados/serie/bcdata.sgs.20885/dados?formato=json</v>
      </c>
      <c r="O562">
        <v>6</v>
      </c>
      <c r="P562" t="s">
        <v>19</v>
      </c>
      <c r="Q562" t="s">
        <v>19</v>
      </c>
      <c r="R562" t="s">
        <v>905</v>
      </c>
      <c r="S562" t="s">
        <v>621</v>
      </c>
      <c r="T562" t="e">
        <f t="shared" si="98"/>
        <v>#VALUE!</v>
      </c>
      <c r="U562">
        <f t="shared" si="97"/>
        <v>18</v>
      </c>
    </row>
    <row r="563" spans="1:21" x14ac:dyDescent="0.25">
      <c r="A563" s="8"/>
      <c r="B563" s="8">
        <v>20886</v>
      </c>
      <c r="C563" s="9" t="s">
        <v>159</v>
      </c>
      <c r="D563" s="8" t="s">
        <v>413</v>
      </c>
      <c r="E563" s="10" t="s">
        <v>0</v>
      </c>
      <c r="F563" s="11">
        <v>40603</v>
      </c>
      <c r="G563" s="12">
        <v>45597</v>
      </c>
      <c r="H563" s="13" t="s">
        <v>1</v>
      </c>
      <c r="I563" s="8" t="s">
        <v>2</v>
      </c>
      <c r="J563" s="14"/>
      <c r="K563" s="15" t="s">
        <v>415</v>
      </c>
      <c r="L563" t="s">
        <v>469</v>
      </c>
      <c r="M563" t="s">
        <v>15</v>
      </c>
      <c r="N563" t="str">
        <f t="shared" si="92"/>
        <v>https://api.bcb.gov.br/dados/serie/bcdata.sgs.20886/dados?formato=json</v>
      </c>
      <c r="O563">
        <v>6</v>
      </c>
      <c r="P563" t="s">
        <v>19</v>
      </c>
      <c r="Q563" t="s">
        <v>19</v>
      </c>
      <c r="R563" t="s">
        <v>882</v>
      </c>
      <c r="S563" t="s">
        <v>621</v>
      </c>
      <c r="T563" t="e">
        <f t="shared" si="98"/>
        <v>#VALUE!</v>
      </c>
      <c r="U563">
        <f t="shared" si="97"/>
        <v>18</v>
      </c>
    </row>
    <row r="564" spans="1:21" x14ac:dyDescent="0.25">
      <c r="A564" s="1"/>
      <c r="B564" s="1">
        <v>20887</v>
      </c>
      <c r="C564" s="2" t="s">
        <v>160</v>
      </c>
      <c r="D564" s="1" t="s">
        <v>413</v>
      </c>
      <c r="E564" s="3" t="s">
        <v>0</v>
      </c>
      <c r="F564" s="4">
        <v>40603</v>
      </c>
      <c r="G564" s="5">
        <v>45597</v>
      </c>
      <c r="H564" s="6" t="s">
        <v>1</v>
      </c>
      <c r="I564" s="1" t="s">
        <v>2</v>
      </c>
      <c r="J564" s="7"/>
      <c r="K564" s="15" t="s">
        <v>415</v>
      </c>
      <c r="L564" t="s">
        <v>469</v>
      </c>
      <c r="M564" t="s">
        <v>15</v>
      </c>
      <c r="N564" t="str">
        <f t="shared" si="92"/>
        <v>https://api.bcb.gov.br/dados/serie/bcdata.sgs.20887/dados?formato=json</v>
      </c>
      <c r="O564">
        <v>6</v>
      </c>
      <c r="P564" t="s">
        <v>19</v>
      </c>
      <c r="Q564" t="s">
        <v>19</v>
      </c>
      <c r="R564" t="s">
        <v>883</v>
      </c>
      <c r="S564" t="s">
        <v>621</v>
      </c>
      <c r="T564" t="e">
        <f t="shared" si="98"/>
        <v>#VALUE!</v>
      </c>
      <c r="U564">
        <f t="shared" si="97"/>
        <v>18</v>
      </c>
    </row>
    <row r="565" spans="1:21" x14ac:dyDescent="0.25">
      <c r="A565" s="8"/>
      <c r="B565" s="8">
        <v>20888</v>
      </c>
      <c r="C565" s="9" t="s">
        <v>161</v>
      </c>
      <c r="D565" s="8" t="s">
        <v>413</v>
      </c>
      <c r="E565" s="10" t="s">
        <v>0</v>
      </c>
      <c r="F565" s="11">
        <v>40603</v>
      </c>
      <c r="G565" s="12">
        <v>45597</v>
      </c>
      <c r="H565" s="13" t="s">
        <v>1</v>
      </c>
      <c r="I565" s="8" t="s">
        <v>2</v>
      </c>
      <c r="J565" s="14"/>
      <c r="K565" s="15" t="s">
        <v>415</v>
      </c>
      <c r="L565" t="s">
        <v>469</v>
      </c>
      <c r="M565" t="s">
        <v>15</v>
      </c>
      <c r="N565" t="str">
        <f t="shared" si="92"/>
        <v>https://api.bcb.gov.br/dados/serie/bcdata.sgs.20888/dados?formato=json</v>
      </c>
      <c r="O565">
        <v>6</v>
      </c>
      <c r="P565" t="s">
        <v>19</v>
      </c>
      <c r="Q565" t="s">
        <v>19</v>
      </c>
      <c r="R565" t="s">
        <v>884</v>
      </c>
      <c r="S565" t="s">
        <v>621</v>
      </c>
      <c r="T565" t="e">
        <f t="shared" si="98"/>
        <v>#VALUE!</v>
      </c>
      <c r="U565">
        <f t="shared" si="97"/>
        <v>18</v>
      </c>
    </row>
    <row r="566" spans="1:21" x14ac:dyDescent="0.25">
      <c r="A566" s="1"/>
      <c r="B566" s="1">
        <v>20889</v>
      </c>
      <c r="C566" s="2" t="s">
        <v>162</v>
      </c>
      <c r="D566" s="1" t="s">
        <v>413</v>
      </c>
      <c r="E566" s="3" t="s">
        <v>0</v>
      </c>
      <c r="F566" s="4">
        <v>40603</v>
      </c>
      <c r="G566" s="5">
        <v>45597</v>
      </c>
      <c r="H566" s="6" t="s">
        <v>1</v>
      </c>
      <c r="I566" s="1" t="s">
        <v>2</v>
      </c>
      <c r="J566" s="7"/>
      <c r="K566" s="15" t="s">
        <v>415</v>
      </c>
      <c r="L566" t="s">
        <v>469</v>
      </c>
      <c r="M566" t="s">
        <v>15</v>
      </c>
      <c r="N566" t="str">
        <f t="shared" si="92"/>
        <v>https://api.bcb.gov.br/dados/serie/bcdata.sgs.20889/dados?formato=json</v>
      </c>
      <c r="O566">
        <v>6</v>
      </c>
      <c r="P566" t="s">
        <v>19</v>
      </c>
      <c r="Q566" t="s">
        <v>19</v>
      </c>
      <c r="R566" t="s">
        <v>885</v>
      </c>
      <c r="S566" t="s">
        <v>621</v>
      </c>
      <c r="T566" t="e">
        <f t="shared" si="98"/>
        <v>#VALUE!</v>
      </c>
      <c r="U566">
        <f t="shared" si="97"/>
        <v>18</v>
      </c>
    </row>
    <row r="567" spans="1:21" x14ac:dyDescent="0.25">
      <c r="A567" s="8"/>
      <c r="B567" s="8">
        <v>20890</v>
      </c>
      <c r="C567" s="9" t="s">
        <v>163</v>
      </c>
      <c r="D567" s="8" t="s">
        <v>413</v>
      </c>
      <c r="E567" s="10" t="s">
        <v>0</v>
      </c>
      <c r="F567" s="11">
        <v>40603</v>
      </c>
      <c r="G567" s="12">
        <v>45597</v>
      </c>
      <c r="H567" s="13" t="s">
        <v>1</v>
      </c>
      <c r="I567" s="8" t="s">
        <v>2</v>
      </c>
      <c r="J567" s="14"/>
      <c r="K567" s="15" t="s">
        <v>415</v>
      </c>
      <c r="L567" t="s">
        <v>469</v>
      </c>
      <c r="M567" t="s">
        <v>15</v>
      </c>
      <c r="N567" t="str">
        <f t="shared" si="92"/>
        <v>https://api.bcb.gov.br/dados/serie/bcdata.sgs.20890/dados?formato=json</v>
      </c>
      <c r="O567">
        <v>6</v>
      </c>
      <c r="P567" t="s">
        <v>19</v>
      </c>
      <c r="Q567" t="s">
        <v>19</v>
      </c>
      <c r="R567" t="s">
        <v>886</v>
      </c>
      <c r="S567" t="s">
        <v>621</v>
      </c>
      <c r="T567" t="e">
        <f t="shared" si="98"/>
        <v>#VALUE!</v>
      </c>
      <c r="U567">
        <f t="shared" si="97"/>
        <v>18</v>
      </c>
    </row>
    <row r="568" spans="1:21" x14ac:dyDescent="0.25">
      <c r="A568" s="1"/>
      <c r="B568" s="1">
        <v>20891</v>
      </c>
      <c r="C568" s="2" t="s">
        <v>164</v>
      </c>
      <c r="D568" s="1" t="s">
        <v>413</v>
      </c>
      <c r="E568" s="3" t="s">
        <v>0</v>
      </c>
      <c r="F568" s="4">
        <v>40603</v>
      </c>
      <c r="G568" s="5">
        <v>45597</v>
      </c>
      <c r="H568" s="6" t="s">
        <v>1</v>
      </c>
      <c r="I568" s="1" t="s">
        <v>2</v>
      </c>
      <c r="J568" s="7"/>
      <c r="K568" s="15" t="s">
        <v>415</v>
      </c>
      <c r="L568" t="s">
        <v>469</v>
      </c>
      <c r="M568" t="s">
        <v>15</v>
      </c>
      <c r="N568" t="str">
        <f t="shared" si="92"/>
        <v>https://api.bcb.gov.br/dados/serie/bcdata.sgs.20891/dados?formato=json</v>
      </c>
      <c r="O568">
        <v>6</v>
      </c>
      <c r="P568" t="s">
        <v>19</v>
      </c>
      <c r="Q568" t="s">
        <v>19</v>
      </c>
      <c r="R568" t="s">
        <v>887</v>
      </c>
      <c r="S568" t="s">
        <v>621</v>
      </c>
      <c r="T568" t="e">
        <f t="shared" si="98"/>
        <v>#VALUE!</v>
      </c>
      <c r="U568">
        <f t="shared" si="97"/>
        <v>18</v>
      </c>
    </row>
    <row r="569" spans="1:21" x14ac:dyDescent="0.25">
      <c r="A569" s="8"/>
      <c r="B569" s="8">
        <v>20892</v>
      </c>
      <c r="C569" s="9" t="s">
        <v>166</v>
      </c>
      <c r="D569" s="8" t="s">
        <v>413</v>
      </c>
      <c r="E569" s="10" t="s">
        <v>0</v>
      </c>
      <c r="F569" s="11">
        <v>40603</v>
      </c>
      <c r="G569" s="12">
        <v>45597</v>
      </c>
      <c r="H569" s="13" t="s">
        <v>1</v>
      </c>
      <c r="I569" s="8" t="s">
        <v>2</v>
      </c>
      <c r="J569" s="14"/>
      <c r="K569" s="15" t="s">
        <v>415</v>
      </c>
      <c r="L569" t="s">
        <v>469</v>
      </c>
      <c r="M569" t="s">
        <v>15</v>
      </c>
      <c r="N569" t="str">
        <f t="shared" si="92"/>
        <v>https://api.bcb.gov.br/dados/serie/bcdata.sgs.20892/dados?formato=json</v>
      </c>
      <c r="O569">
        <v>6</v>
      </c>
      <c r="P569" t="s">
        <v>19</v>
      </c>
      <c r="Q569" t="s">
        <v>19</v>
      </c>
      <c r="R569" t="s">
        <v>891</v>
      </c>
      <c r="S569" t="s">
        <v>621</v>
      </c>
      <c r="T569" t="e">
        <f t="shared" si="98"/>
        <v>#VALUE!</v>
      </c>
      <c r="U569">
        <f t="shared" si="97"/>
        <v>18</v>
      </c>
    </row>
    <row r="570" spans="1:21" x14ac:dyDescent="0.25">
      <c r="A570" s="1"/>
      <c r="B570" s="1">
        <v>20893</v>
      </c>
      <c r="C570" s="2" t="s">
        <v>169</v>
      </c>
      <c r="D570" s="1" t="s">
        <v>413</v>
      </c>
      <c r="E570" s="3" t="s">
        <v>0</v>
      </c>
      <c r="F570" s="4">
        <v>40603</v>
      </c>
      <c r="G570" s="5">
        <v>45597</v>
      </c>
      <c r="H570" s="6" t="s">
        <v>1</v>
      </c>
      <c r="I570" s="1" t="s">
        <v>2</v>
      </c>
      <c r="J570" s="7"/>
      <c r="K570" s="15" t="s">
        <v>415</v>
      </c>
      <c r="L570" t="s">
        <v>469</v>
      </c>
      <c r="M570" t="s">
        <v>15</v>
      </c>
      <c r="N570" t="str">
        <f t="shared" si="92"/>
        <v>https://api.bcb.gov.br/dados/serie/bcdata.sgs.20893/dados?formato=json</v>
      </c>
      <c r="O570">
        <v>6</v>
      </c>
      <c r="P570" t="s">
        <v>19</v>
      </c>
      <c r="Q570" t="s">
        <v>19</v>
      </c>
      <c r="R570" t="s">
        <v>874</v>
      </c>
      <c r="S570" t="s">
        <v>621</v>
      </c>
      <c r="T570" t="e">
        <f t="shared" si="98"/>
        <v>#VALUE!</v>
      </c>
      <c r="U570">
        <f t="shared" si="97"/>
        <v>18</v>
      </c>
    </row>
    <row r="571" spans="1:21" x14ac:dyDescent="0.25">
      <c r="A571" s="8"/>
      <c r="B571" s="8">
        <v>20894</v>
      </c>
      <c r="C571" s="9" t="s">
        <v>170</v>
      </c>
      <c r="D571" s="8" t="s">
        <v>413</v>
      </c>
      <c r="E571" s="10" t="s">
        <v>0</v>
      </c>
      <c r="F571" s="11">
        <v>40603</v>
      </c>
      <c r="G571" s="12">
        <v>45597</v>
      </c>
      <c r="H571" s="13" t="s">
        <v>1</v>
      </c>
      <c r="I571" s="8" t="s">
        <v>2</v>
      </c>
      <c r="J571" s="14"/>
      <c r="K571" s="15" t="s">
        <v>415</v>
      </c>
      <c r="L571" t="s">
        <v>469</v>
      </c>
      <c r="M571" t="s">
        <v>15</v>
      </c>
      <c r="N571" t="str">
        <f t="shared" si="92"/>
        <v>https://api.bcb.gov.br/dados/serie/bcdata.sgs.20894/dados?formato=json</v>
      </c>
      <c r="O571">
        <v>6</v>
      </c>
      <c r="P571" t="s">
        <v>19</v>
      </c>
      <c r="Q571" t="s">
        <v>19</v>
      </c>
      <c r="R571" t="s">
        <v>898</v>
      </c>
      <c r="S571" t="s">
        <v>621</v>
      </c>
      <c r="T571" t="e">
        <f t="shared" si="98"/>
        <v>#VALUE!</v>
      </c>
      <c r="U571">
        <f t="shared" si="97"/>
        <v>18</v>
      </c>
    </row>
    <row r="572" spans="1:21" x14ac:dyDescent="0.25">
      <c r="A572" s="1"/>
      <c r="B572" s="1">
        <v>20895</v>
      </c>
      <c r="C572" s="2" t="s">
        <v>118</v>
      </c>
      <c r="D572" s="1" t="s">
        <v>413</v>
      </c>
      <c r="E572" s="3" t="s">
        <v>0</v>
      </c>
      <c r="F572" s="4">
        <v>40603</v>
      </c>
      <c r="G572" s="5">
        <v>45597</v>
      </c>
      <c r="H572" s="6" t="s">
        <v>1</v>
      </c>
      <c r="I572" s="1" t="s">
        <v>2</v>
      </c>
      <c r="J572" s="7"/>
      <c r="K572" s="15" t="s">
        <v>416</v>
      </c>
      <c r="L572" t="s">
        <v>470</v>
      </c>
      <c r="M572" t="s">
        <v>15</v>
      </c>
      <c r="N572" t="str">
        <f t="shared" ref="N572:N599" si="99">_xlfn.CONCAT("https://api.bcb.gov.br/dados/serie/bcdata.sgs.",B572,"/dados?formato=json")</f>
        <v>https://api.bcb.gov.br/dados/serie/bcdata.sgs.20895/dados?formato=json</v>
      </c>
      <c r="O572">
        <v>6</v>
      </c>
      <c r="P572" t="s">
        <v>19</v>
      </c>
      <c r="Q572" t="s">
        <v>19</v>
      </c>
      <c r="R572" t="s">
        <v>118</v>
      </c>
      <c r="S572" t="s">
        <v>118</v>
      </c>
    </row>
    <row r="573" spans="1:21" x14ac:dyDescent="0.25">
      <c r="A573" s="8"/>
      <c r="B573" s="8">
        <v>20896</v>
      </c>
      <c r="C573" s="9" t="s">
        <v>119</v>
      </c>
      <c r="D573" s="8" t="s">
        <v>413</v>
      </c>
      <c r="E573" s="10" t="s">
        <v>0</v>
      </c>
      <c r="F573" s="11">
        <v>40603</v>
      </c>
      <c r="G573" s="12">
        <v>45597</v>
      </c>
      <c r="H573" s="13" t="s">
        <v>1</v>
      </c>
      <c r="I573" s="8" t="s">
        <v>2</v>
      </c>
      <c r="J573" s="14"/>
      <c r="K573" s="15" t="s">
        <v>416</v>
      </c>
      <c r="L573" t="s">
        <v>470</v>
      </c>
      <c r="M573" t="s">
        <v>15</v>
      </c>
      <c r="N573" t="str">
        <f t="shared" si="99"/>
        <v>https://api.bcb.gov.br/dados/serie/bcdata.sgs.20896/dados?formato=json</v>
      </c>
      <c r="O573">
        <v>6</v>
      </c>
      <c r="P573" t="s">
        <v>19</v>
      </c>
      <c r="Q573" t="s">
        <v>19</v>
      </c>
      <c r="R573" t="s">
        <v>118</v>
      </c>
      <c r="S573" t="s">
        <v>622</v>
      </c>
      <c r="T573" t="e">
        <f t="shared" ref="T573" si="100">RIGHT(S573,LEN(S573)-U573)</f>
        <v>#VALUE!</v>
      </c>
      <c r="U573">
        <f t="shared" ref="U573:U584" si="101">LEN("Setor de serviços - ")</f>
        <v>20</v>
      </c>
    </row>
    <row r="574" spans="1:21" x14ac:dyDescent="0.25">
      <c r="A574" s="1"/>
      <c r="B574" s="1">
        <v>20897</v>
      </c>
      <c r="C574" s="2" t="s">
        <v>171</v>
      </c>
      <c r="D574" s="1" t="s">
        <v>413</v>
      </c>
      <c r="E574" s="3" t="s">
        <v>0</v>
      </c>
      <c r="F574" s="4">
        <v>40603</v>
      </c>
      <c r="G574" s="5">
        <v>45597</v>
      </c>
      <c r="H574" s="6" t="s">
        <v>1</v>
      </c>
      <c r="I574" s="1" t="s">
        <v>2</v>
      </c>
      <c r="J574" s="7"/>
      <c r="K574" s="15" t="s">
        <v>416</v>
      </c>
      <c r="L574" t="s">
        <v>470</v>
      </c>
      <c r="M574" t="s">
        <v>15</v>
      </c>
      <c r="N574" t="str">
        <f t="shared" si="99"/>
        <v>https://api.bcb.gov.br/dados/serie/bcdata.sgs.20897/dados?formato=json</v>
      </c>
      <c r="O574">
        <v>6</v>
      </c>
      <c r="P574" t="s">
        <v>19</v>
      </c>
      <c r="Q574" t="s">
        <v>19</v>
      </c>
      <c r="R574" t="s">
        <v>906</v>
      </c>
      <c r="S574" t="s">
        <v>622</v>
      </c>
      <c r="T574" t="e">
        <f t="shared" ref="T574:T585" si="102">RIGHT(S574,LEN(S574)-U574)</f>
        <v>#VALUE!</v>
      </c>
      <c r="U574">
        <f t="shared" si="101"/>
        <v>20</v>
      </c>
    </row>
    <row r="575" spans="1:21" x14ac:dyDescent="0.25">
      <c r="A575" s="8"/>
      <c r="B575" s="8">
        <v>20898</v>
      </c>
      <c r="C575" s="9" t="s">
        <v>172</v>
      </c>
      <c r="D575" s="8" t="s">
        <v>413</v>
      </c>
      <c r="E575" s="10" t="s">
        <v>0</v>
      </c>
      <c r="F575" s="11">
        <v>40603</v>
      </c>
      <c r="G575" s="12">
        <v>45597</v>
      </c>
      <c r="H575" s="13" t="s">
        <v>1</v>
      </c>
      <c r="I575" s="8" t="s">
        <v>2</v>
      </c>
      <c r="J575" s="14"/>
      <c r="K575" s="15" t="s">
        <v>416</v>
      </c>
      <c r="L575" t="s">
        <v>470</v>
      </c>
      <c r="M575" t="s">
        <v>15</v>
      </c>
      <c r="N575" t="str">
        <f t="shared" si="99"/>
        <v>https://api.bcb.gov.br/dados/serie/bcdata.sgs.20898/dados?formato=json</v>
      </c>
      <c r="O575">
        <v>6</v>
      </c>
      <c r="P575" t="s">
        <v>19</v>
      </c>
      <c r="Q575" t="s">
        <v>19</v>
      </c>
      <c r="R575" t="s">
        <v>907</v>
      </c>
      <c r="S575" t="s">
        <v>622</v>
      </c>
      <c r="T575" t="e">
        <f t="shared" si="102"/>
        <v>#VALUE!</v>
      </c>
      <c r="U575">
        <f t="shared" si="101"/>
        <v>20</v>
      </c>
    </row>
    <row r="576" spans="1:21" x14ac:dyDescent="0.25">
      <c r="A576" s="1"/>
      <c r="B576" s="1">
        <v>20899</v>
      </c>
      <c r="C576" s="2" t="s">
        <v>173</v>
      </c>
      <c r="D576" s="1" t="s">
        <v>413</v>
      </c>
      <c r="E576" s="3" t="s">
        <v>0</v>
      </c>
      <c r="F576" s="4">
        <v>40603</v>
      </c>
      <c r="G576" s="5">
        <v>45597</v>
      </c>
      <c r="H576" s="6" t="s">
        <v>1</v>
      </c>
      <c r="I576" s="1" t="s">
        <v>2</v>
      </c>
      <c r="J576" s="7"/>
      <c r="K576" s="15" t="s">
        <v>416</v>
      </c>
      <c r="L576" t="s">
        <v>470</v>
      </c>
      <c r="M576" t="s">
        <v>15</v>
      </c>
      <c r="N576" t="str">
        <f t="shared" si="99"/>
        <v>https://api.bcb.gov.br/dados/serie/bcdata.sgs.20899/dados?formato=json</v>
      </c>
      <c r="O576">
        <v>6</v>
      </c>
      <c r="P576" t="s">
        <v>19</v>
      </c>
      <c r="Q576" t="s">
        <v>19</v>
      </c>
      <c r="R576" t="s">
        <v>908</v>
      </c>
      <c r="S576" t="s">
        <v>622</v>
      </c>
      <c r="T576" t="e">
        <f t="shared" si="102"/>
        <v>#VALUE!</v>
      </c>
      <c r="U576">
        <f t="shared" si="101"/>
        <v>20</v>
      </c>
    </row>
    <row r="577" spans="1:21" x14ac:dyDescent="0.25">
      <c r="A577" s="8"/>
      <c r="B577" s="8">
        <v>20900</v>
      </c>
      <c r="C577" s="9" t="s">
        <v>174</v>
      </c>
      <c r="D577" s="8" t="s">
        <v>413</v>
      </c>
      <c r="E577" s="10" t="s">
        <v>0</v>
      </c>
      <c r="F577" s="11">
        <v>40603</v>
      </c>
      <c r="G577" s="12">
        <v>45597</v>
      </c>
      <c r="H577" s="13" t="s">
        <v>1</v>
      </c>
      <c r="I577" s="8" t="s">
        <v>2</v>
      </c>
      <c r="J577" s="14"/>
      <c r="K577" s="15" t="s">
        <v>416</v>
      </c>
      <c r="L577" t="s">
        <v>470</v>
      </c>
      <c r="M577" t="s">
        <v>15</v>
      </c>
      <c r="N577" t="str">
        <f t="shared" si="99"/>
        <v>https://api.bcb.gov.br/dados/serie/bcdata.sgs.20900/dados?formato=json</v>
      </c>
      <c r="O577">
        <v>6</v>
      </c>
      <c r="P577" t="s">
        <v>19</v>
      </c>
      <c r="Q577" t="s">
        <v>19</v>
      </c>
      <c r="R577" t="s">
        <v>909</v>
      </c>
      <c r="S577" t="s">
        <v>622</v>
      </c>
      <c r="T577" t="e">
        <f t="shared" si="102"/>
        <v>#VALUE!</v>
      </c>
      <c r="U577">
        <f t="shared" si="101"/>
        <v>20</v>
      </c>
    </row>
    <row r="578" spans="1:21" x14ac:dyDescent="0.25">
      <c r="A578" s="1"/>
      <c r="B578" s="1">
        <v>20901</v>
      </c>
      <c r="C578" s="2" t="s">
        <v>175</v>
      </c>
      <c r="D578" s="1" t="s">
        <v>413</v>
      </c>
      <c r="E578" s="3" t="s">
        <v>0</v>
      </c>
      <c r="F578" s="4">
        <v>40603</v>
      </c>
      <c r="G578" s="5">
        <v>45597</v>
      </c>
      <c r="H578" s="6" t="s">
        <v>1</v>
      </c>
      <c r="I578" s="1" t="s">
        <v>2</v>
      </c>
      <c r="J578" s="7"/>
      <c r="K578" s="15" t="s">
        <v>416</v>
      </c>
      <c r="L578" t="s">
        <v>470</v>
      </c>
      <c r="M578" t="s">
        <v>15</v>
      </c>
      <c r="N578" t="str">
        <f t="shared" si="99"/>
        <v>https://api.bcb.gov.br/dados/serie/bcdata.sgs.20901/dados?formato=json</v>
      </c>
      <c r="O578">
        <v>6</v>
      </c>
      <c r="P578" t="s">
        <v>19</v>
      </c>
      <c r="Q578" t="s">
        <v>19</v>
      </c>
      <c r="R578" t="s">
        <v>910</v>
      </c>
      <c r="S578" t="s">
        <v>622</v>
      </c>
      <c r="T578" t="e">
        <f t="shared" si="102"/>
        <v>#VALUE!</v>
      </c>
      <c r="U578">
        <f t="shared" si="101"/>
        <v>20</v>
      </c>
    </row>
    <row r="579" spans="1:21" x14ac:dyDescent="0.25">
      <c r="A579" s="8"/>
      <c r="B579" s="8">
        <v>20902</v>
      </c>
      <c r="C579" s="9" t="s">
        <v>176</v>
      </c>
      <c r="D579" s="8" t="s">
        <v>413</v>
      </c>
      <c r="E579" s="10" t="s">
        <v>0</v>
      </c>
      <c r="F579" s="11">
        <v>40603</v>
      </c>
      <c r="G579" s="12">
        <v>45597</v>
      </c>
      <c r="H579" s="13" t="s">
        <v>1</v>
      </c>
      <c r="I579" s="8" t="s">
        <v>2</v>
      </c>
      <c r="J579" s="14"/>
      <c r="K579" s="15" t="s">
        <v>416</v>
      </c>
      <c r="L579" t="s">
        <v>470</v>
      </c>
      <c r="M579" t="s">
        <v>15</v>
      </c>
      <c r="N579" t="str">
        <f t="shared" si="99"/>
        <v>https://api.bcb.gov.br/dados/serie/bcdata.sgs.20902/dados?formato=json</v>
      </c>
      <c r="O579">
        <v>6</v>
      </c>
      <c r="P579" t="s">
        <v>19</v>
      </c>
      <c r="Q579" t="s">
        <v>19</v>
      </c>
      <c r="R579" t="s">
        <v>911</v>
      </c>
      <c r="S579" t="s">
        <v>622</v>
      </c>
      <c r="T579" t="e">
        <f t="shared" si="102"/>
        <v>#VALUE!</v>
      </c>
      <c r="U579">
        <f t="shared" si="101"/>
        <v>20</v>
      </c>
    </row>
    <row r="580" spans="1:21" x14ac:dyDescent="0.25">
      <c r="A580" s="1"/>
      <c r="B580" s="1">
        <v>20903</v>
      </c>
      <c r="C580" s="2" t="s">
        <v>177</v>
      </c>
      <c r="D580" s="1" t="s">
        <v>413</v>
      </c>
      <c r="E580" s="3" t="s">
        <v>0</v>
      </c>
      <c r="F580" s="4">
        <v>40603</v>
      </c>
      <c r="G580" s="5">
        <v>45597</v>
      </c>
      <c r="H580" s="6" t="s">
        <v>1</v>
      </c>
      <c r="I580" s="1" t="s">
        <v>2</v>
      </c>
      <c r="J580" s="7"/>
      <c r="K580" s="15" t="s">
        <v>416</v>
      </c>
      <c r="L580" t="s">
        <v>470</v>
      </c>
      <c r="M580" t="s">
        <v>15</v>
      </c>
      <c r="N580" t="str">
        <f t="shared" si="99"/>
        <v>https://api.bcb.gov.br/dados/serie/bcdata.sgs.20903/dados?formato=json</v>
      </c>
      <c r="O580">
        <v>6</v>
      </c>
      <c r="P580" t="s">
        <v>19</v>
      </c>
      <c r="Q580" t="s">
        <v>19</v>
      </c>
      <c r="R580" t="s">
        <v>912</v>
      </c>
      <c r="S580" t="s">
        <v>622</v>
      </c>
      <c r="T580" t="e">
        <f t="shared" si="102"/>
        <v>#VALUE!</v>
      </c>
      <c r="U580">
        <f t="shared" si="101"/>
        <v>20</v>
      </c>
    </row>
    <row r="581" spans="1:21" x14ac:dyDescent="0.25">
      <c r="A581" s="8"/>
      <c r="B581" s="8">
        <v>20904</v>
      </c>
      <c r="C581" s="9" t="s">
        <v>178</v>
      </c>
      <c r="D581" s="8" t="s">
        <v>413</v>
      </c>
      <c r="E581" s="10" t="s">
        <v>0</v>
      </c>
      <c r="F581" s="11">
        <v>40603</v>
      </c>
      <c r="G581" s="12">
        <v>45597</v>
      </c>
      <c r="H581" s="13" t="s">
        <v>1</v>
      </c>
      <c r="I581" s="8" t="s">
        <v>2</v>
      </c>
      <c r="J581" s="14"/>
      <c r="K581" s="15" t="s">
        <v>416</v>
      </c>
      <c r="L581" t="s">
        <v>470</v>
      </c>
      <c r="M581" t="s">
        <v>15</v>
      </c>
      <c r="N581" t="str">
        <f t="shared" si="99"/>
        <v>https://api.bcb.gov.br/dados/serie/bcdata.sgs.20904/dados?formato=json</v>
      </c>
      <c r="O581">
        <v>6</v>
      </c>
      <c r="P581" t="s">
        <v>19</v>
      </c>
      <c r="Q581" t="s">
        <v>19</v>
      </c>
      <c r="R581" t="s">
        <v>913</v>
      </c>
      <c r="S581" t="s">
        <v>622</v>
      </c>
      <c r="T581" t="e">
        <f t="shared" si="102"/>
        <v>#VALUE!</v>
      </c>
      <c r="U581">
        <f t="shared" si="101"/>
        <v>20</v>
      </c>
    </row>
    <row r="582" spans="1:21" x14ac:dyDescent="0.25">
      <c r="A582" s="1"/>
      <c r="B582" s="1">
        <v>20905</v>
      </c>
      <c r="C582" s="2" t="s">
        <v>179</v>
      </c>
      <c r="D582" s="1" t="s">
        <v>413</v>
      </c>
      <c r="E582" s="3" t="s">
        <v>0</v>
      </c>
      <c r="F582" s="4">
        <v>40603</v>
      </c>
      <c r="G582" s="5">
        <v>45597</v>
      </c>
      <c r="H582" s="6" t="s">
        <v>1</v>
      </c>
      <c r="I582" s="1" t="s">
        <v>2</v>
      </c>
      <c r="J582" s="7"/>
      <c r="K582" s="15" t="s">
        <v>416</v>
      </c>
      <c r="L582" t="s">
        <v>470</v>
      </c>
      <c r="M582" t="s">
        <v>15</v>
      </c>
      <c r="N582" t="str">
        <f t="shared" si="99"/>
        <v>https://api.bcb.gov.br/dados/serie/bcdata.sgs.20905/dados?formato=json</v>
      </c>
      <c r="O582">
        <v>6</v>
      </c>
      <c r="P582" t="s">
        <v>19</v>
      </c>
      <c r="Q582" t="s">
        <v>19</v>
      </c>
      <c r="R582" t="s">
        <v>914</v>
      </c>
      <c r="S582" t="s">
        <v>622</v>
      </c>
      <c r="T582" t="e">
        <f t="shared" si="102"/>
        <v>#VALUE!</v>
      </c>
      <c r="U582">
        <f t="shared" si="101"/>
        <v>20</v>
      </c>
    </row>
    <row r="583" spans="1:21" x14ac:dyDescent="0.25">
      <c r="A583" s="8"/>
      <c r="B583" s="8">
        <v>20906</v>
      </c>
      <c r="C583" s="9" t="s">
        <v>180</v>
      </c>
      <c r="D583" s="8" t="s">
        <v>413</v>
      </c>
      <c r="E583" s="10" t="s">
        <v>0</v>
      </c>
      <c r="F583" s="11">
        <v>40603</v>
      </c>
      <c r="G583" s="12">
        <v>45597</v>
      </c>
      <c r="H583" s="13" t="s">
        <v>1</v>
      </c>
      <c r="I583" s="8" t="s">
        <v>2</v>
      </c>
      <c r="J583" s="14"/>
      <c r="K583" s="15" t="s">
        <v>416</v>
      </c>
      <c r="L583" t="s">
        <v>470</v>
      </c>
      <c r="M583" t="s">
        <v>15</v>
      </c>
      <c r="N583" t="str">
        <f t="shared" si="99"/>
        <v>https://api.bcb.gov.br/dados/serie/bcdata.sgs.20906/dados?formato=json</v>
      </c>
      <c r="O583">
        <v>6</v>
      </c>
      <c r="P583" t="s">
        <v>19</v>
      </c>
      <c r="Q583" t="s">
        <v>19</v>
      </c>
      <c r="R583" t="s">
        <v>915</v>
      </c>
      <c r="S583" t="s">
        <v>622</v>
      </c>
      <c r="T583" t="e">
        <f t="shared" si="102"/>
        <v>#VALUE!</v>
      </c>
      <c r="U583">
        <f t="shared" si="101"/>
        <v>20</v>
      </c>
    </row>
    <row r="584" spans="1:21" x14ac:dyDescent="0.25">
      <c r="A584" s="1"/>
      <c r="B584" s="1">
        <v>20907</v>
      </c>
      <c r="C584" s="2" t="s">
        <v>181</v>
      </c>
      <c r="D584" s="1" t="s">
        <v>413</v>
      </c>
      <c r="E584" s="3" t="s">
        <v>0</v>
      </c>
      <c r="F584" s="4">
        <v>40603</v>
      </c>
      <c r="G584" s="5">
        <v>45597</v>
      </c>
      <c r="H584" s="6" t="s">
        <v>1</v>
      </c>
      <c r="I584" s="1" t="s">
        <v>2</v>
      </c>
      <c r="J584" s="7"/>
      <c r="K584" s="15" t="s">
        <v>416</v>
      </c>
      <c r="L584" t="s">
        <v>470</v>
      </c>
      <c r="M584" t="s">
        <v>15</v>
      </c>
      <c r="N584" t="str">
        <f t="shared" si="99"/>
        <v>https://api.bcb.gov.br/dados/serie/bcdata.sgs.20907/dados?formato=json</v>
      </c>
      <c r="O584">
        <v>6</v>
      </c>
      <c r="P584" t="s">
        <v>19</v>
      </c>
      <c r="Q584" t="s">
        <v>19</v>
      </c>
      <c r="R584" t="s">
        <v>916</v>
      </c>
      <c r="S584" t="s">
        <v>622</v>
      </c>
      <c r="T584" t="e">
        <f t="shared" si="102"/>
        <v>#VALUE!</v>
      </c>
      <c r="U584">
        <f t="shared" si="101"/>
        <v>20</v>
      </c>
    </row>
    <row r="585" spans="1:21" x14ac:dyDescent="0.25">
      <c r="A585" s="8"/>
      <c r="B585" s="8">
        <v>20908</v>
      </c>
      <c r="C585" s="9" t="s">
        <v>120</v>
      </c>
      <c r="D585" s="8" t="s">
        <v>413</v>
      </c>
      <c r="E585" s="10" t="s">
        <v>0</v>
      </c>
      <c r="F585" s="11">
        <v>40603</v>
      </c>
      <c r="G585" s="12">
        <v>45597</v>
      </c>
      <c r="H585" s="13" t="s">
        <v>1</v>
      </c>
      <c r="I585" s="8" t="s">
        <v>2</v>
      </c>
      <c r="J585" s="14"/>
      <c r="K585" s="15" t="s">
        <v>416</v>
      </c>
      <c r="L585" t="s">
        <v>470</v>
      </c>
      <c r="M585" t="s">
        <v>15</v>
      </c>
      <c r="N585" t="str">
        <f t="shared" si="99"/>
        <v>https://api.bcb.gov.br/dados/serie/bcdata.sgs.20908/dados?formato=json</v>
      </c>
      <c r="O585">
        <v>6</v>
      </c>
      <c r="P585" t="s">
        <v>19</v>
      </c>
      <c r="Q585" t="s">
        <v>19</v>
      </c>
      <c r="R585" t="s">
        <v>118</v>
      </c>
      <c r="S585" t="s">
        <v>621</v>
      </c>
      <c r="T585" t="e">
        <f t="shared" si="102"/>
        <v>#VALUE!</v>
      </c>
      <c r="U585">
        <f t="shared" ref="U585:U599" si="103">LEN("Pessoas físicas - ")</f>
        <v>18</v>
      </c>
    </row>
    <row r="586" spans="1:21" x14ac:dyDescent="0.25">
      <c r="A586" s="1"/>
      <c r="B586" s="1">
        <v>20909</v>
      </c>
      <c r="C586" s="2" t="s">
        <v>182</v>
      </c>
      <c r="D586" s="1" t="s">
        <v>413</v>
      </c>
      <c r="E586" s="3" t="s">
        <v>0</v>
      </c>
      <c r="F586" s="4">
        <v>40603</v>
      </c>
      <c r="G586" s="5">
        <v>45597</v>
      </c>
      <c r="H586" s="6" t="s">
        <v>1</v>
      </c>
      <c r="I586" s="1" t="s">
        <v>2</v>
      </c>
      <c r="J586" s="7"/>
      <c r="K586" s="15" t="s">
        <v>416</v>
      </c>
      <c r="L586" t="s">
        <v>470</v>
      </c>
      <c r="M586" t="s">
        <v>15</v>
      </c>
      <c r="N586" t="str">
        <f t="shared" si="99"/>
        <v>https://api.bcb.gov.br/dados/serie/bcdata.sgs.20909/dados?formato=json</v>
      </c>
      <c r="O586">
        <v>6</v>
      </c>
      <c r="P586" t="s">
        <v>19</v>
      </c>
      <c r="Q586" t="s">
        <v>19</v>
      </c>
      <c r="R586" t="s">
        <v>906</v>
      </c>
      <c r="S586" t="s">
        <v>621</v>
      </c>
      <c r="T586" t="e">
        <f t="shared" ref="T586:T599" si="104">RIGHT(S586,LEN(S586)-U586)</f>
        <v>#VALUE!</v>
      </c>
      <c r="U586">
        <f t="shared" si="103"/>
        <v>18</v>
      </c>
    </row>
    <row r="587" spans="1:21" x14ac:dyDescent="0.25">
      <c r="A587" s="8"/>
      <c r="B587" s="8">
        <v>20910</v>
      </c>
      <c r="C587" s="9" t="s">
        <v>183</v>
      </c>
      <c r="D587" s="8" t="s">
        <v>413</v>
      </c>
      <c r="E587" s="10" t="s">
        <v>0</v>
      </c>
      <c r="F587" s="11">
        <v>40603</v>
      </c>
      <c r="G587" s="12">
        <v>45597</v>
      </c>
      <c r="H587" s="13" t="s">
        <v>1</v>
      </c>
      <c r="I587" s="8" t="s">
        <v>2</v>
      </c>
      <c r="J587" s="14"/>
      <c r="K587" s="15" t="s">
        <v>416</v>
      </c>
      <c r="L587" t="s">
        <v>470</v>
      </c>
      <c r="M587" t="s">
        <v>15</v>
      </c>
      <c r="N587" t="str">
        <f t="shared" si="99"/>
        <v>https://api.bcb.gov.br/dados/serie/bcdata.sgs.20910/dados?formato=json</v>
      </c>
      <c r="O587">
        <v>6</v>
      </c>
      <c r="P587" t="s">
        <v>19</v>
      </c>
      <c r="Q587" t="s">
        <v>19</v>
      </c>
      <c r="R587" t="s">
        <v>907</v>
      </c>
      <c r="S587" t="s">
        <v>621</v>
      </c>
      <c r="T587" t="e">
        <f t="shared" si="104"/>
        <v>#VALUE!</v>
      </c>
      <c r="U587">
        <f t="shared" si="103"/>
        <v>18</v>
      </c>
    </row>
    <row r="588" spans="1:21" x14ac:dyDescent="0.25">
      <c r="A588" s="1"/>
      <c r="B588" s="1">
        <v>20911</v>
      </c>
      <c r="C588" s="2" t="s">
        <v>184</v>
      </c>
      <c r="D588" s="1" t="s">
        <v>413</v>
      </c>
      <c r="E588" s="3" t="s">
        <v>0</v>
      </c>
      <c r="F588" s="4">
        <v>40603</v>
      </c>
      <c r="G588" s="5">
        <v>45597</v>
      </c>
      <c r="H588" s="6" t="s">
        <v>1</v>
      </c>
      <c r="I588" s="1" t="s">
        <v>2</v>
      </c>
      <c r="J588" s="7"/>
      <c r="K588" s="15" t="s">
        <v>416</v>
      </c>
      <c r="L588" t="s">
        <v>470</v>
      </c>
      <c r="M588" t="s">
        <v>15</v>
      </c>
      <c r="N588" t="str">
        <f t="shared" si="99"/>
        <v>https://api.bcb.gov.br/dados/serie/bcdata.sgs.20911/dados?formato=json</v>
      </c>
      <c r="O588">
        <v>6</v>
      </c>
      <c r="P588" t="s">
        <v>19</v>
      </c>
      <c r="Q588" t="s">
        <v>19</v>
      </c>
      <c r="R588" t="s">
        <v>908</v>
      </c>
      <c r="S588" t="s">
        <v>621</v>
      </c>
      <c r="T588" t="e">
        <f t="shared" si="104"/>
        <v>#VALUE!</v>
      </c>
      <c r="U588">
        <f t="shared" si="103"/>
        <v>18</v>
      </c>
    </row>
    <row r="589" spans="1:21" x14ac:dyDescent="0.25">
      <c r="A589" s="8"/>
      <c r="B589" s="8">
        <v>20912</v>
      </c>
      <c r="C589" s="9" t="s">
        <v>185</v>
      </c>
      <c r="D589" s="8" t="s">
        <v>413</v>
      </c>
      <c r="E589" s="10" t="s">
        <v>0</v>
      </c>
      <c r="F589" s="11">
        <v>40603</v>
      </c>
      <c r="G589" s="12">
        <v>45597</v>
      </c>
      <c r="H589" s="13" t="s">
        <v>1</v>
      </c>
      <c r="I589" s="8" t="s">
        <v>2</v>
      </c>
      <c r="J589" s="14"/>
      <c r="K589" s="15" t="s">
        <v>416</v>
      </c>
      <c r="L589" t="s">
        <v>470</v>
      </c>
      <c r="M589" t="s">
        <v>15</v>
      </c>
      <c r="N589" t="str">
        <f t="shared" si="99"/>
        <v>https://api.bcb.gov.br/dados/serie/bcdata.sgs.20912/dados?formato=json</v>
      </c>
      <c r="O589">
        <v>6</v>
      </c>
      <c r="P589" t="s">
        <v>19</v>
      </c>
      <c r="Q589" t="s">
        <v>19</v>
      </c>
      <c r="R589" t="s">
        <v>909</v>
      </c>
      <c r="S589" t="s">
        <v>621</v>
      </c>
      <c r="T589" t="e">
        <f t="shared" si="104"/>
        <v>#VALUE!</v>
      </c>
      <c r="U589">
        <f t="shared" si="103"/>
        <v>18</v>
      </c>
    </row>
    <row r="590" spans="1:21" x14ac:dyDescent="0.25">
      <c r="A590" s="1"/>
      <c r="B590" s="1">
        <v>20913</v>
      </c>
      <c r="C590" s="2" t="s">
        <v>186</v>
      </c>
      <c r="D590" s="1" t="s">
        <v>413</v>
      </c>
      <c r="E590" s="3" t="s">
        <v>0</v>
      </c>
      <c r="F590" s="4">
        <v>40603</v>
      </c>
      <c r="G590" s="5">
        <v>45597</v>
      </c>
      <c r="H590" s="6" t="s">
        <v>1</v>
      </c>
      <c r="I590" s="1" t="s">
        <v>2</v>
      </c>
      <c r="J590" s="7"/>
      <c r="K590" s="15" t="s">
        <v>416</v>
      </c>
      <c r="L590" t="s">
        <v>470</v>
      </c>
      <c r="M590" t="s">
        <v>15</v>
      </c>
      <c r="N590" t="str">
        <f t="shared" si="99"/>
        <v>https://api.bcb.gov.br/dados/serie/bcdata.sgs.20913/dados?formato=json</v>
      </c>
      <c r="O590">
        <v>6</v>
      </c>
      <c r="P590" t="s">
        <v>19</v>
      </c>
      <c r="Q590" t="s">
        <v>19</v>
      </c>
      <c r="R590" t="s">
        <v>910</v>
      </c>
      <c r="S590" t="s">
        <v>621</v>
      </c>
      <c r="T590" t="e">
        <f t="shared" si="104"/>
        <v>#VALUE!</v>
      </c>
      <c r="U590">
        <f t="shared" si="103"/>
        <v>18</v>
      </c>
    </row>
    <row r="591" spans="1:21" x14ac:dyDescent="0.25">
      <c r="A591" s="8"/>
      <c r="B591" s="8">
        <v>20914</v>
      </c>
      <c r="C591" s="9" t="s">
        <v>187</v>
      </c>
      <c r="D591" s="8" t="s">
        <v>413</v>
      </c>
      <c r="E591" s="10" t="s">
        <v>0</v>
      </c>
      <c r="F591" s="11">
        <v>40603</v>
      </c>
      <c r="G591" s="12">
        <v>45597</v>
      </c>
      <c r="H591" s="13" t="s">
        <v>1</v>
      </c>
      <c r="I591" s="8" t="s">
        <v>2</v>
      </c>
      <c r="J591" s="14"/>
      <c r="K591" s="15" t="s">
        <v>416</v>
      </c>
      <c r="L591" t="s">
        <v>470</v>
      </c>
      <c r="M591" t="s">
        <v>15</v>
      </c>
      <c r="N591" t="str">
        <f t="shared" si="99"/>
        <v>https://api.bcb.gov.br/dados/serie/bcdata.sgs.20914/dados?formato=json</v>
      </c>
      <c r="O591">
        <v>6</v>
      </c>
      <c r="P591" t="s">
        <v>19</v>
      </c>
      <c r="Q591" t="s">
        <v>19</v>
      </c>
      <c r="R591" t="s">
        <v>911</v>
      </c>
      <c r="S591" t="s">
        <v>621</v>
      </c>
      <c r="T591" t="e">
        <f t="shared" si="104"/>
        <v>#VALUE!</v>
      </c>
      <c r="U591">
        <f t="shared" si="103"/>
        <v>18</v>
      </c>
    </row>
    <row r="592" spans="1:21" x14ac:dyDescent="0.25">
      <c r="A592" s="1"/>
      <c r="B592" s="1">
        <v>20915</v>
      </c>
      <c r="C592" s="2" t="s">
        <v>188</v>
      </c>
      <c r="D592" s="1" t="s">
        <v>413</v>
      </c>
      <c r="E592" s="3" t="s">
        <v>0</v>
      </c>
      <c r="F592" s="4">
        <v>40603</v>
      </c>
      <c r="G592" s="5">
        <v>45597</v>
      </c>
      <c r="H592" s="6" t="s">
        <v>1</v>
      </c>
      <c r="I592" s="1" t="s">
        <v>2</v>
      </c>
      <c r="J592" s="7"/>
      <c r="K592" s="15" t="s">
        <v>416</v>
      </c>
      <c r="L592" t="s">
        <v>470</v>
      </c>
      <c r="M592" t="s">
        <v>15</v>
      </c>
      <c r="N592" t="str">
        <f t="shared" si="99"/>
        <v>https://api.bcb.gov.br/dados/serie/bcdata.sgs.20915/dados?formato=json</v>
      </c>
      <c r="O592">
        <v>6</v>
      </c>
      <c r="P592" t="s">
        <v>19</v>
      </c>
      <c r="Q592" t="s">
        <v>19</v>
      </c>
      <c r="R592" t="s">
        <v>912</v>
      </c>
      <c r="S592" t="s">
        <v>621</v>
      </c>
      <c r="T592" t="e">
        <f t="shared" si="104"/>
        <v>#VALUE!</v>
      </c>
      <c r="U592">
        <f t="shared" si="103"/>
        <v>18</v>
      </c>
    </row>
    <row r="593" spans="1:21" x14ac:dyDescent="0.25">
      <c r="A593" s="8"/>
      <c r="B593" s="8">
        <v>20916</v>
      </c>
      <c r="C593" s="9" t="s">
        <v>189</v>
      </c>
      <c r="D593" s="8" t="s">
        <v>413</v>
      </c>
      <c r="E593" s="10" t="s">
        <v>0</v>
      </c>
      <c r="F593" s="11">
        <v>40603</v>
      </c>
      <c r="G593" s="12">
        <v>45597</v>
      </c>
      <c r="H593" s="13" t="s">
        <v>1</v>
      </c>
      <c r="I593" s="8" t="s">
        <v>2</v>
      </c>
      <c r="J593" s="14"/>
      <c r="K593" s="15" t="s">
        <v>416</v>
      </c>
      <c r="L593" t="s">
        <v>470</v>
      </c>
      <c r="M593" t="s">
        <v>15</v>
      </c>
      <c r="N593" t="str">
        <f t="shared" si="99"/>
        <v>https://api.bcb.gov.br/dados/serie/bcdata.sgs.20916/dados?formato=json</v>
      </c>
      <c r="O593">
        <v>6</v>
      </c>
      <c r="P593" t="s">
        <v>19</v>
      </c>
      <c r="Q593" t="s">
        <v>19</v>
      </c>
      <c r="R593" t="s">
        <v>913</v>
      </c>
      <c r="S593" t="s">
        <v>621</v>
      </c>
      <c r="T593" t="e">
        <f t="shared" si="104"/>
        <v>#VALUE!</v>
      </c>
      <c r="U593">
        <f t="shared" si="103"/>
        <v>18</v>
      </c>
    </row>
    <row r="594" spans="1:21" x14ac:dyDescent="0.25">
      <c r="A594" s="1"/>
      <c r="B594" s="1">
        <v>20917</v>
      </c>
      <c r="C594" s="2" t="s">
        <v>190</v>
      </c>
      <c r="D594" s="1" t="s">
        <v>413</v>
      </c>
      <c r="E594" s="3" t="s">
        <v>0</v>
      </c>
      <c r="F594" s="4">
        <v>40603</v>
      </c>
      <c r="G594" s="5">
        <v>45597</v>
      </c>
      <c r="H594" s="6" t="s">
        <v>1</v>
      </c>
      <c r="I594" s="1" t="s">
        <v>2</v>
      </c>
      <c r="J594" s="7"/>
      <c r="K594" s="15" t="s">
        <v>416</v>
      </c>
      <c r="L594" t="s">
        <v>470</v>
      </c>
      <c r="M594" t="s">
        <v>15</v>
      </c>
      <c r="N594" t="str">
        <f t="shared" si="99"/>
        <v>https://api.bcb.gov.br/dados/serie/bcdata.sgs.20917/dados?formato=json</v>
      </c>
      <c r="O594">
        <v>6</v>
      </c>
      <c r="P594" t="s">
        <v>19</v>
      </c>
      <c r="Q594" t="s">
        <v>19</v>
      </c>
      <c r="R594" t="s">
        <v>914</v>
      </c>
      <c r="S594" t="s">
        <v>621</v>
      </c>
      <c r="T594" t="e">
        <f t="shared" si="104"/>
        <v>#VALUE!</v>
      </c>
      <c r="U594">
        <f t="shared" si="103"/>
        <v>18</v>
      </c>
    </row>
    <row r="595" spans="1:21" x14ac:dyDescent="0.25">
      <c r="A595" s="8"/>
      <c r="B595" s="8">
        <v>20918</v>
      </c>
      <c r="C595" s="9" t="s">
        <v>191</v>
      </c>
      <c r="D595" s="8" t="s">
        <v>413</v>
      </c>
      <c r="E595" s="10" t="s">
        <v>0</v>
      </c>
      <c r="F595" s="11">
        <v>40603</v>
      </c>
      <c r="G595" s="12">
        <v>45597</v>
      </c>
      <c r="H595" s="13" t="s">
        <v>1</v>
      </c>
      <c r="I595" s="8" t="s">
        <v>2</v>
      </c>
      <c r="J595" s="14"/>
      <c r="K595" s="15" t="s">
        <v>416</v>
      </c>
      <c r="L595" t="s">
        <v>470</v>
      </c>
      <c r="M595" t="s">
        <v>15</v>
      </c>
      <c r="N595" t="str">
        <f t="shared" si="99"/>
        <v>https://api.bcb.gov.br/dados/serie/bcdata.sgs.20918/dados?formato=json</v>
      </c>
      <c r="O595">
        <v>6</v>
      </c>
      <c r="P595" t="s">
        <v>19</v>
      </c>
      <c r="Q595" t="s">
        <v>19</v>
      </c>
      <c r="R595" t="s">
        <v>915</v>
      </c>
      <c r="S595" t="s">
        <v>621</v>
      </c>
      <c r="T595" t="e">
        <f t="shared" si="104"/>
        <v>#VALUE!</v>
      </c>
      <c r="U595">
        <f t="shared" si="103"/>
        <v>18</v>
      </c>
    </row>
    <row r="596" spans="1:21" x14ac:dyDescent="0.25">
      <c r="A596" s="1"/>
      <c r="B596" s="1">
        <v>20919</v>
      </c>
      <c r="C596" s="2" t="s">
        <v>192</v>
      </c>
      <c r="D596" s="1" t="s">
        <v>413</v>
      </c>
      <c r="E596" s="3" t="s">
        <v>0</v>
      </c>
      <c r="F596" s="4">
        <v>40603</v>
      </c>
      <c r="G596" s="5">
        <v>45597</v>
      </c>
      <c r="H596" s="6" t="s">
        <v>1</v>
      </c>
      <c r="I596" s="1" t="s">
        <v>2</v>
      </c>
      <c r="J596" s="7"/>
      <c r="K596" s="15" t="s">
        <v>416</v>
      </c>
      <c r="L596" t="s">
        <v>470</v>
      </c>
      <c r="M596" t="s">
        <v>15</v>
      </c>
      <c r="N596" t="str">
        <f t="shared" si="99"/>
        <v>https://api.bcb.gov.br/dados/serie/bcdata.sgs.20919/dados?formato=json</v>
      </c>
      <c r="O596">
        <v>6</v>
      </c>
      <c r="P596" t="s">
        <v>19</v>
      </c>
      <c r="Q596" t="s">
        <v>19</v>
      </c>
      <c r="R596" t="s">
        <v>917</v>
      </c>
      <c r="S596" t="s">
        <v>621</v>
      </c>
      <c r="T596" t="e">
        <f t="shared" si="104"/>
        <v>#VALUE!</v>
      </c>
      <c r="U596">
        <f t="shared" si="103"/>
        <v>18</v>
      </c>
    </row>
    <row r="597" spans="1:21" x14ac:dyDescent="0.25">
      <c r="A597" s="8"/>
      <c r="B597" s="8">
        <v>20920</v>
      </c>
      <c r="C597" s="9" t="s">
        <v>193</v>
      </c>
      <c r="D597" s="8" t="s">
        <v>413</v>
      </c>
      <c r="E597" s="10" t="s">
        <v>0</v>
      </c>
      <c r="F597" s="11">
        <v>40603</v>
      </c>
      <c r="G597" s="12">
        <v>45597</v>
      </c>
      <c r="H597" s="13" t="s">
        <v>1</v>
      </c>
      <c r="I597" s="8" t="s">
        <v>2</v>
      </c>
      <c r="J597" s="14"/>
      <c r="K597" s="15" t="s">
        <v>416</v>
      </c>
      <c r="L597" t="s">
        <v>470</v>
      </c>
      <c r="M597" t="s">
        <v>15</v>
      </c>
      <c r="N597" t="str">
        <f t="shared" si="99"/>
        <v>https://api.bcb.gov.br/dados/serie/bcdata.sgs.20920/dados?formato=json</v>
      </c>
      <c r="O597">
        <v>6</v>
      </c>
      <c r="P597" t="s">
        <v>19</v>
      </c>
      <c r="Q597" t="s">
        <v>19</v>
      </c>
      <c r="R597" t="s">
        <v>918</v>
      </c>
      <c r="S597" t="s">
        <v>621</v>
      </c>
      <c r="T597" t="e">
        <f t="shared" si="104"/>
        <v>#VALUE!</v>
      </c>
      <c r="U597">
        <f t="shared" si="103"/>
        <v>18</v>
      </c>
    </row>
    <row r="598" spans="1:21" x14ac:dyDescent="0.25">
      <c r="A598" s="1"/>
      <c r="B598" s="1">
        <v>20922</v>
      </c>
      <c r="C598" s="2" t="s">
        <v>194</v>
      </c>
      <c r="D598" s="1" t="s">
        <v>413</v>
      </c>
      <c r="E598" s="3" t="s">
        <v>0</v>
      </c>
      <c r="F598" s="4">
        <v>40603</v>
      </c>
      <c r="G598" s="5">
        <v>45597</v>
      </c>
      <c r="H598" s="6" t="s">
        <v>1</v>
      </c>
      <c r="I598" s="1" t="s">
        <v>2</v>
      </c>
      <c r="J598" s="7"/>
      <c r="K598" s="15" t="s">
        <v>416</v>
      </c>
      <c r="L598" t="s">
        <v>470</v>
      </c>
      <c r="M598" t="s">
        <v>15</v>
      </c>
      <c r="N598" t="str">
        <f t="shared" si="99"/>
        <v>https://api.bcb.gov.br/dados/serie/bcdata.sgs.20922/dados?formato=json</v>
      </c>
      <c r="O598">
        <v>6</v>
      </c>
      <c r="P598" t="s">
        <v>19</v>
      </c>
      <c r="Q598" t="s">
        <v>19</v>
      </c>
      <c r="R598" t="s">
        <v>919</v>
      </c>
      <c r="S598" t="s">
        <v>621</v>
      </c>
      <c r="T598" t="e">
        <f t="shared" si="104"/>
        <v>#VALUE!</v>
      </c>
      <c r="U598">
        <f t="shared" si="103"/>
        <v>18</v>
      </c>
    </row>
    <row r="599" spans="1:21" x14ac:dyDescent="0.25">
      <c r="A599" s="8"/>
      <c r="B599" s="8">
        <v>20923</v>
      </c>
      <c r="C599" s="9" t="s">
        <v>195</v>
      </c>
      <c r="D599" s="8" t="s">
        <v>413</v>
      </c>
      <c r="E599" s="10" t="s">
        <v>0</v>
      </c>
      <c r="F599" s="11">
        <v>40603</v>
      </c>
      <c r="G599" s="12">
        <v>45597</v>
      </c>
      <c r="H599" s="13" t="s">
        <v>1</v>
      </c>
      <c r="I599" s="8" t="s">
        <v>2</v>
      </c>
      <c r="J599" s="14"/>
      <c r="K599" s="15" t="s">
        <v>416</v>
      </c>
      <c r="L599" t="s">
        <v>470</v>
      </c>
      <c r="M599" t="s">
        <v>15</v>
      </c>
      <c r="N599" t="str">
        <f t="shared" si="99"/>
        <v>https://api.bcb.gov.br/dados/serie/bcdata.sgs.20923/dados?formato=json</v>
      </c>
      <c r="O599">
        <v>6</v>
      </c>
      <c r="P599" t="s">
        <v>19</v>
      </c>
      <c r="Q599" t="s">
        <v>19</v>
      </c>
      <c r="R599" t="s">
        <v>916</v>
      </c>
      <c r="S599" t="s">
        <v>621</v>
      </c>
      <c r="T599" t="e">
        <f t="shared" si="104"/>
        <v>#VALUE!</v>
      </c>
      <c r="U599">
        <f t="shared" si="103"/>
        <v>18</v>
      </c>
    </row>
    <row r="600" spans="1:21" x14ac:dyDescent="0.25">
      <c r="A600" s="1"/>
      <c r="B600" s="1">
        <v>20924</v>
      </c>
      <c r="C600" s="2" t="s">
        <v>118</v>
      </c>
      <c r="D600" s="1" t="s">
        <v>413</v>
      </c>
      <c r="E600" s="3" t="s">
        <v>0</v>
      </c>
      <c r="F600" s="4">
        <v>40603</v>
      </c>
      <c r="G600" s="5">
        <v>45597</v>
      </c>
      <c r="H600" s="6" t="s">
        <v>1</v>
      </c>
      <c r="I600" s="1" t="s">
        <v>2</v>
      </c>
      <c r="J600" s="7"/>
      <c r="K600" s="15" t="s">
        <v>417</v>
      </c>
      <c r="L600" t="s">
        <v>471</v>
      </c>
      <c r="M600" t="s">
        <v>15</v>
      </c>
      <c r="N600" t="str">
        <f t="shared" ref="N600:N602" si="105">_xlfn.CONCAT("https://api.bcb.gov.br/dados/serie/bcdata.sgs.",B600,"/dados?formato=json")</f>
        <v>https://api.bcb.gov.br/dados/serie/bcdata.sgs.20924/dados?formato=json</v>
      </c>
      <c r="O600">
        <v>6</v>
      </c>
      <c r="P600" t="s">
        <v>19</v>
      </c>
      <c r="Q600" t="s">
        <v>19</v>
      </c>
      <c r="R600" t="s">
        <v>118</v>
      </c>
      <c r="S600" t="s">
        <v>118</v>
      </c>
    </row>
    <row r="601" spans="1:21" x14ac:dyDescent="0.25">
      <c r="A601" s="8"/>
      <c r="B601" s="8">
        <v>20925</v>
      </c>
      <c r="C601" s="9" t="s">
        <v>119</v>
      </c>
      <c r="D601" s="8" t="s">
        <v>413</v>
      </c>
      <c r="E601" s="10" t="s">
        <v>0</v>
      </c>
      <c r="F601" s="11">
        <v>40603</v>
      </c>
      <c r="G601" s="12">
        <v>45597</v>
      </c>
      <c r="H601" s="13" t="s">
        <v>1</v>
      </c>
      <c r="I601" s="8" t="s">
        <v>2</v>
      </c>
      <c r="J601" s="14"/>
      <c r="K601" s="15" t="s">
        <v>417</v>
      </c>
      <c r="L601" t="s">
        <v>471</v>
      </c>
      <c r="M601" t="s">
        <v>15</v>
      </c>
      <c r="N601" t="str">
        <f t="shared" si="105"/>
        <v>https://api.bcb.gov.br/dados/serie/bcdata.sgs.20925/dados?formato=json</v>
      </c>
      <c r="O601">
        <v>6</v>
      </c>
      <c r="P601" t="s">
        <v>19</v>
      </c>
      <c r="Q601" t="s">
        <v>19</v>
      </c>
      <c r="R601" t="s">
        <v>118</v>
      </c>
      <c r="S601" t="s">
        <v>622</v>
      </c>
    </row>
    <row r="602" spans="1:21" x14ac:dyDescent="0.25">
      <c r="A602" s="1"/>
      <c r="B602" s="1">
        <v>20926</v>
      </c>
      <c r="C602" s="2" t="s">
        <v>120</v>
      </c>
      <c r="D602" s="1" t="s">
        <v>413</v>
      </c>
      <c r="E602" s="3" t="s">
        <v>0</v>
      </c>
      <c r="F602" s="4">
        <v>40603</v>
      </c>
      <c r="G602" s="5">
        <v>45597</v>
      </c>
      <c r="H602" s="6" t="s">
        <v>1</v>
      </c>
      <c r="I602" s="1" t="s">
        <v>2</v>
      </c>
      <c r="J602" s="7"/>
      <c r="K602" s="15" t="s">
        <v>417</v>
      </c>
      <c r="L602" t="s">
        <v>471</v>
      </c>
      <c r="M602" t="s">
        <v>15</v>
      </c>
      <c r="N602" t="str">
        <f t="shared" si="105"/>
        <v>https://api.bcb.gov.br/dados/serie/bcdata.sgs.20926/dados?formato=json</v>
      </c>
      <c r="O602">
        <v>6</v>
      </c>
      <c r="P602" t="s">
        <v>19</v>
      </c>
      <c r="Q602" t="s">
        <v>19</v>
      </c>
      <c r="R602" t="s">
        <v>118</v>
      </c>
      <c r="S602" t="s">
        <v>621</v>
      </c>
    </row>
    <row r="603" spans="1:21" x14ac:dyDescent="0.25">
      <c r="A603" s="1"/>
      <c r="B603" s="1">
        <v>20927</v>
      </c>
      <c r="C603" s="2" t="s">
        <v>118</v>
      </c>
      <c r="D603" s="1" t="s">
        <v>413</v>
      </c>
      <c r="E603" s="3" t="s">
        <v>0</v>
      </c>
      <c r="F603" s="4">
        <v>40603</v>
      </c>
      <c r="G603" s="5">
        <v>45597</v>
      </c>
      <c r="H603" s="6" t="s">
        <v>1</v>
      </c>
      <c r="I603" s="1" t="s">
        <v>2</v>
      </c>
      <c r="J603" s="7"/>
      <c r="K603" s="15" t="s">
        <v>418</v>
      </c>
      <c r="L603" t="s">
        <v>472</v>
      </c>
      <c r="M603" t="s">
        <v>15</v>
      </c>
      <c r="N603" t="str">
        <f t="shared" ref="N603:N649" si="106">_xlfn.CONCAT("https://api.bcb.gov.br/dados/serie/bcdata.sgs.",B603,"/dados?formato=json")</f>
        <v>https://api.bcb.gov.br/dados/serie/bcdata.sgs.20927/dados?formato=json</v>
      </c>
      <c r="O603">
        <v>6</v>
      </c>
      <c r="P603" t="s">
        <v>19</v>
      </c>
      <c r="Q603" t="s">
        <v>19</v>
      </c>
      <c r="R603" t="s">
        <v>118</v>
      </c>
      <c r="S603" t="s">
        <v>118</v>
      </c>
    </row>
    <row r="604" spans="1:21" x14ac:dyDescent="0.25">
      <c r="A604" s="8"/>
      <c r="B604" s="8">
        <v>20928</v>
      </c>
      <c r="C604" s="9" t="s">
        <v>119</v>
      </c>
      <c r="D604" s="8" t="s">
        <v>413</v>
      </c>
      <c r="E604" s="10" t="s">
        <v>0</v>
      </c>
      <c r="F604" s="11">
        <v>40603</v>
      </c>
      <c r="G604" s="12">
        <v>45597</v>
      </c>
      <c r="H604" s="13" t="s">
        <v>1</v>
      </c>
      <c r="I604" s="8" t="s">
        <v>2</v>
      </c>
      <c r="J604" s="14"/>
      <c r="K604" s="15" t="s">
        <v>418</v>
      </c>
      <c r="L604" t="s">
        <v>472</v>
      </c>
      <c r="M604" t="s">
        <v>15</v>
      </c>
      <c r="N604" t="str">
        <f t="shared" si="106"/>
        <v>https://api.bcb.gov.br/dados/serie/bcdata.sgs.20928/dados?formato=json</v>
      </c>
      <c r="O604">
        <v>6</v>
      </c>
      <c r="P604" t="s">
        <v>19</v>
      </c>
      <c r="Q604" t="s">
        <v>19</v>
      </c>
      <c r="R604" t="s">
        <v>118</v>
      </c>
      <c r="S604" t="s">
        <v>622</v>
      </c>
      <c r="T604" t="e">
        <f t="shared" ref="T604" si="107">RIGHT(S604,LEN(S604)-U604)</f>
        <v>#VALUE!</v>
      </c>
      <c r="U604">
        <f t="shared" ref="U604:U629" si="108">LEN("Setor de serviços - ")</f>
        <v>20</v>
      </c>
    </row>
    <row r="605" spans="1:21" x14ac:dyDescent="0.25">
      <c r="A605" s="1"/>
      <c r="B605" s="1">
        <v>20929</v>
      </c>
      <c r="C605" s="2" t="s">
        <v>123</v>
      </c>
      <c r="D605" s="1" t="s">
        <v>413</v>
      </c>
      <c r="E605" s="3" t="s">
        <v>0</v>
      </c>
      <c r="F605" s="4">
        <v>40603</v>
      </c>
      <c r="G605" s="5">
        <v>45597</v>
      </c>
      <c r="H605" s="6" t="s">
        <v>1</v>
      </c>
      <c r="I605" s="1" t="s">
        <v>2</v>
      </c>
      <c r="J605" s="7"/>
      <c r="K605" s="15" t="s">
        <v>418</v>
      </c>
      <c r="L605" t="s">
        <v>472</v>
      </c>
      <c r="M605" t="s">
        <v>15</v>
      </c>
      <c r="N605" t="str">
        <f t="shared" si="106"/>
        <v>https://api.bcb.gov.br/dados/serie/bcdata.sgs.20929/dados?formato=json</v>
      </c>
      <c r="O605">
        <v>6</v>
      </c>
      <c r="P605" t="s">
        <v>19</v>
      </c>
      <c r="Q605" t="s">
        <v>19</v>
      </c>
      <c r="R605" t="s">
        <v>873</v>
      </c>
      <c r="S605" t="s">
        <v>622</v>
      </c>
      <c r="T605" t="e">
        <f t="shared" ref="T605:T628" si="109">RIGHT(S605,LEN(S605)-U605)</f>
        <v>#VALUE!</v>
      </c>
      <c r="U605">
        <f t="shared" si="108"/>
        <v>20</v>
      </c>
    </row>
    <row r="606" spans="1:21" x14ac:dyDescent="0.25">
      <c r="A606" s="8"/>
      <c r="B606" s="8">
        <v>20930</v>
      </c>
      <c r="C606" s="9" t="s">
        <v>124</v>
      </c>
      <c r="D606" s="8" t="s">
        <v>413</v>
      </c>
      <c r="E606" s="10" t="s">
        <v>0</v>
      </c>
      <c r="F606" s="11">
        <v>40603</v>
      </c>
      <c r="G606" s="12">
        <v>45597</v>
      </c>
      <c r="H606" s="13" t="s">
        <v>1</v>
      </c>
      <c r="I606" s="8" t="s">
        <v>2</v>
      </c>
      <c r="J606" s="14"/>
      <c r="K606" s="15" t="s">
        <v>418</v>
      </c>
      <c r="L606" t="s">
        <v>472</v>
      </c>
      <c r="M606" t="s">
        <v>15</v>
      </c>
      <c r="N606" t="str">
        <f t="shared" si="106"/>
        <v>https://api.bcb.gov.br/dados/serie/bcdata.sgs.20930/dados?formato=json</v>
      </c>
      <c r="O606">
        <v>6</v>
      </c>
      <c r="P606" t="s">
        <v>19</v>
      </c>
      <c r="Q606" t="s">
        <v>19</v>
      </c>
      <c r="R606" t="s">
        <v>874</v>
      </c>
      <c r="S606" t="s">
        <v>622</v>
      </c>
      <c r="T606" t="e">
        <f t="shared" si="109"/>
        <v>#VALUE!</v>
      </c>
      <c r="U606">
        <f t="shared" si="108"/>
        <v>20</v>
      </c>
    </row>
    <row r="607" spans="1:21" x14ac:dyDescent="0.25">
      <c r="A607" s="1"/>
      <c r="B607" s="1">
        <v>20931</v>
      </c>
      <c r="C607" s="2" t="s">
        <v>125</v>
      </c>
      <c r="D607" s="1" t="s">
        <v>413</v>
      </c>
      <c r="E607" s="3" t="s">
        <v>0</v>
      </c>
      <c r="F607" s="4">
        <v>40603</v>
      </c>
      <c r="G607" s="5">
        <v>45597</v>
      </c>
      <c r="H607" s="6" t="s">
        <v>1</v>
      </c>
      <c r="I607" s="1" t="s">
        <v>2</v>
      </c>
      <c r="J607" s="7"/>
      <c r="K607" s="15" t="s">
        <v>418</v>
      </c>
      <c r="L607" t="s">
        <v>472</v>
      </c>
      <c r="M607" t="s">
        <v>15</v>
      </c>
      <c r="N607" t="str">
        <f t="shared" si="106"/>
        <v>https://api.bcb.gov.br/dados/serie/bcdata.sgs.20931/dados?formato=json</v>
      </c>
      <c r="O607">
        <v>6</v>
      </c>
      <c r="P607" t="s">
        <v>19</v>
      </c>
      <c r="Q607" t="s">
        <v>19</v>
      </c>
      <c r="R607" t="s">
        <v>875</v>
      </c>
      <c r="S607" t="s">
        <v>622</v>
      </c>
      <c r="T607" t="e">
        <f t="shared" si="109"/>
        <v>#VALUE!</v>
      </c>
      <c r="U607">
        <f t="shared" si="108"/>
        <v>20</v>
      </c>
    </row>
    <row r="608" spans="1:21" x14ac:dyDescent="0.25">
      <c r="A608" s="8"/>
      <c r="B608" s="8">
        <v>20932</v>
      </c>
      <c r="C608" s="9" t="s">
        <v>126</v>
      </c>
      <c r="D608" s="8" t="s">
        <v>413</v>
      </c>
      <c r="E608" s="10" t="s">
        <v>0</v>
      </c>
      <c r="F608" s="11">
        <v>40603</v>
      </c>
      <c r="G608" s="12">
        <v>45597</v>
      </c>
      <c r="H608" s="13" t="s">
        <v>1</v>
      </c>
      <c r="I608" s="8" t="s">
        <v>2</v>
      </c>
      <c r="J608" s="14"/>
      <c r="K608" s="15" t="s">
        <v>418</v>
      </c>
      <c r="L608" t="s">
        <v>472</v>
      </c>
      <c r="M608" t="s">
        <v>15</v>
      </c>
      <c r="N608" t="str">
        <f t="shared" si="106"/>
        <v>https://api.bcb.gov.br/dados/serie/bcdata.sgs.20932/dados?formato=json</v>
      </c>
      <c r="O608">
        <v>6</v>
      </c>
      <c r="P608" t="s">
        <v>19</v>
      </c>
      <c r="Q608" t="s">
        <v>19</v>
      </c>
      <c r="R608" t="s">
        <v>876</v>
      </c>
      <c r="S608" t="s">
        <v>622</v>
      </c>
      <c r="T608" t="e">
        <f t="shared" si="109"/>
        <v>#VALUE!</v>
      </c>
      <c r="U608">
        <f t="shared" si="108"/>
        <v>20</v>
      </c>
    </row>
    <row r="609" spans="1:21" x14ac:dyDescent="0.25">
      <c r="A609" s="1"/>
      <c r="B609" s="1">
        <v>20933</v>
      </c>
      <c r="C609" s="2" t="s">
        <v>127</v>
      </c>
      <c r="D609" s="1" t="s">
        <v>413</v>
      </c>
      <c r="E609" s="3" t="s">
        <v>0</v>
      </c>
      <c r="F609" s="4">
        <v>40603</v>
      </c>
      <c r="G609" s="5">
        <v>45597</v>
      </c>
      <c r="H609" s="6" t="s">
        <v>1</v>
      </c>
      <c r="I609" s="1" t="s">
        <v>2</v>
      </c>
      <c r="J609" s="7"/>
      <c r="K609" s="15" t="s">
        <v>418</v>
      </c>
      <c r="L609" t="s">
        <v>472</v>
      </c>
      <c r="M609" t="s">
        <v>15</v>
      </c>
      <c r="N609" t="str">
        <f t="shared" si="106"/>
        <v>https://api.bcb.gov.br/dados/serie/bcdata.sgs.20933/dados?formato=json</v>
      </c>
      <c r="O609">
        <v>6</v>
      </c>
      <c r="P609" t="s">
        <v>19</v>
      </c>
      <c r="Q609" t="s">
        <v>19</v>
      </c>
      <c r="R609" t="s">
        <v>877</v>
      </c>
      <c r="S609" t="s">
        <v>622</v>
      </c>
      <c r="T609" t="e">
        <f t="shared" si="109"/>
        <v>#VALUE!</v>
      </c>
      <c r="U609">
        <f t="shared" si="108"/>
        <v>20</v>
      </c>
    </row>
    <row r="610" spans="1:21" x14ac:dyDescent="0.25">
      <c r="A610" s="8"/>
      <c r="B610" s="8">
        <v>20934</v>
      </c>
      <c r="C610" s="9" t="s">
        <v>128</v>
      </c>
      <c r="D610" s="8" t="s">
        <v>413</v>
      </c>
      <c r="E610" s="10" t="s">
        <v>0</v>
      </c>
      <c r="F610" s="11">
        <v>40603</v>
      </c>
      <c r="G610" s="12">
        <v>45597</v>
      </c>
      <c r="H610" s="13" t="s">
        <v>1</v>
      </c>
      <c r="I610" s="8" t="s">
        <v>2</v>
      </c>
      <c r="J610" s="14"/>
      <c r="K610" s="15" t="s">
        <v>418</v>
      </c>
      <c r="L610" t="s">
        <v>472</v>
      </c>
      <c r="M610" t="s">
        <v>15</v>
      </c>
      <c r="N610" t="str">
        <f t="shared" si="106"/>
        <v>https://api.bcb.gov.br/dados/serie/bcdata.sgs.20934/dados?formato=json</v>
      </c>
      <c r="O610">
        <v>6</v>
      </c>
      <c r="P610" t="s">
        <v>19</v>
      </c>
      <c r="Q610" t="s">
        <v>19</v>
      </c>
      <c r="R610" t="s">
        <v>878</v>
      </c>
      <c r="S610" t="s">
        <v>622</v>
      </c>
      <c r="T610" t="e">
        <f t="shared" si="109"/>
        <v>#VALUE!</v>
      </c>
      <c r="U610">
        <f t="shared" si="108"/>
        <v>20</v>
      </c>
    </row>
    <row r="611" spans="1:21" x14ac:dyDescent="0.25">
      <c r="A611" s="1"/>
      <c r="B611" s="1">
        <v>20935</v>
      </c>
      <c r="C611" s="2" t="s">
        <v>129</v>
      </c>
      <c r="D611" s="1" t="s">
        <v>413</v>
      </c>
      <c r="E611" s="3" t="s">
        <v>0</v>
      </c>
      <c r="F611" s="4">
        <v>40603</v>
      </c>
      <c r="G611" s="5">
        <v>45597</v>
      </c>
      <c r="H611" s="6" t="s">
        <v>1</v>
      </c>
      <c r="I611" s="1" t="s">
        <v>2</v>
      </c>
      <c r="J611" s="7"/>
      <c r="K611" s="15" t="s">
        <v>418</v>
      </c>
      <c r="L611" t="s">
        <v>472</v>
      </c>
      <c r="M611" t="s">
        <v>15</v>
      </c>
      <c r="N611" t="str">
        <f t="shared" si="106"/>
        <v>https://api.bcb.gov.br/dados/serie/bcdata.sgs.20935/dados?formato=json</v>
      </c>
      <c r="O611">
        <v>6</v>
      </c>
      <c r="P611" t="s">
        <v>19</v>
      </c>
      <c r="Q611" t="s">
        <v>19</v>
      </c>
      <c r="R611" t="s">
        <v>879</v>
      </c>
      <c r="S611" t="s">
        <v>622</v>
      </c>
      <c r="T611" t="e">
        <f t="shared" si="109"/>
        <v>#VALUE!</v>
      </c>
      <c r="U611">
        <f t="shared" si="108"/>
        <v>20</v>
      </c>
    </row>
    <row r="612" spans="1:21" x14ac:dyDescent="0.25">
      <c r="A612" s="8"/>
      <c r="B612" s="8">
        <v>20936</v>
      </c>
      <c r="C612" s="9" t="s">
        <v>130</v>
      </c>
      <c r="D612" s="8" t="s">
        <v>413</v>
      </c>
      <c r="E612" s="10" t="s">
        <v>0</v>
      </c>
      <c r="F612" s="11">
        <v>40603</v>
      </c>
      <c r="G612" s="12">
        <v>45597</v>
      </c>
      <c r="H612" s="13" t="s">
        <v>1</v>
      </c>
      <c r="I612" s="8" t="s">
        <v>2</v>
      </c>
      <c r="J612" s="14"/>
      <c r="K612" s="15" t="s">
        <v>418</v>
      </c>
      <c r="L612" t="s">
        <v>472</v>
      </c>
      <c r="M612" t="s">
        <v>15</v>
      </c>
      <c r="N612" t="str">
        <f t="shared" si="106"/>
        <v>https://api.bcb.gov.br/dados/serie/bcdata.sgs.20936/dados?formato=json</v>
      </c>
      <c r="O612">
        <v>6</v>
      </c>
      <c r="P612" t="s">
        <v>19</v>
      </c>
      <c r="Q612" t="s">
        <v>19</v>
      </c>
      <c r="R612" t="s">
        <v>880</v>
      </c>
      <c r="S612" t="s">
        <v>622</v>
      </c>
      <c r="T612" t="e">
        <f t="shared" si="109"/>
        <v>#VALUE!</v>
      </c>
      <c r="U612">
        <f t="shared" si="108"/>
        <v>20</v>
      </c>
    </row>
    <row r="613" spans="1:21" x14ac:dyDescent="0.25">
      <c r="A613" s="1"/>
      <c r="B613" s="1">
        <v>20937</v>
      </c>
      <c r="C613" s="2" t="s">
        <v>131</v>
      </c>
      <c r="D613" s="1" t="s">
        <v>413</v>
      </c>
      <c r="E613" s="3" t="s">
        <v>0</v>
      </c>
      <c r="F613" s="4">
        <v>40603</v>
      </c>
      <c r="G613" s="5">
        <v>45597</v>
      </c>
      <c r="H613" s="6" t="s">
        <v>1</v>
      </c>
      <c r="I613" s="1" t="s">
        <v>2</v>
      </c>
      <c r="J613" s="7"/>
      <c r="K613" s="15" t="s">
        <v>418</v>
      </c>
      <c r="L613" t="s">
        <v>472</v>
      </c>
      <c r="M613" t="s">
        <v>15</v>
      </c>
      <c r="N613" t="str">
        <f t="shared" si="106"/>
        <v>https://api.bcb.gov.br/dados/serie/bcdata.sgs.20937/dados?formato=json</v>
      </c>
      <c r="O613">
        <v>6</v>
      </c>
      <c r="P613" t="s">
        <v>19</v>
      </c>
      <c r="Q613" t="s">
        <v>19</v>
      </c>
      <c r="R613" t="s">
        <v>881</v>
      </c>
      <c r="S613" t="s">
        <v>622</v>
      </c>
      <c r="T613" t="e">
        <f t="shared" si="109"/>
        <v>#VALUE!</v>
      </c>
      <c r="U613">
        <f t="shared" si="108"/>
        <v>20</v>
      </c>
    </row>
    <row r="614" spans="1:21" x14ac:dyDescent="0.25">
      <c r="A614" s="8"/>
      <c r="B614" s="8">
        <v>20938</v>
      </c>
      <c r="C614" s="9" t="s">
        <v>132</v>
      </c>
      <c r="D614" s="8" t="s">
        <v>413</v>
      </c>
      <c r="E614" s="10" t="s">
        <v>0</v>
      </c>
      <c r="F614" s="11">
        <v>40603</v>
      </c>
      <c r="G614" s="12">
        <v>45597</v>
      </c>
      <c r="H614" s="13" t="s">
        <v>1</v>
      </c>
      <c r="I614" s="8" t="s">
        <v>2</v>
      </c>
      <c r="J614" s="14"/>
      <c r="K614" s="15" t="s">
        <v>418</v>
      </c>
      <c r="L614" t="s">
        <v>472</v>
      </c>
      <c r="M614" t="s">
        <v>15</v>
      </c>
      <c r="N614" t="str">
        <f t="shared" si="106"/>
        <v>https://api.bcb.gov.br/dados/serie/bcdata.sgs.20938/dados?formato=json</v>
      </c>
      <c r="O614">
        <v>6</v>
      </c>
      <c r="P614" t="s">
        <v>19</v>
      </c>
      <c r="Q614" t="s">
        <v>19</v>
      </c>
      <c r="R614" t="s">
        <v>882</v>
      </c>
      <c r="S614" t="s">
        <v>622</v>
      </c>
      <c r="T614" t="e">
        <f t="shared" si="109"/>
        <v>#VALUE!</v>
      </c>
      <c r="U614">
        <f t="shared" si="108"/>
        <v>20</v>
      </c>
    </row>
    <row r="615" spans="1:21" x14ac:dyDescent="0.25">
      <c r="A615" s="1"/>
      <c r="B615" s="1">
        <v>20939</v>
      </c>
      <c r="C615" s="2" t="s">
        <v>133</v>
      </c>
      <c r="D615" s="1" t="s">
        <v>413</v>
      </c>
      <c r="E615" s="3" t="s">
        <v>0</v>
      </c>
      <c r="F615" s="4">
        <v>40603</v>
      </c>
      <c r="G615" s="5">
        <v>45597</v>
      </c>
      <c r="H615" s="6" t="s">
        <v>1</v>
      </c>
      <c r="I615" s="1" t="s">
        <v>2</v>
      </c>
      <c r="J615" s="7"/>
      <c r="K615" s="15" t="s">
        <v>418</v>
      </c>
      <c r="L615" t="s">
        <v>472</v>
      </c>
      <c r="M615" t="s">
        <v>15</v>
      </c>
      <c r="N615" t="str">
        <f t="shared" si="106"/>
        <v>https://api.bcb.gov.br/dados/serie/bcdata.sgs.20939/dados?formato=json</v>
      </c>
      <c r="O615">
        <v>6</v>
      </c>
      <c r="P615" t="s">
        <v>19</v>
      </c>
      <c r="Q615" t="s">
        <v>19</v>
      </c>
      <c r="R615" t="s">
        <v>883</v>
      </c>
      <c r="S615" t="s">
        <v>622</v>
      </c>
      <c r="T615" t="e">
        <f t="shared" si="109"/>
        <v>#VALUE!</v>
      </c>
      <c r="U615">
        <f t="shared" si="108"/>
        <v>20</v>
      </c>
    </row>
    <row r="616" spans="1:21" x14ac:dyDescent="0.25">
      <c r="A616" s="8"/>
      <c r="B616" s="8">
        <v>20940</v>
      </c>
      <c r="C616" s="9" t="s">
        <v>134</v>
      </c>
      <c r="D616" s="8" t="s">
        <v>413</v>
      </c>
      <c r="E616" s="10" t="s">
        <v>0</v>
      </c>
      <c r="F616" s="11">
        <v>40603</v>
      </c>
      <c r="G616" s="12">
        <v>45597</v>
      </c>
      <c r="H616" s="13" t="s">
        <v>1</v>
      </c>
      <c r="I616" s="8" t="s">
        <v>2</v>
      </c>
      <c r="J616" s="14"/>
      <c r="K616" s="15" t="s">
        <v>418</v>
      </c>
      <c r="L616" t="s">
        <v>472</v>
      </c>
      <c r="M616" t="s">
        <v>15</v>
      </c>
      <c r="N616" t="str">
        <f t="shared" si="106"/>
        <v>https://api.bcb.gov.br/dados/serie/bcdata.sgs.20940/dados?formato=json</v>
      </c>
      <c r="O616">
        <v>6</v>
      </c>
      <c r="P616" t="s">
        <v>19</v>
      </c>
      <c r="Q616" t="s">
        <v>19</v>
      </c>
      <c r="R616" t="s">
        <v>884</v>
      </c>
      <c r="S616" t="s">
        <v>622</v>
      </c>
      <c r="T616" t="e">
        <f t="shared" si="109"/>
        <v>#VALUE!</v>
      </c>
      <c r="U616">
        <f t="shared" si="108"/>
        <v>20</v>
      </c>
    </row>
    <row r="617" spans="1:21" x14ac:dyDescent="0.25">
      <c r="A617" s="1"/>
      <c r="B617" s="1">
        <v>20941</v>
      </c>
      <c r="C617" s="2" t="s">
        <v>135</v>
      </c>
      <c r="D617" s="1" t="s">
        <v>413</v>
      </c>
      <c r="E617" s="3" t="s">
        <v>0</v>
      </c>
      <c r="F617" s="4">
        <v>40603</v>
      </c>
      <c r="G617" s="5">
        <v>45597</v>
      </c>
      <c r="H617" s="6" t="s">
        <v>1</v>
      </c>
      <c r="I617" s="1" t="s">
        <v>2</v>
      </c>
      <c r="J617" s="7"/>
      <c r="K617" s="15" t="s">
        <v>418</v>
      </c>
      <c r="L617" t="s">
        <v>472</v>
      </c>
      <c r="M617" t="s">
        <v>15</v>
      </c>
      <c r="N617" t="str">
        <f t="shared" si="106"/>
        <v>https://api.bcb.gov.br/dados/serie/bcdata.sgs.20941/dados?formato=json</v>
      </c>
      <c r="O617">
        <v>6</v>
      </c>
      <c r="P617" t="s">
        <v>19</v>
      </c>
      <c r="Q617" t="s">
        <v>19</v>
      </c>
      <c r="R617" t="s">
        <v>885</v>
      </c>
      <c r="S617" t="s">
        <v>622</v>
      </c>
      <c r="T617" t="e">
        <f t="shared" si="109"/>
        <v>#VALUE!</v>
      </c>
      <c r="U617">
        <f t="shared" si="108"/>
        <v>20</v>
      </c>
    </row>
    <row r="618" spans="1:21" x14ac:dyDescent="0.25">
      <c r="A618" s="8"/>
      <c r="B618" s="8">
        <v>20942</v>
      </c>
      <c r="C618" s="9" t="s">
        <v>136</v>
      </c>
      <c r="D618" s="8" t="s">
        <v>413</v>
      </c>
      <c r="E618" s="10" t="s">
        <v>0</v>
      </c>
      <c r="F618" s="11">
        <v>40603</v>
      </c>
      <c r="G618" s="12">
        <v>45597</v>
      </c>
      <c r="H618" s="13" t="s">
        <v>1</v>
      </c>
      <c r="I618" s="8" t="s">
        <v>2</v>
      </c>
      <c r="J618" s="14"/>
      <c r="K618" s="15" t="s">
        <v>418</v>
      </c>
      <c r="L618" t="s">
        <v>472</v>
      </c>
      <c r="M618" t="s">
        <v>15</v>
      </c>
      <c r="N618" t="str">
        <f t="shared" si="106"/>
        <v>https://api.bcb.gov.br/dados/serie/bcdata.sgs.20942/dados?formato=json</v>
      </c>
      <c r="O618">
        <v>6</v>
      </c>
      <c r="P618" t="s">
        <v>19</v>
      </c>
      <c r="Q618" t="s">
        <v>19</v>
      </c>
      <c r="R618" t="s">
        <v>886</v>
      </c>
      <c r="S618" t="s">
        <v>622</v>
      </c>
      <c r="T618" t="e">
        <f t="shared" si="109"/>
        <v>#VALUE!</v>
      </c>
      <c r="U618">
        <f t="shared" si="108"/>
        <v>20</v>
      </c>
    </row>
    <row r="619" spans="1:21" x14ac:dyDescent="0.25">
      <c r="A619" s="1"/>
      <c r="B619" s="1">
        <v>20943</v>
      </c>
      <c r="C619" s="2" t="s">
        <v>137</v>
      </c>
      <c r="D619" s="1" t="s">
        <v>413</v>
      </c>
      <c r="E619" s="3" t="s">
        <v>0</v>
      </c>
      <c r="F619" s="4">
        <v>40603</v>
      </c>
      <c r="G619" s="5">
        <v>45597</v>
      </c>
      <c r="H619" s="6" t="s">
        <v>1</v>
      </c>
      <c r="I619" s="1" t="s">
        <v>2</v>
      </c>
      <c r="J619" s="7"/>
      <c r="K619" s="15" t="s">
        <v>418</v>
      </c>
      <c r="L619" t="s">
        <v>472</v>
      </c>
      <c r="M619" t="s">
        <v>15</v>
      </c>
      <c r="N619" t="str">
        <f t="shared" si="106"/>
        <v>https://api.bcb.gov.br/dados/serie/bcdata.sgs.20943/dados?formato=json</v>
      </c>
      <c r="O619">
        <v>6</v>
      </c>
      <c r="P619" t="s">
        <v>19</v>
      </c>
      <c r="Q619" t="s">
        <v>19</v>
      </c>
      <c r="R619" t="s">
        <v>887</v>
      </c>
      <c r="S619" t="s">
        <v>622</v>
      </c>
      <c r="T619" t="e">
        <f t="shared" si="109"/>
        <v>#VALUE!</v>
      </c>
      <c r="U619">
        <f t="shared" si="108"/>
        <v>20</v>
      </c>
    </row>
    <row r="620" spans="1:21" x14ac:dyDescent="0.25">
      <c r="A620" s="8"/>
      <c r="B620" s="8">
        <v>20944</v>
      </c>
      <c r="C620" s="9" t="s">
        <v>138</v>
      </c>
      <c r="D620" s="8" t="s">
        <v>413</v>
      </c>
      <c r="E620" s="10" t="s">
        <v>0</v>
      </c>
      <c r="F620" s="11">
        <v>40603</v>
      </c>
      <c r="G620" s="12">
        <v>45597</v>
      </c>
      <c r="H620" s="13" t="s">
        <v>1</v>
      </c>
      <c r="I620" s="8" t="s">
        <v>2</v>
      </c>
      <c r="J620" s="14"/>
      <c r="K620" s="15" t="s">
        <v>418</v>
      </c>
      <c r="L620" t="s">
        <v>472</v>
      </c>
      <c r="M620" t="s">
        <v>15</v>
      </c>
      <c r="N620" t="str">
        <f t="shared" si="106"/>
        <v>https://api.bcb.gov.br/dados/serie/bcdata.sgs.20944/dados?formato=json</v>
      </c>
      <c r="O620">
        <v>6</v>
      </c>
      <c r="P620" t="s">
        <v>19</v>
      </c>
      <c r="Q620" t="s">
        <v>19</v>
      </c>
      <c r="R620" t="s">
        <v>888</v>
      </c>
      <c r="S620" t="s">
        <v>622</v>
      </c>
      <c r="T620" t="e">
        <f t="shared" si="109"/>
        <v>#VALUE!</v>
      </c>
      <c r="U620">
        <f t="shared" si="108"/>
        <v>20</v>
      </c>
    </row>
    <row r="621" spans="1:21" x14ac:dyDescent="0.25">
      <c r="A621" s="1"/>
      <c r="B621" s="1">
        <v>20945</v>
      </c>
      <c r="C621" s="2" t="s">
        <v>139</v>
      </c>
      <c r="D621" s="1" t="s">
        <v>413</v>
      </c>
      <c r="E621" s="3" t="s">
        <v>0</v>
      </c>
      <c r="F621" s="4">
        <v>40603</v>
      </c>
      <c r="G621" s="5">
        <v>45597</v>
      </c>
      <c r="H621" s="6" t="s">
        <v>1</v>
      </c>
      <c r="I621" s="1" t="s">
        <v>2</v>
      </c>
      <c r="J621" s="7"/>
      <c r="K621" s="15" t="s">
        <v>418</v>
      </c>
      <c r="L621" t="s">
        <v>472</v>
      </c>
      <c r="M621" t="s">
        <v>15</v>
      </c>
      <c r="N621" t="str">
        <f t="shared" si="106"/>
        <v>https://api.bcb.gov.br/dados/serie/bcdata.sgs.20945/dados?formato=json</v>
      </c>
      <c r="O621">
        <v>6</v>
      </c>
      <c r="P621" t="s">
        <v>19</v>
      </c>
      <c r="Q621" t="s">
        <v>19</v>
      </c>
      <c r="R621" t="s">
        <v>889</v>
      </c>
      <c r="S621" t="s">
        <v>622</v>
      </c>
      <c r="T621" t="e">
        <f t="shared" si="109"/>
        <v>#VALUE!</v>
      </c>
      <c r="U621">
        <f t="shared" si="108"/>
        <v>20</v>
      </c>
    </row>
    <row r="622" spans="1:21" x14ac:dyDescent="0.25">
      <c r="A622" s="8"/>
      <c r="B622" s="8">
        <v>20946</v>
      </c>
      <c r="C622" s="9" t="s">
        <v>140</v>
      </c>
      <c r="D622" s="8" t="s">
        <v>413</v>
      </c>
      <c r="E622" s="10" t="s">
        <v>0</v>
      </c>
      <c r="F622" s="11">
        <v>40603</v>
      </c>
      <c r="G622" s="12">
        <v>45597</v>
      </c>
      <c r="H622" s="13" t="s">
        <v>1</v>
      </c>
      <c r="I622" s="8" t="s">
        <v>2</v>
      </c>
      <c r="J622" s="14"/>
      <c r="K622" s="15" t="s">
        <v>418</v>
      </c>
      <c r="L622" t="s">
        <v>472</v>
      </c>
      <c r="M622" t="s">
        <v>15</v>
      </c>
      <c r="N622" t="str">
        <f t="shared" si="106"/>
        <v>https://api.bcb.gov.br/dados/serie/bcdata.sgs.20946/dados?formato=json</v>
      </c>
      <c r="O622">
        <v>6</v>
      </c>
      <c r="P622" t="s">
        <v>19</v>
      </c>
      <c r="Q622" t="s">
        <v>19</v>
      </c>
      <c r="R622" t="s">
        <v>890</v>
      </c>
      <c r="S622" t="s">
        <v>622</v>
      </c>
      <c r="T622" t="e">
        <f t="shared" si="109"/>
        <v>#VALUE!</v>
      </c>
      <c r="U622">
        <f t="shared" si="108"/>
        <v>20</v>
      </c>
    </row>
    <row r="623" spans="1:21" x14ac:dyDescent="0.25">
      <c r="A623" s="1"/>
      <c r="B623" s="1">
        <v>20947</v>
      </c>
      <c r="C623" s="2" t="s">
        <v>141</v>
      </c>
      <c r="D623" s="1" t="s">
        <v>413</v>
      </c>
      <c r="E623" s="3" t="s">
        <v>0</v>
      </c>
      <c r="F623" s="4">
        <v>40603</v>
      </c>
      <c r="G623" s="5">
        <v>45597</v>
      </c>
      <c r="H623" s="6" t="s">
        <v>1</v>
      </c>
      <c r="I623" s="1" t="s">
        <v>2</v>
      </c>
      <c r="J623" s="7"/>
      <c r="K623" s="15" t="s">
        <v>418</v>
      </c>
      <c r="L623" t="s">
        <v>472</v>
      </c>
      <c r="M623" t="s">
        <v>15</v>
      </c>
      <c r="N623" t="str">
        <f t="shared" si="106"/>
        <v>https://api.bcb.gov.br/dados/serie/bcdata.sgs.20947/dados?formato=json</v>
      </c>
      <c r="O623">
        <v>6</v>
      </c>
      <c r="P623" t="s">
        <v>19</v>
      </c>
      <c r="Q623" t="s">
        <v>19</v>
      </c>
      <c r="R623" t="s">
        <v>891</v>
      </c>
      <c r="S623" t="s">
        <v>622</v>
      </c>
      <c r="T623" t="e">
        <f t="shared" si="109"/>
        <v>#VALUE!</v>
      </c>
      <c r="U623">
        <f t="shared" si="108"/>
        <v>20</v>
      </c>
    </row>
    <row r="624" spans="1:21" x14ac:dyDescent="0.25">
      <c r="A624" s="8"/>
      <c r="B624" s="8">
        <v>20948</v>
      </c>
      <c r="C624" s="9" t="s">
        <v>143</v>
      </c>
      <c r="D624" s="8" t="s">
        <v>413</v>
      </c>
      <c r="E624" s="10" t="s">
        <v>0</v>
      </c>
      <c r="F624" s="11">
        <v>40603</v>
      </c>
      <c r="G624" s="12">
        <v>45597</v>
      </c>
      <c r="H624" s="13" t="s">
        <v>1</v>
      </c>
      <c r="I624" s="8" t="s">
        <v>2</v>
      </c>
      <c r="J624" s="14"/>
      <c r="K624" s="15" t="s">
        <v>418</v>
      </c>
      <c r="L624" t="s">
        <v>472</v>
      </c>
      <c r="M624" t="s">
        <v>15</v>
      </c>
      <c r="N624" t="str">
        <f t="shared" si="106"/>
        <v>https://api.bcb.gov.br/dados/serie/bcdata.sgs.20948/dados?formato=json</v>
      </c>
      <c r="O624">
        <v>6</v>
      </c>
      <c r="P624" t="s">
        <v>19</v>
      </c>
      <c r="Q624" t="s">
        <v>19</v>
      </c>
      <c r="R624" t="s">
        <v>893</v>
      </c>
      <c r="S624" t="s">
        <v>622</v>
      </c>
      <c r="T624" t="e">
        <f t="shared" si="109"/>
        <v>#VALUE!</v>
      </c>
      <c r="U624">
        <f t="shared" si="108"/>
        <v>20</v>
      </c>
    </row>
    <row r="625" spans="1:21" x14ac:dyDescent="0.25">
      <c r="A625" s="1"/>
      <c r="B625" s="1">
        <v>20949</v>
      </c>
      <c r="C625" s="2" t="s">
        <v>144</v>
      </c>
      <c r="D625" s="1" t="s">
        <v>413</v>
      </c>
      <c r="E625" s="3" t="s">
        <v>0</v>
      </c>
      <c r="F625" s="4">
        <v>40603</v>
      </c>
      <c r="G625" s="5">
        <v>45597</v>
      </c>
      <c r="H625" s="6" t="s">
        <v>1</v>
      </c>
      <c r="I625" s="1" t="s">
        <v>2</v>
      </c>
      <c r="J625" s="7"/>
      <c r="K625" s="15" t="s">
        <v>418</v>
      </c>
      <c r="L625" t="s">
        <v>472</v>
      </c>
      <c r="M625" t="s">
        <v>15</v>
      </c>
      <c r="N625" t="str">
        <f t="shared" si="106"/>
        <v>https://api.bcb.gov.br/dados/serie/bcdata.sgs.20949/dados?formato=json</v>
      </c>
      <c r="O625">
        <v>6</v>
      </c>
      <c r="P625" t="s">
        <v>19</v>
      </c>
      <c r="Q625" t="s">
        <v>19</v>
      </c>
      <c r="R625" t="s">
        <v>894</v>
      </c>
      <c r="S625" t="s">
        <v>622</v>
      </c>
      <c r="T625" t="e">
        <f t="shared" si="109"/>
        <v>#VALUE!</v>
      </c>
      <c r="U625">
        <f t="shared" si="108"/>
        <v>20</v>
      </c>
    </row>
    <row r="626" spans="1:21" x14ac:dyDescent="0.25">
      <c r="A626" s="8"/>
      <c r="B626" s="8">
        <v>20950</v>
      </c>
      <c r="C626" s="9" t="s">
        <v>145</v>
      </c>
      <c r="D626" s="8" t="s">
        <v>413</v>
      </c>
      <c r="E626" s="10" t="s">
        <v>0</v>
      </c>
      <c r="F626" s="11">
        <v>40603</v>
      </c>
      <c r="G626" s="12">
        <v>45597</v>
      </c>
      <c r="H626" s="13" t="s">
        <v>1</v>
      </c>
      <c r="I626" s="8" t="s">
        <v>2</v>
      </c>
      <c r="J626" s="14"/>
      <c r="K626" s="15" t="s">
        <v>418</v>
      </c>
      <c r="L626" t="s">
        <v>472</v>
      </c>
      <c r="M626" t="s">
        <v>15</v>
      </c>
      <c r="N626" t="str">
        <f t="shared" si="106"/>
        <v>https://api.bcb.gov.br/dados/serie/bcdata.sgs.20950/dados?formato=json</v>
      </c>
      <c r="O626">
        <v>6</v>
      </c>
      <c r="P626" t="s">
        <v>19</v>
      </c>
      <c r="Q626" t="s">
        <v>19</v>
      </c>
      <c r="R626" t="s">
        <v>895</v>
      </c>
      <c r="S626" t="s">
        <v>622</v>
      </c>
      <c r="T626" t="e">
        <f t="shared" si="109"/>
        <v>#VALUE!</v>
      </c>
      <c r="U626">
        <f t="shared" si="108"/>
        <v>20</v>
      </c>
    </row>
    <row r="627" spans="1:21" x14ac:dyDescent="0.25">
      <c r="A627" s="1"/>
      <c r="B627" s="1">
        <v>20951</v>
      </c>
      <c r="C627" s="2" t="s">
        <v>146</v>
      </c>
      <c r="D627" s="1" t="s">
        <v>413</v>
      </c>
      <c r="E627" s="3" t="s">
        <v>0</v>
      </c>
      <c r="F627" s="4">
        <v>40603</v>
      </c>
      <c r="G627" s="5">
        <v>45597</v>
      </c>
      <c r="H627" s="6" t="s">
        <v>1</v>
      </c>
      <c r="I627" s="1" t="s">
        <v>2</v>
      </c>
      <c r="J627" s="7"/>
      <c r="K627" s="15" t="s">
        <v>418</v>
      </c>
      <c r="L627" t="s">
        <v>472</v>
      </c>
      <c r="M627" t="s">
        <v>15</v>
      </c>
      <c r="N627" t="str">
        <f t="shared" si="106"/>
        <v>https://api.bcb.gov.br/dados/serie/bcdata.sgs.20951/dados?formato=json</v>
      </c>
      <c r="O627">
        <v>6</v>
      </c>
      <c r="P627" t="s">
        <v>19</v>
      </c>
      <c r="Q627" t="s">
        <v>19</v>
      </c>
      <c r="R627" t="s">
        <v>896</v>
      </c>
      <c r="S627" t="s">
        <v>622</v>
      </c>
      <c r="T627" t="e">
        <f t="shared" si="109"/>
        <v>#VALUE!</v>
      </c>
      <c r="U627">
        <f t="shared" si="108"/>
        <v>20</v>
      </c>
    </row>
    <row r="628" spans="1:21" x14ac:dyDescent="0.25">
      <c r="A628" s="8"/>
      <c r="B628" s="8">
        <v>20952</v>
      </c>
      <c r="C628" s="9" t="s">
        <v>147</v>
      </c>
      <c r="D628" s="8" t="s">
        <v>413</v>
      </c>
      <c r="E628" s="10" t="s">
        <v>0</v>
      </c>
      <c r="F628" s="11">
        <v>40603</v>
      </c>
      <c r="G628" s="12">
        <v>45597</v>
      </c>
      <c r="H628" s="13" t="s">
        <v>1</v>
      </c>
      <c r="I628" s="8" t="s">
        <v>2</v>
      </c>
      <c r="J628" s="14"/>
      <c r="K628" s="15" t="s">
        <v>418</v>
      </c>
      <c r="L628" t="s">
        <v>472</v>
      </c>
      <c r="M628" t="s">
        <v>15</v>
      </c>
      <c r="N628" t="str">
        <f t="shared" si="106"/>
        <v>https://api.bcb.gov.br/dados/serie/bcdata.sgs.20952/dados?formato=json</v>
      </c>
      <c r="O628">
        <v>6</v>
      </c>
      <c r="P628" t="s">
        <v>19</v>
      </c>
      <c r="Q628" t="s">
        <v>19</v>
      </c>
      <c r="R628" t="s">
        <v>897</v>
      </c>
      <c r="S628" t="s">
        <v>622</v>
      </c>
      <c r="T628" t="e">
        <f t="shared" si="109"/>
        <v>#VALUE!</v>
      </c>
      <c r="U628">
        <f t="shared" si="108"/>
        <v>20</v>
      </c>
    </row>
    <row r="629" spans="1:21" x14ac:dyDescent="0.25">
      <c r="A629" s="1"/>
      <c r="B629" s="1">
        <v>20953</v>
      </c>
      <c r="C629" s="2" t="s">
        <v>148</v>
      </c>
      <c r="D629" s="1" t="s">
        <v>413</v>
      </c>
      <c r="E629" s="3" t="s">
        <v>0</v>
      </c>
      <c r="F629" s="4">
        <v>40603</v>
      </c>
      <c r="G629" s="5">
        <v>45597</v>
      </c>
      <c r="H629" s="6" t="s">
        <v>1</v>
      </c>
      <c r="I629" s="1" t="s">
        <v>2</v>
      </c>
      <c r="J629" s="7"/>
      <c r="K629" s="15" t="s">
        <v>418</v>
      </c>
      <c r="L629" t="s">
        <v>472</v>
      </c>
      <c r="M629" t="s">
        <v>15</v>
      </c>
      <c r="N629" t="str">
        <f t="shared" si="106"/>
        <v>https://api.bcb.gov.br/dados/serie/bcdata.sgs.20953/dados?formato=json</v>
      </c>
      <c r="O629">
        <v>6</v>
      </c>
      <c r="P629" t="s">
        <v>19</v>
      </c>
      <c r="Q629" t="s">
        <v>19</v>
      </c>
      <c r="R629" t="s">
        <v>898</v>
      </c>
      <c r="S629" t="s">
        <v>622</v>
      </c>
      <c r="T629" t="e">
        <f t="shared" ref="T629:T630" si="110">RIGHT(S629,LEN(S629)-U629)</f>
        <v>#VALUE!</v>
      </c>
      <c r="U629">
        <f t="shared" si="108"/>
        <v>20</v>
      </c>
    </row>
    <row r="630" spans="1:21" x14ac:dyDescent="0.25">
      <c r="A630" s="8"/>
      <c r="B630" s="8">
        <v>20954</v>
      </c>
      <c r="C630" s="9" t="s">
        <v>120</v>
      </c>
      <c r="D630" s="8" t="s">
        <v>413</v>
      </c>
      <c r="E630" s="10" t="s">
        <v>0</v>
      </c>
      <c r="F630" s="11">
        <v>40603</v>
      </c>
      <c r="G630" s="12">
        <v>45597</v>
      </c>
      <c r="H630" s="13" t="s">
        <v>1</v>
      </c>
      <c r="I630" s="8" t="s">
        <v>2</v>
      </c>
      <c r="J630" s="14"/>
      <c r="K630" s="15" t="s">
        <v>418</v>
      </c>
      <c r="L630" t="s">
        <v>472</v>
      </c>
      <c r="M630" t="s">
        <v>15</v>
      </c>
      <c r="N630" t="str">
        <f t="shared" si="106"/>
        <v>https://api.bcb.gov.br/dados/serie/bcdata.sgs.20954/dados?formato=json</v>
      </c>
      <c r="O630">
        <v>6</v>
      </c>
      <c r="P630" t="s">
        <v>19</v>
      </c>
      <c r="Q630" t="s">
        <v>19</v>
      </c>
      <c r="R630" t="s">
        <v>118</v>
      </c>
      <c r="S630" t="s">
        <v>621</v>
      </c>
      <c r="T630" t="e">
        <f t="shared" si="110"/>
        <v>#VALUE!</v>
      </c>
      <c r="U630">
        <f t="shared" ref="U630:U649" si="111">LEN("Pessoas físicas - ")</f>
        <v>18</v>
      </c>
    </row>
    <row r="631" spans="1:21" x14ac:dyDescent="0.25">
      <c r="A631" s="1"/>
      <c r="B631" s="1">
        <v>20955</v>
      </c>
      <c r="C631" s="2" t="s">
        <v>151</v>
      </c>
      <c r="D631" s="1" t="s">
        <v>413</v>
      </c>
      <c r="E631" s="3" t="s">
        <v>0</v>
      </c>
      <c r="F631" s="4">
        <v>40603</v>
      </c>
      <c r="G631" s="5">
        <v>45597</v>
      </c>
      <c r="H631" s="6" t="s">
        <v>1</v>
      </c>
      <c r="I631" s="1" t="s">
        <v>2</v>
      </c>
      <c r="J631" s="7"/>
      <c r="K631" s="15" t="s">
        <v>418</v>
      </c>
      <c r="L631" t="s">
        <v>472</v>
      </c>
      <c r="M631" t="s">
        <v>15</v>
      </c>
      <c r="N631" t="str">
        <f t="shared" si="106"/>
        <v>https://api.bcb.gov.br/dados/serie/bcdata.sgs.20955/dados?formato=json</v>
      </c>
      <c r="O631">
        <v>6</v>
      </c>
      <c r="P631" t="s">
        <v>19</v>
      </c>
      <c r="Q631" t="s">
        <v>19</v>
      </c>
      <c r="R631" t="s">
        <v>881</v>
      </c>
      <c r="S631" t="s">
        <v>621</v>
      </c>
      <c r="T631" t="e">
        <f t="shared" ref="T631:T649" si="112">RIGHT(S631,LEN(S631)-U631)</f>
        <v>#VALUE!</v>
      </c>
      <c r="U631">
        <f t="shared" si="111"/>
        <v>18</v>
      </c>
    </row>
    <row r="632" spans="1:21" x14ac:dyDescent="0.25">
      <c r="A632" s="8"/>
      <c r="B632" s="8">
        <v>20956</v>
      </c>
      <c r="C632" s="9" t="s">
        <v>152</v>
      </c>
      <c r="D632" s="8" t="s">
        <v>413</v>
      </c>
      <c r="E632" s="10" t="s">
        <v>0</v>
      </c>
      <c r="F632" s="11">
        <v>40603</v>
      </c>
      <c r="G632" s="12">
        <v>45597</v>
      </c>
      <c r="H632" s="13" t="s">
        <v>1</v>
      </c>
      <c r="I632" s="8" t="s">
        <v>2</v>
      </c>
      <c r="J632" s="14"/>
      <c r="K632" s="15" t="s">
        <v>418</v>
      </c>
      <c r="L632" t="s">
        <v>472</v>
      </c>
      <c r="M632" t="s">
        <v>15</v>
      </c>
      <c r="N632" t="str">
        <f t="shared" si="106"/>
        <v>https://api.bcb.gov.br/dados/serie/bcdata.sgs.20956/dados?formato=json</v>
      </c>
      <c r="O632">
        <v>6</v>
      </c>
      <c r="P632" t="s">
        <v>19</v>
      </c>
      <c r="Q632" t="s">
        <v>19</v>
      </c>
      <c r="R632" t="s">
        <v>899</v>
      </c>
      <c r="S632" t="s">
        <v>621</v>
      </c>
      <c r="T632" t="e">
        <f t="shared" si="112"/>
        <v>#VALUE!</v>
      </c>
      <c r="U632">
        <f t="shared" si="111"/>
        <v>18</v>
      </c>
    </row>
    <row r="633" spans="1:21" x14ac:dyDescent="0.25">
      <c r="A633" s="1"/>
      <c r="B633" s="1">
        <v>20957</v>
      </c>
      <c r="C633" s="2" t="s">
        <v>153</v>
      </c>
      <c r="D633" s="1" t="s">
        <v>413</v>
      </c>
      <c r="E633" s="3" t="s">
        <v>0</v>
      </c>
      <c r="F633" s="4">
        <v>40603</v>
      </c>
      <c r="G633" s="5">
        <v>45597</v>
      </c>
      <c r="H633" s="6" t="s">
        <v>1</v>
      </c>
      <c r="I633" s="1" t="s">
        <v>2</v>
      </c>
      <c r="J633" s="7"/>
      <c r="K633" s="15" t="s">
        <v>418</v>
      </c>
      <c r="L633" t="s">
        <v>472</v>
      </c>
      <c r="M633" t="s">
        <v>15</v>
      </c>
      <c r="N633" t="str">
        <f t="shared" si="106"/>
        <v>https://api.bcb.gov.br/dados/serie/bcdata.sgs.20957/dados?formato=json</v>
      </c>
      <c r="O633">
        <v>6</v>
      </c>
      <c r="P633" t="s">
        <v>19</v>
      </c>
      <c r="Q633" t="s">
        <v>19</v>
      </c>
      <c r="R633" t="s">
        <v>900</v>
      </c>
      <c r="S633" t="s">
        <v>621</v>
      </c>
      <c r="T633" t="e">
        <f t="shared" si="112"/>
        <v>#VALUE!</v>
      </c>
      <c r="U633">
        <f t="shared" si="111"/>
        <v>18</v>
      </c>
    </row>
    <row r="634" spans="1:21" x14ac:dyDescent="0.25">
      <c r="A634" s="8"/>
      <c r="B634" s="8">
        <v>20958</v>
      </c>
      <c r="C634" s="9" t="s">
        <v>154</v>
      </c>
      <c r="D634" s="8" t="s">
        <v>413</v>
      </c>
      <c r="E634" s="10" t="s">
        <v>0</v>
      </c>
      <c r="F634" s="11">
        <v>40603</v>
      </c>
      <c r="G634" s="12">
        <v>45597</v>
      </c>
      <c r="H634" s="13" t="s">
        <v>1</v>
      </c>
      <c r="I634" s="8" t="s">
        <v>2</v>
      </c>
      <c r="J634" s="14"/>
      <c r="K634" s="15" t="s">
        <v>418</v>
      </c>
      <c r="L634" t="s">
        <v>472</v>
      </c>
      <c r="M634" t="s">
        <v>15</v>
      </c>
      <c r="N634" t="str">
        <f t="shared" si="106"/>
        <v>https://api.bcb.gov.br/dados/serie/bcdata.sgs.20958/dados?formato=json</v>
      </c>
      <c r="O634">
        <v>6</v>
      </c>
      <c r="P634" t="s">
        <v>19</v>
      </c>
      <c r="Q634" t="s">
        <v>19</v>
      </c>
      <c r="R634" t="s">
        <v>901</v>
      </c>
      <c r="S634" t="s">
        <v>621</v>
      </c>
      <c r="T634" t="e">
        <f t="shared" si="112"/>
        <v>#VALUE!</v>
      </c>
      <c r="U634">
        <f t="shared" si="111"/>
        <v>18</v>
      </c>
    </row>
    <row r="635" spans="1:21" x14ac:dyDescent="0.25">
      <c r="A635" s="1"/>
      <c r="B635" s="1">
        <v>20959</v>
      </c>
      <c r="C635" s="2" t="s">
        <v>155</v>
      </c>
      <c r="D635" s="1" t="s">
        <v>413</v>
      </c>
      <c r="E635" s="3" t="s">
        <v>0</v>
      </c>
      <c r="F635" s="4">
        <v>40603</v>
      </c>
      <c r="G635" s="5">
        <v>45597</v>
      </c>
      <c r="H635" s="6" t="s">
        <v>1</v>
      </c>
      <c r="I635" s="1" t="s">
        <v>2</v>
      </c>
      <c r="J635" s="7"/>
      <c r="K635" s="15" t="s">
        <v>418</v>
      </c>
      <c r="L635" t="s">
        <v>472</v>
      </c>
      <c r="M635" t="s">
        <v>15</v>
      </c>
      <c r="N635" t="str">
        <f t="shared" si="106"/>
        <v>https://api.bcb.gov.br/dados/serie/bcdata.sgs.20959/dados?formato=json</v>
      </c>
      <c r="O635">
        <v>6</v>
      </c>
      <c r="P635" t="s">
        <v>19</v>
      </c>
      <c r="Q635" t="s">
        <v>19</v>
      </c>
      <c r="R635" t="s">
        <v>902</v>
      </c>
      <c r="S635" t="s">
        <v>621</v>
      </c>
      <c r="T635" t="e">
        <f t="shared" si="112"/>
        <v>#VALUE!</v>
      </c>
      <c r="U635">
        <f t="shared" si="111"/>
        <v>18</v>
      </c>
    </row>
    <row r="636" spans="1:21" x14ac:dyDescent="0.25">
      <c r="A636" s="8"/>
      <c r="B636" s="8">
        <v>20960</v>
      </c>
      <c r="C636" s="9" t="s">
        <v>156</v>
      </c>
      <c r="D636" s="8" t="s">
        <v>413</v>
      </c>
      <c r="E636" s="10" t="s">
        <v>0</v>
      </c>
      <c r="F636" s="11">
        <v>40603</v>
      </c>
      <c r="G636" s="12">
        <v>45597</v>
      </c>
      <c r="H636" s="13" t="s">
        <v>1</v>
      </c>
      <c r="I636" s="8" t="s">
        <v>2</v>
      </c>
      <c r="J636" s="14"/>
      <c r="K636" s="15" t="s">
        <v>418</v>
      </c>
      <c r="L636" t="s">
        <v>472</v>
      </c>
      <c r="M636" t="s">
        <v>15</v>
      </c>
      <c r="N636" t="str">
        <f t="shared" si="106"/>
        <v>https://api.bcb.gov.br/dados/serie/bcdata.sgs.20960/dados?formato=json</v>
      </c>
      <c r="O636">
        <v>6</v>
      </c>
      <c r="P636" t="s">
        <v>19</v>
      </c>
      <c r="Q636" t="s">
        <v>19</v>
      </c>
      <c r="R636" t="s">
        <v>903</v>
      </c>
      <c r="S636" t="s">
        <v>621</v>
      </c>
      <c r="T636" t="e">
        <f t="shared" si="112"/>
        <v>#VALUE!</v>
      </c>
      <c r="U636">
        <f t="shared" si="111"/>
        <v>18</v>
      </c>
    </row>
    <row r="637" spans="1:21" x14ac:dyDescent="0.25">
      <c r="A637" s="1"/>
      <c r="B637" s="1">
        <v>20961</v>
      </c>
      <c r="C637" s="2" t="s">
        <v>157</v>
      </c>
      <c r="D637" s="1" t="s">
        <v>413</v>
      </c>
      <c r="E637" s="3" t="s">
        <v>0</v>
      </c>
      <c r="F637" s="4">
        <v>40603</v>
      </c>
      <c r="G637" s="5">
        <v>45597</v>
      </c>
      <c r="H637" s="6" t="s">
        <v>1</v>
      </c>
      <c r="I637" s="1" t="s">
        <v>2</v>
      </c>
      <c r="J637" s="7"/>
      <c r="K637" s="15" t="s">
        <v>418</v>
      </c>
      <c r="L637" t="s">
        <v>472</v>
      </c>
      <c r="M637" t="s">
        <v>15</v>
      </c>
      <c r="N637" t="str">
        <f t="shared" si="106"/>
        <v>https://api.bcb.gov.br/dados/serie/bcdata.sgs.20961/dados?formato=json</v>
      </c>
      <c r="O637">
        <v>6</v>
      </c>
      <c r="P637" t="s">
        <v>19</v>
      </c>
      <c r="Q637" t="s">
        <v>19</v>
      </c>
      <c r="R637" t="s">
        <v>904</v>
      </c>
      <c r="S637" t="s">
        <v>621</v>
      </c>
      <c r="T637" t="e">
        <f t="shared" si="112"/>
        <v>#VALUE!</v>
      </c>
      <c r="U637">
        <f t="shared" si="111"/>
        <v>18</v>
      </c>
    </row>
    <row r="638" spans="1:21" x14ac:dyDescent="0.25">
      <c r="A638" s="8"/>
      <c r="B638" s="8">
        <v>20962</v>
      </c>
      <c r="C638" s="9" t="s">
        <v>158</v>
      </c>
      <c r="D638" s="8" t="s">
        <v>413</v>
      </c>
      <c r="E638" s="10" t="s">
        <v>0</v>
      </c>
      <c r="F638" s="11">
        <v>40603</v>
      </c>
      <c r="G638" s="12">
        <v>45597</v>
      </c>
      <c r="H638" s="13" t="s">
        <v>1</v>
      </c>
      <c r="I638" s="8" t="s">
        <v>2</v>
      </c>
      <c r="J638" s="14"/>
      <c r="K638" s="15" t="s">
        <v>418</v>
      </c>
      <c r="L638" t="s">
        <v>472</v>
      </c>
      <c r="M638" t="s">
        <v>15</v>
      </c>
      <c r="N638" t="str">
        <f t="shared" si="106"/>
        <v>https://api.bcb.gov.br/dados/serie/bcdata.sgs.20962/dados?formato=json</v>
      </c>
      <c r="O638">
        <v>6</v>
      </c>
      <c r="P638" t="s">
        <v>19</v>
      </c>
      <c r="Q638" t="s">
        <v>19</v>
      </c>
      <c r="R638" t="s">
        <v>905</v>
      </c>
      <c r="S638" t="s">
        <v>621</v>
      </c>
      <c r="T638" t="e">
        <f t="shared" si="112"/>
        <v>#VALUE!</v>
      </c>
      <c r="U638">
        <f t="shared" si="111"/>
        <v>18</v>
      </c>
    </row>
    <row r="639" spans="1:21" x14ac:dyDescent="0.25">
      <c r="A639" s="1"/>
      <c r="B639" s="1">
        <v>20963</v>
      </c>
      <c r="C639" s="2" t="s">
        <v>159</v>
      </c>
      <c r="D639" s="1" t="s">
        <v>413</v>
      </c>
      <c r="E639" s="3" t="s">
        <v>0</v>
      </c>
      <c r="F639" s="4">
        <v>40603</v>
      </c>
      <c r="G639" s="5">
        <v>45597</v>
      </c>
      <c r="H639" s="6" t="s">
        <v>1</v>
      </c>
      <c r="I639" s="1" t="s">
        <v>2</v>
      </c>
      <c r="J639" s="7"/>
      <c r="K639" s="15" t="s">
        <v>418</v>
      </c>
      <c r="L639" t="s">
        <v>472</v>
      </c>
      <c r="M639" t="s">
        <v>15</v>
      </c>
      <c r="N639" t="str">
        <f t="shared" si="106"/>
        <v>https://api.bcb.gov.br/dados/serie/bcdata.sgs.20963/dados?formato=json</v>
      </c>
      <c r="O639">
        <v>6</v>
      </c>
      <c r="P639" t="s">
        <v>19</v>
      </c>
      <c r="Q639" t="s">
        <v>19</v>
      </c>
      <c r="R639" t="s">
        <v>882</v>
      </c>
      <c r="S639" t="s">
        <v>621</v>
      </c>
      <c r="T639" t="e">
        <f t="shared" si="112"/>
        <v>#VALUE!</v>
      </c>
      <c r="U639">
        <f t="shared" si="111"/>
        <v>18</v>
      </c>
    </row>
    <row r="640" spans="1:21" x14ac:dyDescent="0.25">
      <c r="A640" s="8"/>
      <c r="B640" s="8">
        <v>20964</v>
      </c>
      <c r="C640" s="9" t="s">
        <v>160</v>
      </c>
      <c r="D640" s="8" t="s">
        <v>413</v>
      </c>
      <c r="E640" s="10" t="s">
        <v>0</v>
      </c>
      <c r="F640" s="11">
        <v>40603</v>
      </c>
      <c r="G640" s="12">
        <v>45597</v>
      </c>
      <c r="H640" s="13" t="s">
        <v>1</v>
      </c>
      <c r="I640" s="8" t="s">
        <v>2</v>
      </c>
      <c r="J640" s="14"/>
      <c r="K640" s="15" t="s">
        <v>418</v>
      </c>
      <c r="L640" t="s">
        <v>472</v>
      </c>
      <c r="M640" t="s">
        <v>15</v>
      </c>
      <c r="N640" t="str">
        <f t="shared" si="106"/>
        <v>https://api.bcb.gov.br/dados/serie/bcdata.sgs.20964/dados?formato=json</v>
      </c>
      <c r="O640">
        <v>6</v>
      </c>
      <c r="P640" t="s">
        <v>19</v>
      </c>
      <c r="Q640" t="s">
        <v>19</v>
      </c>
      <c r="R640" t="s">
        <v>883</v>
      </c>
      <c r="S640" t="s">
        <v>621</v>
      </c>
      <c r="T640" t="e">
        <f t="shared" si="112"/>
        <v>#VALUE!</v>
      </c>
      <c r="U640">
        <f t="shared" si="111"/>
        <v>18</v>
      </c>
    </row>
    <row r="641" spans="1:21" x14ac:dyDescent="0.25">
      <c r="A641" s="1"/>
      <c r="B641" s="1">
        <v>20965</v>
      </c>
      <c r="C641" s="2" t="s">
        <v>161</v>
      </c>
      <c r="D641" s="1" t="s">
        <v>413</v>
      </c>
      <c r="E641" s="3" t="s">
        <v>0</v>
      </c>
      <c r="F641" s="4">
        <v>40603</v>
      </c>
      <c r="G641" s="5">
        <v>45597</v>
      </c>
      <c r="H641" s="6" t="s">
        <v>1</v>
      </c>
      <c r="I641" s="1" t="s">
        <v>2</v>
      </c>
      <c r="J641" s="7"/>
      <c r="K641" s="15" t="s">
        <v>418</v>
      </c>
      <c r="L641" t="s">
        <v>472</v>
      </c>
      <c r="M641" t="s">
        <v>15</v>
      </c>
      <c r="N641" t="str">
        <f t="shared" si="106"/>
        <v>https://api.bcb.gov.br/dados/serie/bcdata.sgs.20965/dados?formato=json</v>
      </c>
      <c r="O641">
        <v>6</v>
      </c>
      <c r="P641" t="s">
        <v>19</v>
      </c>
      <c r="Q641" t="s">
        <v>19</v>
      </c>
      <c r="R641" t="s">
        <v>884</v>
      </c>
      <c r="S641" t="s">
        <v>621</v>
      </c>
      <c r="T641" t="e">
        <f t="shared" si="112"/>
        <v>#VALUE!</v>
      </c>
      <c r="U641">
        <f t="shared" si="111"/>
        <v>18</v>
      </c>
    </row>
    <row r="642" spans="1:21" x14ac:dyDescent="0.25">
      <c r="A642" s="8"/>
      <c r="B642" s="8">
        <v>20966</v>
      </c>
      <c r="C642" s="9" t="s">
        <v>162</v>
      </c>
      <c r="D642" s="8" t="s">
        <v>413</v>
      </c>
      <c r="E642" s="10" t="s">
        <v>0</v>
      </c>
      <c r="F642" s="11">
        <v>40603</v>
      </c>
      <c r="G642" s="12">
        <v>45597</v>
      </c>
      <c r="H642" s="13" t="s">
        <v>1</v>
      </c>
      <c r="I642" s="8" t="s">
        <v>2</v>
      </c>
      <c r="J642" s="14"/>
      <c r="K642" s="15" t="s">
        <v>418</v>
      </c>
      <c r="L642" t="s">
        <v>472</v>
      </c>
      <c r="M642" t="s">
        <v>15</v>
      </c>
      <c r="N642" t="str">
        <f t="shared" si="106"/>
        <v>https://api.bcb.gov.br/dados/serie/bcdata.sgs.20966/dados?formato=json</v>
      </c>
      <c r="O642">
        <v>6</v>
      </c>
      <c r="P642" t="s">
        <v>19</v>
      </c>
      <c r="Q642" t="s">
        <v>19</v>
      </c>
      <c r="R642" t="s">
        <v>885</v>
      </c>
      <c r="S642" t="s">
        <v>621</v>
      </c>
      <c r="T642" t="e">
        <f t="shared" si="112"/>
        <v>#VALUE!</v>
      </c>
      <c r="U642">
        <f t="shared" si="111"/>
        <v>18</v>
      </c>
    </row>
    <row r="643" spans="1:21" x14ac:dyDescent="0.25">
      <c r="A643" s="1"/>
      <c r="B643" s="1">
        <v>20967</v>
      </c>
      <c r="C643" s="2" t="s">
        <v>163</v>
      </c>
      <c r="D643" s="1" t="s">
        <v>413</v>
      </c>
      <c r="E643" s="3" t="s">
        <v>0</v>
      </c>
      <c r="F643" s="4">
        <v>40603</v>
      </c>
      <c r="G643" s="5">
        <v>45597</v>
      </c>
      <c r="H643" s="6" t="s">
        <v>1</v>
      </c>
      <c r="I643" s="1" t="s">
        <v>2</v>
      </c>
      <c r="J643" s="7"/>
      <c r="K643" s="15" t="s">
        <v>418</v>
      </c>
      <c r="L643" t="s">
        <v>472</v>
      </c>
      <c r="M643" t="s">
        <v>15</v>
      </c>
      <c r="N643" t="str">
        <f t="shared" si="106"/>
        <v>https://api.bcb.gov.br/dados/serie/bcdata.sgs.20967/dados?formato=json</v>
      </c>
      <c r="O643">
        <v>6</v>
      </c>
      <c r="P643" t="s">
        <v>19</v>
      </c>
      <c r="Q643" t="s">
        <v>19</v>
      </c>
      <c r="R643" t="s">
        <v>886</v>
      </c>
      <c r="S643" t="s">
        <v>621</v>
      </c>
      <c r="T643" t="e">
        <f t="shared" si="112"/>
        <v>#VALUE!</v>
      </c>
      <c r="U643">
        <f t="shared" si="111"/>
        <v>18</v>
      </c>
    </row>
    <row r="644" spans="1:21" x14ac:dyDescent="0.25">
      <c r="A644" s="8"/>
      <c r="B644" s="8">
        <v>20968</v>
      </c>
      <c r="C644" s="9" t="s">
        <v>164</v>
      </c>
      <c r="D644" s="8" t="s">
        <v>413</v>
      </c>
      <c r="E644" s="10" t="s">
        <v>0</v>
      </c>
      <c r="F644" s="11">
        <v>40603</v>
      </c>
      <c r="G644" s="12">
        <v>45597</v>
      </c>
      <c r="H644" s="13" t="s">
        <v>1</v>
      </c>
      <c r="I644" s="8" t="s">
        <v>2</v>
      </c>
      <c r="J644" s="14"/>
      <c r="K644" s="15" t="s">
        <v>418</v>
      </c>
      <c r="L644" t="s">
        <v>472</v>
      </c>
      <c r="M644" t="s">
        <v>15</v>
      </c>
      <c r="N644" t="str">
        <f t="shared" si="106"/>
        <v>https://api.bcb.gov.br/dados/serie/bcdata.sgs.20968/dados?formato=json</v>
      </c>
      <c r="O644">
        <v>6</v>
      </c>
      <c r="P644" t="s">
        <v>19</v>
      </c>
      <c r="Q644" t="s">
        <v>19</v>
      </c>
      <c r="R644" t="s">
        <v>887</v>
      </c>
      <c r="S644" t="s">
        <v>621</v>
      </c>
      <c r="T644" t="e">
        <f t="shared" si="112"/>
        <v>#VALUE!</v>
      </c>
      <c r="U644">
        <f t="shared" si="111"/>
        <v>18</v>
      </c>
    </row>
    <row r="645" spans="1:21" x14ac:dyDescent="0.25">
      <c r="A645" s="1"/>
      <c r="B645" s="1">
        <v>20969</v>
      </c>
      <c r="C645" s="2" t="s">
        <v>165</v>
      </c>
      <c r="D645" s="1" t="s">
        <v>413</v>
      </c>
      <c r="E645" s="3" t="s">
        <v>0</v>
      </c>
      <c r="F645" s="4">
        <v>40603</v>
      </c>
      <c r="G645" s="5">
        <v>45597</v>
      </c>
      <c r="H645" s="6" t="s">
        <v>1</v>
      </c>
      <c r="I645" s="1" t="s">
        <v>2</v>
      </c>
      <c r="J645" s="7"/>
      <c r="K645" s="15" t="s">
        <v>418</v>
      </c>
      <c r="L645" t="s">
        <v>472</v>
      </c>
      <c r="M645" t="s">
        <v>15</v>
      </c>
      <c r="N645" t="str">
        <f t="shared" si="106"/>
        <v>https://api.bcb.gov.br/dados/serie/bcdata.sgs.20969/dados?formato=json</v>
      </c>
      <c r="O645">
        <v>6</v>
      </c>
      <c r="P645" t="s">
        <v>19</v>
      </c>
      <c r="Q645" t="s">
        <v>19</v>
      </c>
      <c r="R645" t="s">
        <v>890</v>
      </c>
      <c r="S645" t="s">
        <v>621</v>
      </c>
      <c r="T645" t="e">
        <f t="shared" si="112"/>
        <v>#VALUE!</v>
      </c>
      <c r="U645">
        <f t="shared" si="111"/>
        <v>18</v>
      </c>
    </row>
    <row r="646" spans="1:21" x14ac:dyDescent="0.25">
      <c r="A646" s="8"/>
      <c r="B646" s="8">
        <v>20970</v>
      </c>
      <c r="C646" s="9" t="s">
        <v>166</v>
      </c>
      <c r="D646" s="8" t="s">
        <v>413</v>
      </c>
      <c r="E646" s="10" t="s">
        <v>0</v>
      </c>
      <c r="F646" s="11">
        <v>40603</v>
      </c>
      <c r="G646" s="12">
        <v>45597</v>
      </c>
      <c r="H646" s="13" t="s">
        <v>1</v>
      </c>
      <c r="I646" s="8" t="s">
        <v>2</v>
      </c>
      <c r="J646" s="14"/>
      <c r="K646" s="15" t="s">
        <v>418</v>
      </c>
      <c r="L646" t="s">
        <v>472</v>
      </c>
      <c r="M646" t="s">
        <v>15</v>
      </c>
      <c r="N646" t="str">
        <f t="shared" si="106"/>
        <v>https://api.bcb.gov.br/dados/serie/bcdata.sgs.20970/dados?formato=json</v>
      </c>
      <c r="O646">
        <v>6</v>
      </c>
      <c r="P646" t="s">
        <v>19</v>
      </c>
      <c r="Q646" t="s">
        <v>19</v>
      </c>
      <c r="R646" t="s">
        <v>891</v>
      </c>
      <c r="S646" t="s">
        <v>621</v>
      </c>
      <c r="T646" t="e">
        <f t="shared" si="112"/>
        <v>#VALUE!</v>
      </c>
      <c r="U646">
        <f t="shared" si="111"/>
        <v>18</v>
      </c>
    </row>
    <row r="647" spans="1:21" x14ac:dyDescent="0.25">
      <c r="A647" s="1"/>
      <c r="B647" s="1">
        <v>20971</v>
      </c>
      <c r="C647" s="2" t="s">
        <v>168</v>
      </c>
      <c r="D647" s="1" t="s">
        <v>413</v>
      </c>
      <c r="E647" s="3" t="s">
        <v>0</v>
      </c>
      <c r="F647" s="4">
        <v>40603</v>
      </c>
      <c r="G647" s="5">
        <v>45597</v>
      </c>
      <c r="H647" s="6" t="s">
        <v>1</v>
      </c>
      <c r="I647" s="1" t="s">
        <v>2</v>
      </c>
      <c r="J647" s="7"/>
      <c r="K647" s="15" t="s">
        <v>418</v>
      </c>
      <c r="L647" t="s">
        <v>472</v>
      </c>
      <c r="M647" t="s">
        <v>15</v>
      </c>
      <c r="N647" t="str">
        <f t="shared" si="106"/>
        <v>https://api.bcb.gov.br/dados/serie/bcdata.sgs.20971/dados?formato=json</v>
      </c>
      <c r="O647">
        <v>6</v>
      </c>
      <c r="P647" t="s">
        <v>19</v>
      </c>
      <c r="Q647" t="s">
        <v>19</v>
      </c>
      <c r="R647" t="s">
        <v>893</v>
      </c>
      <c r="S647" t="s">
        <v>621</v>
      </c>
      <c r="T647" t="e">
        <f t="shared" si="112"/>
        <v>#VALUE!</v>
      </c>
      <c r="U647">
        <f t="shared" si="111"/>
        <v>18</v>
      </c>
    </row>
    <row r="648" spans="1:21" x14ac:dyDescent="0.25">
      <c r="A648" s="8"/>
      <c r="B648" s="8">
        <v>20972</v>
      </c>
      <c r="C648" s="9" t="s">
        <v>169</v>
      </c>
      <c r="D648" s="8" t="s">
        <v>413</v>
      </c>
      <c r="E648" s="10" t="s">
        <v>0</v>
      </c>
      <c r="F648" s="11">
        <v>40603</v>
      </c>
      <c r="G648" s="12">
        <v>45597</v>
      </c>
      <c r="H648" s="13" t="s">
        <v>1</v>
      </c>
      <c r="I648" s="8" t="s">
        <v>2</v>
      </c>
      <c r="J648" s="14"/>
      <c r="K648" s="15" t="s">
        <v>418</v>
      </c>
      <c r="L648" t="s">
        <v>472</v>
      </c>
      <c r="M648" t="s">
        <v>15</v>
      </c>
      <c r="N648" t="str">
        <f t="shared" si="106"/>
        <v>https://api.bcb.gov.br/dados/serie/bcdata.sgs.20972/dados?formato=json</v>
      </c>
      <c r="O648">
        <v>6</v>
      </c>
      <c r="P648" t="s">
        <v>19</v>
      </c>
      <c r="Q648" t="s">
        <v>19</v>
      </c>
      <c r="R648" t="s">
        <v>874</v>
      </c>
      <c r="S648" t="s">
        <v>621</v>
      </c>
      <c r="T648" t="e">
        <f t="shared" si="112"/>
        <v>#VALUE!</v>
      </c>
      <c r="U648">
        <f t="shared" si="111"/>
        <v>18</v>
      </c>
    </row>
    <row r="649" spans="1:21" x14ac:dyDescent="0.25">
      <c r="A649" s="1"/>
      <c r="B649" s="1">
        <v>20973</v>
      </c>
      <c r="C649" s="2" t="s">
        <v>170</v>
      </c>
      <c r="D649" s="1" t="s">
        <v>413</v>
      </c>
      <c r="E649" s="3" t="s">
        <v>0</v>
      </c>
      <c r="F649" s="4">
        <v>40603</v>
      </c>
      <c r="G649" s="5">
        <v>45597</v>
      </c>
      <c r="H649" s="6" t="s">
        <v>1</v>
      </c>
      <c r="I649" s="1" t="s">
        <v>2</v>
      </c>
      <c r="J649" s="7"/>
      <c r="K649" s="15" t="s">
        <v>418</v>
      </c>
      <c r="L649" t="s">
        <v>472</v>
      </c>
      <c r="M649" t="s">
        <v>15</v>
      </c>
      <c r="N649" t="str">
        <f t="shared" si="106"/>
        <v>https://api.bcb.gov.br/dados/serie/bcdata.sgs.20973/dados?formato=json</v>
      </c>
      <c r="O649">
        <v>6</v>
      </c>
      <c r="P649" t="s">
        <v>19</v>
      </c>
      <c r="Q649" t="s">
        <v>19</v>
      </c>
      <c r="R649" t="s">
        <v>898</v>
      </c>
      <c r="S649" t="s">
        <v>621</v>
      </c>
      <c r="T649" t="e">
        <f t="shared" si="112"/>
        <v>#VALUE!</v>
      </c>
      <c r="U649">
        <f t="shared" si="111"/>
        <v>18</v>
      </c>
    </row>
    <row r="650" spans="1:21" x14ac:dyDescent="0.25">
      <c r="A650" s="1"/>
      <c r="B650" s="1">
        <v>20974</v>
      </c>
      <c r="C650" s="2" t="s">
        <v>118</v>
      </c>
      <c r="D650" s="1" t="s">
        <v>413</v>
      </c>
      <c r="E650" s="3" t="s">
        <v>0</v>
      </c>
      <c r="F650" s="4">
        <v>40603</v>
      </c>
      <c r="G650" s="5">
        <v>45597</v>
      </c>
      <c r="H650" s="6" t="s">
        <v>1</v>
      </c>
      <c r="I650" s="1" t="s">
        <v>2</v>
      </c>
      <c r="J650" s="7"/>
      <c r="K650" s="15" t="s">
        <v>419</v>
      </c>
      <c r="L650" t="s">
        <v>473</v>
      </c>
      <c r="M650" t="s">
        <v>15</v>
      </c>
      <c r="N650" t="str">
        <f t="shared" ref="N650:N677" si="113">_xlfn.CONCAT("https://api.bcb.gov.br/dados/serie/bcdata.sgs.",B650,"/dados?formato=json")</f>
        <v>https://api.bcb.gov.br/dados/serie/bcdata.sgs.20974/dados?formato=json</v>
      </c>
      <c r="O650">
        <v>6</v>
      </c>
      <c r="P650" t="s">
        <v>19</v>
      </c>
      <c r="Q650" t="s">
        <v>19</v>
      </c>
      <c r="R650" t="s">
        <v>118</v>
      </c>
      <c r="S650" t="s">
        <v>118</v>
      </c>
    </row>
    <row r="651" spans="1:21" x14ac:dyDescent="0.25">
      <c r="A651" s="8"/>
      <c r="B651" s="8">
        <v>20975</v>
      </c>
      <c r="C651" s="9" t="s">
        <v>119</v>
      </c>
      <c r="D651" s="8" t="s">
        <v>413</v>
      </c>
      <c r="E651" s="10" t="s">
        <v>0</v>
      </c>
      <c r="F651" s="11">
        <v>40603</v>
      </c>
      <c r="G651" s="12">
        <v>45597</v>
      </c>
      <c r="H651" s="13" t="s">
        <v>1</v>
      </c>
      <c r="I651" s="8" t="s">
        <v>2</v>
      </c>
      <c r="J651" s="14"/>
      <c r="K651" s="15" t="s">
        <v>419</v>
      </c>
      <c r="L651" t="s">
        <v>473</v>
      </c>
      <c r="M651" t="s">
        <v>15</v>
      </c>
      <c r="N651" t="str">
        <f t="shared" si="113"/>
        <v>https://api.bcb.gov.br/dados/serie/bcdata.sgs.20975/dados?formato=json</v>
      </c>
      <c r="O651">
        <v>6</v>
      </c>
      <c r="P651" t="s">
        <v>19</v>
      </c>
      <c r="Q651" t="s">
        <v>19</v>
      </c>
      <c r="R651" t="s">
        <v>118</v>
      </c>
      <c r="S651" t="s">
        <v>622</v>
      </c>
      <c r="T651" t="e">
        <f t="shared" ref="T651" si="114">RIGHT(S651,LEN(S651)-U651)</f>
        <v>#VALUE!</v>
      </c>
      <c r="U651">
        <f t="shared" ref="U651:U662" si="115">LEN("Setor de serviços - ")</f>
        <v>20</v>
      </c>
    </row>
    <row r="652" spans="1:21" x14ac:dyDescent="0.25">
      <c r="A652" s="1"/>
      <c r="B652" s="1">
        <v>20976</v>
      </c>
      <c r="C652" s="2" t="s">
        <v>171</v>
      </c>
      <c r="D652" s="1" t="s">
        <v>413</v>
      </c>
      <c r="E652" s="3" t="s">
        <v>0</v>
      </c>
      <c r="F652" s="4">
        <v>40603</v>
      </c>
      <c r="G652" s="5">
        <v>45597</v>
      </c>
      <c r="H652" s="6" t="s">
        <v>1</v>
      </c>
      <c r="I652" s="1" t="s">
        <v>2</v>
      </c>
      <c r="J652" s="7"/>
      <c r="K652" s="15" t="s">
        <v>419</v>
      </c>
      <c r="L652" t="s">
        <v>473</v>
      </c>
      <c r="M652" t="s">
        <v>15</v>
      </c>
      <c r="N652" t="str">
        <f t="shared" si="113"/>
        <v>https://api.bcb.gov.br/dados/serie/bcdata.sgs.20976/dados?formato=json</v>
      </c>
      <c r="O652">
        <v>6</v>
      </c>
      <c r="P652" t="s">
        <v>19</v>
      </c>
      <c r="Q652" t="s">
        <v>19</v>
      </c>
      <c r="R652" t="s">
        <v>906</v>
      </c>
      <c r="S652" t="s">
        <v>622</v>
      </c>
      <c r="T652" t="e">
        <f t="shared" ref="T652:T663" si="116">RIGHT(S652,LEN(S652)-U652)</f>
        <v>#VALUE!</v>
      </c>
      <c r="U652">
        <f t="shared" si="115"/>
        <v>20</v>
      </c>
    </row>
    <row r="653" spans="1:21" x14ac:dyDescent="0.25">
      <c r="A653" s="8"/>
      <c r="B653" s="8">
        <v>20977</v>
      </c>
      <c r="C653" s="9" t="s">
        <v>172</v>
      </c>
      <c r="D653" s="8" t="s">
        <v>413</v>
      </c>
      <c r="E653" s="10" t="s">
        <v>0</v>
      </c>
      <c r="F653" s="11">
        <v>40603</v>
      </c>
      <c r="G653" s="12">
        <v>45597</v>
      </c>
      <c r="H653" s="13" t="s">
        <v>1</v>
      </c>
      <c r="I653" s="8" t="s">
        <v>2</v>
      </c>
      <c r="J653" s="14"/>
      <c r="K653" s="15" t="s">
        <v>419</v>
      </c>
      <c r="L653" t="s">
        <v>473</v>
      </c>
      <c r="M653" t="s">
        <v>15</v>
      </c>
      <c r="N653" t="str">
        <f t="shared" si="113"/>
        <v>https://api.bcb.gov.br/dados/serie/bcdata.sgs.20977/dados?formato=json</v>
      </c>
      <c r="O653">
        <v>6</v>
      </c>
      <c r="P653" t="s">
        <v>19</v>
      </c>
      <c r="Q653" t="s">
        <v>19</v>
      </c>
      <c r="R653" t="s">
        <v>907</v>
      </c>
      <c r="S653" t="s">
        <v>622</v>
      </c>
      <c r="T653" t="e">
        <f t="shared" si="116"/>
        <v>#VALUE!</v>
      </c>
      <c r="U653">
        <f t="shared" si="115"/>
        <v>20</v>
      </c>
    </row>
    <row r="654" spans="1:21" x14ac:dyDescent="0.25">
      <c r="A654" s="1"/>
      <c r="B654" s="1">
        <v>20978</v>
      </c>
      <c r="C654" s="2" t="s">
        <v>173</v>
      </c>
      <c r="D654" s="1" t="s">
        <v>413</v>
      </c>
      <c r="E654" s="3" t="s">
        <v>0</v>
      </c>
      <c r="F654" s="4">
        <v>40603</v>
      </c>
      <c r="G654" s="5">
        <v>45597</v>
      </c>
      <c r="H654" s="6" t="s">
        <v>1</v>
      </c>
      <c r="I654" s="1" t="s">
        <v>2</v>
      </c>
      <c r="J654" s="7"/>
      <c r="K654" s="15" t="s">
        <v>419</v>
      </c>
      <c r="L654" t="s">
        <v>473</v>
      </c>
      <c r="M654" t="s">
        <v>15</v>
      </c>
      <c r="N654" t="str">
        <f t="shared" si="113"/>
        <v>https://api.bcb.gov.br/dados/serie/bcdata.sgs.20978/dados?formato=json</v>
      </c>
      <c r="O654">
        <v>6</v>
      </c>
      <c r="P654" t="s">
        <v>19</v>
      </c>
      <c r="Q654" t="s">
        <v>19</v>
      </c>
      <c r="R654" t="s">
        <v>908</v>
      </c>
      <c r="S654" t="s">
        <v>622</v>
      </c>
      <c r="T654" t="e">
        <f t="shared" si="116"/>
        <v>#VALUE!</v>
      </c>
      <c r="U654">
        <f t="shared" si="115"/>
        <v>20</v>
      </c>
    </row>
    <row r="655" spans="1:21" x14ac:dyDescent="0.25">
      <c r="A655" s="8"/>
      <c r="B655" s="8">
        <v>20979</v>
      </c>
      <c r="C655" s="9" t="s">
        <v>174</v>
      </c>
      <c r="D655" s="8" t="s">
        <v>413</v>
      </c>
      <c r="E655" s="10" t="s">
        <v>0</v>
      </c>
      <c r="F655" s="11">
        <v>40603</v>
      </c>
      <c r="G655" s="12">
        <v>45597</v>
      </c>
      <c r="H655" s="13" t="s">
        <v>1</v>
      </c>
      <c r="I655" s="8" t="s">
        <v>2</v>
      </c>
      <c r="J655" s="14"/>
      <c r="K655" s="15" t="s">
        <v>419</v>
      </c>
      <c r="L655" t="s">
        <v>473</v>
      </c>
      <c r="M655" t="s">
        <v>15</v>
      </c>
      <c r="N655" t="str">
        <f t="shared" si="113"/>
        <v>https://api.bcb.gov.br/dados/serie/bcdata.sgs.20979/dados?formato=json</v>
      </c>
      <c r="O655">
        <v>6</v>
      </c>
      <c r="P655" t="s">
        <v>19</v>
      </c>
      <c r="Q655" t="s">
        <v>19</v>
      </c>
      <c r="R655" t="s">
        <v>909</v>
      </c>
      <c r="S655" t="s">
        <v>622</v>
      </c>
      <c r="T655" t="e">
        <f t="shared" si="116"/>
        <v>#VALUE!</v>
      </c>
      <c r="U655">
        <f t="shared" si="115"/>
        <v>20</v>
      </c>
    </row>
    <row r="656" spans="1:21" x14ac:dyDescent="0.25">
      <c r="A656" s="1"/>
      <c r="B656" s="1">
        <v>20980</v>
      </c>
      <c r="C656" s="2" t="s">
        <v>175</v>
      </c>
      <c r="D656" s="1" t="s">
        <v>413</v>
      </c>
      <c r="E656" s="3" t="s">
        <v>0</v>
      </c>
      <c r="F656" s="4">
        <v>40603</v>
      </c>
      <c r="G656" s="5">
        <v>45597</v>
      </c>
      <c r="H656" s="6" t="s">
        <v>1</v>
      </c>
      <c r="I656" s="1" t="s">
        <v>2</v>
      </c>
      <c r="J656" s="7"/>
      <c r="K656" s="15" t="s">
        <v>419</v>
      </c>
      <c r="L656" t="s">
        <v>473</v>
      </c>
      <c r="M656" t="s">
        <v>15</v>
      </c>
      <c r="N656" t="str">
        <f t="shared" si="113"/>
        <v>https://api.bcb.gov.br/dados/serie/bcdata.sgs.20980/dados?formato=json</v>
      </c>
      <c r="O656">
        <v>6</v>
      </c>
      <c r="P656" t="s">
        <v>19</v>
      </c>
      <c r="Q656" t="s">
        <v>19</v>
      </c>
      <c r="R656" t="s">
        <v>910</v>
      </c>
      <c r="S656" t="s">
        <v>622</v>
      </c>
      <c r="T656" t="e">
        <f t="shared" si="116"/>
        <v>#VALUE!</v>
      </c>
      <c r="U656">
        <f t="shared" si="115"/>
        <v>20</v>
      </c>
    </row>
    <row r="657" spans="1:21" x14ac:dyDescent="0.25">
      <c r="A657" s="8"/>
      <c r="B657" s="8">
        <v>20981</v>
      </c>
      <c r="C657" s="9" t="s">
        <v>176</v>
      </c>
      <c r="D657" s="8" t="s">
        <v>413</v>
      </c>
      <c r="E657" s="10" t="s">
        <v>0</v>
      </c>
      <c r="F657" s="11">
        <v>40603</v>
      </c>
      <c r="G657" s="12">
        <v>45597</v>
      </c>
      <c r="H657" s="13" t="s">
        <v>1</v>
      </c>
      <c r="I657" s="8" t="s">
        <v>2</v>
      </c>
      <c r="J657" s="14"/>
      <c r="K657" s="15" t="s">
        <v>419</v>
      </c>
      <c r="L657" t="s">
        <v>473</v>
      </c>
      <c r="M657" t="s">
        <v>15</v>
      </c>
      <c r="N657" t="str">
        <f t="shared" si="113"/>
        <v>https://api.bcb.gov.br/dados/serie/bcdata.sgs.20981/dados?formato=json</v>
      </c>
      <c r="O657">
        <v>6</v>
      </c>
      <c r="P657" t="s">
        <v>19</v>
      </c>
      <c r="Q657" t="s">
        <v>19</v>
      </c>
      <c r="R657" t="s">
        <v>911</v>
      </c>
      <c r="S657" t="s">
        <v>622</v>
      </c>
      <c r="T657" t="e">
        <f t="shared" si="116"/>
        <v>#VALUE!</v>
      </c>
      <c r="U657">
        <f t="shared" si="115"/>
        <v>20</v>
      </c>
    </row>
    <row r="658" spans="1:21" x14ac:dyDescent="0.25">
      <c r="A658" s="1"/>
      <c r="B658" s="1">
        <v>20982</v>
      </c>
      <c r="C658" s="2" t="s">
        <v>177</v>
      </c>
      <c r="D658" s="1" t="s">
        <v>413</v>
      </c>
      <c r="E658" s="3" t="s">
        <v>0</v>
      </c>
      <c r="F658" s="4">
        <v>40603</v>
      </c>
      <c r="G658" s="5">
        <v>45597</v>
      </c>
      <c r="H658" s="6" t="s">
        <v>1</v>
      </c>
      <c r="I658" s="1" t="s">
        <v>2</v>
      </c>
      <c r="J658" s="7"/>
      <c r="K658" s="15" t="s">
        <v>419</v>
      </c>
      <c r="L658" t="s">
        <v>473</v>
      </c>
      <c r="M658" t="s">
        <v>15</v>
      </c>
      <c r="N658" t="str">
        <f t="shared" si="113"/>
        <v>https://api.bcb.gov.br/dados/serie/bcdata.sgs.20982/dados?formato=json</v>
      </c>
      <c r="O658">
        <v>6</v>
      </c>
      <c r="P658" t="s">
        <v>19</v>
      </c>
      <c r="Q658" t="s">
        <v>19</v>
      </c>
      <c r="R658" t="s">
        <v>912</v>
      </c>
      <c r="S658" t="s">
        <v>622</v>
      </c>
      <c r="T658" t="e">
        <f t="shared" si="116"/>
        <v>#VALUE!</v>
      </c>
      <c r="U658">
        <f t="shared" si="115"/>
        <v>20</v>
      </c>
    </row>
    <row r="659" spans="1:21" x14ac:dyDescent="0.25">
      <c r="A659" s="8"/>
      <c r="B659" s="8">
        <v>20983</v>
      </c>
      <c r="C659" s="9" t="s">
        <v>178</v>
      </c>
      <c r="D659" s="8" t="s">
        <v>413</v>
      </c>
      <c r="E659" s="10" t="s">
        <v>0</v>
      </c>
      <c r="F659" s="11">
        <v>40603</v>
      </c>
      <c r="G659" s="12">
        <v>45597</v>
      </c>
      <c r="H659" s="13" t="s">
        <v>1</v>
      </c>
      <c r="I659" s="8" t="s">
        <v>2</v>
      </c>
      <c r="J659" s="14"/>
      <c r="K659" s="15" t="s">
        <v>419</v>
      </c>
      <c r="L659" t="s">
        <v>473</v>
      </c>
      <c r="M659" t="s">
        <v>15</v>
      </c>
      <c r="N659" t="str">
        <f t="shared" si="113"/>
        <v>https://api.bcb.gov.br/dados/serie/bcdata.sgs.20983/dados?formato=json</v>
      </c>
      <c r="O659">
        <v>6</v>
      </c>
      <c r="P659" t="s">
        <v>19</v>
      </c>
      <c r="Q659" t="s">
        <v>19</v>
      </c>
      <c r="R659" t="s">
        <v>913</v>
      </c>
      <c r="S659" t="s">
        <v>622</v>
      </c>
      <c r="T659" t="e">
        <f t="shared" si="116"/>
        <v>#VALUE!</v>
      </c>
      <c r="U659">
        <f t="shared" si="115"/>
        <v>20</v>
      </c>
    </row>
    <row r="660" spans="1:21" x14ac:dyDescent="0.25">
      <c r="A660" s="1"/>
      <c r="B660" s="1">
        <v>20984</v>
      </c>
      <c r="C660" s="2" t="s">
        <v>179</v>
      </c>
      <c r="D660" s="1" t="s">
        <v>413</v>
      </c>
      <c r="E660" s="3" t="s">
        <v>0</v>
      </c>
      <c r="F660" s="4">
        <v>40603</v>
      </c>
      <c r="G660" s="5">
        <v>45597</v>
      </c>
      <c r="H660" s="6" t="s">
        <v>1</v>
      </c>
      <c r="I660" s="1" t="s">
        <v>2</v>
      </c>
      <c r="J660" s="7"/>
      <c r="K660" s="15" t="s">
        <v>419</v>
      </c>
      <c r="L660" t="s">
        <v>473</v>
      </c>
      <c r="M660" t="s">
        <v>15</v>
      </c>
      <c r="N660" t="str">
        <f t="shared" si="113"/>
        <v>https://api.bcb.gov.br/dados/serie/bcdata.sgs.20984/dados?formato=json</v>
      </c>
      <c r="O660">
        <v>6</v>
      </c>
      <c r="P660" t="s">
        <v>19</v>
      </c>
      <c r="Q660" t="s">
        <v>19</v>
      </c>
      <c r="R660" t="s">
        <v>914</v>
      </c>
      <c r="S660" t="s">
        <v>622</v>
      </c>
      <c r="T660" t="e">
        <f t="shared" si="116"/>
        <v>#VALUE!</v>
      </c>
      <c r="U660">
        <f t="shared" si="115"/>
        <v>20</v>
      </c>
    </row>
    <row r="661" spans="1:21" x14ac:dyDescent="0.25">
      <c r="A661" s="8"/>
      <c r="B661" s="8">
        <v>20985</v>
      </c>
      <c r="C661" s="9" t="s">
        <v>180</v>
      </c>
      <c r="D661" s="8" t="s">
        <v>413</v>
      </c>
      <c r="E661" s="10" t="s">
        <v>0</v>
      </c>
      <c r="F661" s="11">
        <v>40603</v>
      </c>
      <c r="G661" s="12">
        <v>45597</v>
      </c>
      <c r="H661" s="13" t="s">
        <v>1</v>
      </c>
      <c r="I661" s="8" t="s">
        <v>2</v>
      </c>
      <c r="J661" s="14"/>
      <c r="K661" s="15" t="s">
        <v>419</v>
      </c>
      <c r="L661" t="s">
        <v>473</v>
      </c>
      <c r="M661" t="s">
        <v>15</v>
      </c>
      <c r="N661" t="str">
        <f t="shared" si="113"/>
        <v>https://api.bcb.gov.br/dados/serie/bcdata.sgs.20985/dados?formato=json</v>
      </c>
      <c r="O661">
        <v>6</v>
      </c>
      <c r="P661" t="s">
        <v>19</v>
      </c>
      <c r="Q661" t="s">
        <v>19</v>
      </c>
      <c r="R661" t="s">
        <v>915</v>
      </c>
      <c r="S661" t="s">
        <v>622</v>
      </c>
      <c r="T661" t="e">
        <f t="shared" si="116"/>
        <v>#VALUE!</v>
      </c>
      <c r="U661">
        <f t="shared" si="115"/>
        <v>20</v>
      </c>
    </row>
    <row r="662" spans="1:21" x14ac:dyDescent="0.25">
      <c r="A662" s="1"/>
      <c r="B662" s="1">
        <v>20986</v>
      </c>
      <c r="C662" s="2" t="s">
        <v>181</v>
      </c>
      <c r="D662" s="1" t="s">
        <v>413</v>
      </c>
      <c r="E662" s="3" t="s">
        <v>0</v>
      </c>
      <c r="F662" s="4">
        <v>40603</v>
      </c>
      <c r="G662" s="5">
        <v>45597</v>
      </c>
      <c r="H662" s="6" t="s">
        <v>1</v>
      </c>
      <c r="I662" s="1" t="s">
        <v>2</v>
      </c>
      <c r="J662" s="7"/>
      <c r="K662" s="15" t="s">
        <v>419</v>
      </c>
      <c r="L662" t="s">
        <v>473</v>
      </c>
      <c r="M662" t="s">
        <v>15</v>
      </c>
      <c r="N662" t="str">
        <f t="shared" si="113"/>
        <v>https://api.bcb.gov.br/dados/serie/bcdata.sgs.20986/dados?formato=json</v>
      </c>
      <c r="O662">
        <v>6</v>
      </c>
      <c r="P662" t="s">
        <v>19</v>
      </c>
      <c r="Q662" t="s">
        <v>19</v>
      </c>
      <c r="R662" t="s">
        <v>916</v>
      </c>
      <c r="S662" t="s">
        <v>622</v>
      </c>
      <c r="T662" t="e">
        <f t="shared" si="116"/>
        <v>#VALUE!</v>
      </c>
      <c r="U662">
        <f t="shared" si="115"/>
        <v>20</v>
      </c>
    </row>
    <row r="663" spans="1:21" x14ac:dyDescent="0.25">
      <c r="A663" s="8"/>
      <c r="B663" s="8">
        <v>20987</v>
      </c>
      <c r="C663" s="9" t="s">
        <v>120</v>
      </c>
      <c r="D663" s="8" t="s">
        <v>413</v>
      </c>
      <c r="E663" s="10" t="s">
        <v>0</v>
      </c>
      <c r="F663" s="11">
        <v>40603</v>
      </c>
      <c r="G663" s="12">
        <v>45597</v>
      </c>
      <c r="H663" s="13" t="s">
        <v>1</v>
      </c>
      <c r="I663" s="8" t="s">
        <v>2</v>
      </c>
      <c r="J663" s="14"/>
      <c r="K663" s="15" t="s">
        <v>419</v>
      </c>
      <c r="L663" t="s">
        <v>473</v>
      </c>
      <c r="M663" t="s">
        <v>15</v>
      </c>
      <c r="N663" t="str">
        <f t="shared" si="113"/>
        <v>https://api.bcb.gov.br/dados/serie/bcdata.sgs.20987/dados?formato=json</v>
      </c>
      <c r="O663">
        <v>6</v>
      </c>
      <c r="P663" t="s">
        <v>19</v>
      </c>
      <c r="Q663" t="s">
        <v>19</v>
      </c>
      <c r="R663" t="s">
        <v>118</v>
      </c>
      <c r="S663" t="s">
        <v>621</v>
      </c>
      <c r="T663" t="e">
        <f t="shared" si="116"/>
        <v>#VALUE!</v>
      </c>
      <c r="U663">
        <f t="shared" ref="U663:U677" si="117">LEN("Pessoas físicas - ")</f>
        <v>18</v>
      </c>
    </row>
    <row r="664" spans="1:21" x14ac:dyDescent="0.25">
      <c r="A664" s="1"/>
      <c r="B664" s="1">
        <v>20988</v>
      </c>
      <c r="C664" s="2" t="s">
        <v>182</v>
      </c>
      <c r="D664" s="1" t="s">
        <v>413</v>
      </c>
      <c r="E664" s="3" t="s">
        <v>0</v>
      </c>
      <c r="F664" s="4">
        <v>40603</v>
      </c>
      <c r="G664" s="5">
        <v>45597</v>
      </c>
      <c r="H664" s="6" t="s">
        <v>1</v>
      </c>
      <c r="I664" s="1" t="s">
        <v>2</v>
      </c>
      <c r="J664" s="7"/>
      <c r="K664" s="15" t="s">
        <v>419</v>
      </c>
      <c r="L664" t="s">
        <v>473</v>
      </c>
      <c r="M664" t="s">
        <v>15</v>
      </c>
      <c r="N664" t="str">
        <f t="shared" si="113"/>
        <v>https://api.bcb.gov.br/dados/serie/bcdata.sgs.20988/dados?formato=json</v>
      </c>
      <c r="O664">
        <v>6</v>
      </c>
      <c r="P664" t="s">
        <v>19</v>
      </c>
      <c r="Q664" t="s">
        <v>19</v>
      </c>
      <c r="R664" t="s">
        <v>906</v>
      </c>
      <c r="S664" t="s">
        <v>621</v>
      </c>
      <c r="T664" t="e">
        <f t="shared" ref="T664:T677" si="118">RIGHT(S664,LEN(S664)-U664)</f>
        <v>#VALUE!</v>
      </c>
      <c r="U664">
        <f t="shared" si="117"/>
        <v>18</v>
      </c>
    </row>
    <row r="665" spans="1:21" x14ac:dyDescent="0.25">
      <c r="A665" s="8"/>
      <c r="B665" s="8">
        <v>20989</v>
      </c>
      <c r="C665" s="9" t="s">
        <v>183</v>
      </c>
      <c r="D665" s="8" t="s">
        <v>413</v>
      </c>
      <c r="E665" s="10" t="s">
        <v>0</v>
      </c>
      <c r="F665" s="11">
        <v>40603</v>
      </c>
      <c r="G665" s="12">
        <v>45597</v>
      </c>
      <c r="H665" s="13" t="s">
        <v>1</v>
      </c>
      <c r="I665" s="8" t="s">
        <v>2</v>
      </c>
      <c r="J665" s="14"/>
      <c r="K665" s="15" t="s">
        <v>419</v>
      </c>
      <c r="L665" t="s">
        <v>473</v>
      </c>
      <c r="M665" t="s">
        <v>15</v>
      </c>
      <c r="N665" t="str">
        <f t="shared" si="113"/>
        <v>https://api.bcb.gov.br/dados/serie/bcdata.sgs.20989/dados?formato=json</v>
      </c>
      <c r="O665">
        <v>6</v>
      </c>
      <c r="P665" t="s">
        <v>19</v>
      </c>
      <c r="Q665" t="s">
        <v>19</v>
      </c>
      <c r="R665" t="s">
        <v>907</v>
      </c>
      <c r="S665" t="s">
        <v>621</v>
      </c>
      <c r="T665" t="e">
        <f t="shared" si="118"/>
        <v>#VALUE!</v>
      </c>
      <c r="U665">
        <f t="shared" si="117"/>
        <v>18</v>
      </c>
    </row>
    <row r="666" spans="1:21" x14ac:dyDescent="0.25">
      <c r="A666" s="1"/>
      <c r="B666" s="1">
        <v>20990</v>
      </c>
      <c r="C666" s="2" t="s">
        <v>184</v>
      </c>
      <c r="D666" s="1" t="s">
        <v>413</v>
      </c>
      <c r="E666" s="3" t="s">
        <v>0</v>
      </c>
      <c r="F666" s="4">
        <v>40603</v>
      </c>
      <c r="G666" s="5">
        <v>45597</v>
      </c>
      <c r="H666" s="6" t="s">
        <v>1</v>
      </c>
      <c r="I666" s="1" t="s">
        <v>2</v>
      </c>
      <c r="J666" s="7"/>
      <c r="K666" s="15" t="s">
        <v>419</v>
      </c>
      <c r="L666" t="s">
        <v>473</v>
      </c>
      <c r="M666" t="s">
        <v>15</v>
      </c>
      <c r="N666" t="str">
        <f t="shared" si="113"/>
        <v>https://api.bcb.gov.br/dados/serie/bcdata.sgs.20990/dados?formato=json</v>
      </c>
      <c r="O666">
        <v>6</v>
      </c>
      <c r="P666" t="s">
        <v>19</v>
      </c>
      <c r="Q666" t="s">
        <v>19</v>
      </c>
      <c r="R666" t="s">
        <v>908</v>
      </c>
      <c r="S666" t="s">
        <v>621</v>
      </c>
      <c r="T666" t="e">
        <f t="shared" si="118"/>
        <v>#VALUE!</v>
      </c>
      <c r="U666">
        <f t="shared" si="117"/>
        <v>18</v>
      </c>
    </row>
    <row r="667" spans="1:21" x14ac:dyDescent="0.25">
      <c r="A667" s="8"/>
      <c r="B667" s="8">
        <v>20991</v>
      </c>
      <c r="C667" s="9" t="s">
        <v>185</v>
      </c>
      <c r="D667" s="8" t="s">
        <v>413</v>
      </c>
      <c r="E667" s="10" t="s">
        <v>0</v>
      </c>
      <c r="F667" s="11">
        <v>40603</v>
      </c>
      <c r="G667" s="12">
        <v>45597</v>
      </c>
      <c r="H667" s="13" t="s">
        <v>1</v>
      </c>
      <c r="I667" s="8" t="s">
        <v>2</v>
      </c>
      <c r="J667" s="14"/>
      <c r="K667" s="15" t="s">
        <v>419</v>
      </c>
      <c r="L667" t="s">
        <v>473</v>
      </c>
      <c r="M667" t="s">
        <v>15</v>
      </c>
      <c r="N667" t="str">
        <f t="shared" si="113"/>
        <v>https://api.bcb.gov.br/dados/serie/bcdata.sgs.20991/dados?formato=json</v>
      </c>
      <c r="O667">
        <v>6</v>
      </c>
      <c r="P667" t="s">
        <v>19</v>
      </c>
      <c r="Q667" t="s">
        <v>19</v>
      </c>
      <c r="R667" t="s">
        <v>909</v>
      </c>
      <c r="S667" t="s">
        <v>621</v>
      </c>
      <c r="T667" t="e">
        <f t="shared" si="118"/>
        <v>#VALUE!</v>
      </c>
      <c r="U667">
        <f t="shared" si="117"/>
        <v>18</v>
      </c>
    </row>
    <row r="668" spans="1:21" x14ac:dyDescent="0.25">
      <c r="A668" s="1"/>
      <c r="B668" s="1">
        <v>20992</v>
      </c>
      <c r="C668" s="2" t="s">
        <v>186</v>
      </c>
      <c r="D668" s="1" t="s">
        <v>413</v>
      </c>
      <c r="E668" s="3" t="s">
        <v>0</v>
      </c>
      <c r="F668" s="4">
        <v>40603</v>
      </c>
      <c r="G668" s="5">
        <v>45597</v>
      </c>
      <c r="H668" s="6" t="s">
        <v>1</v>
      </c>
      <c r="I668" s="1" t="s">
        <v>2</v>
      </c>
      <c r="J668" s="7"/>
      <c r="K668" s="15" t="s">
        <v>419</v>
      </c>
      <c r="L668" t="s">
        <v>473</v>
      </c>
      <c r="M668" t="s">
        <v>15</v>
      </c>
      <c r="N668" t="str">
        <f t="shared" si="113"/>
        <v>https://api.bcb.gov.br/dados/serie/bcdata.sgs.20992/dados?formato=json</v>
      </c>
      <c r="O668">
        <v>6</v>
      </c>
      <c r="P668" t="s">
        <v>19</v>
      </c>
      <c r="Q668" t="s">
        <v>19</v>
      </c>
      <c r="R668" t="s">
        <v>910</v>
      </c>
      <c r="S668" t="s">
        <v>621</v>
      </c>
      <c r="T668" t="e">
        <f t="shared" si="118"/>
        <v>#VALUE!</v>
      </c>
      <c r="U668">
        <f t="shared" si="117"/>
        <v>18</v>
      </c>
    </row>
    <row r="669" spans="1:21" x14ac:dyDescent="0.25">
      <c r="A669" s="8"/>
      <c r="B669" s="8">
        <v>20993</v>
      </c>
      <c r="C669" s="9" t="s">
        <v>187</v>
      </c>
      <c r="D669" s="8" t="s">
        <v>413</v>
      </c>
      <c r="E669" s="10" t="s">
        <v>0</v>
      </c>
      <c r="F669" s="11">
        <v>40603</v>
      </c>
      <c r="G669" s="12">
        <v>45597</v>
      </c>
      <c r="H669" s="13" t="s">
        <v>1</v>
      </c>
      <c r="I669" s="8" t="s">
        <v>2</v>
      </c>
      <c r="J669" s="14"/>
      <c r="K669" s="15" t="s">
        <v>419</v>
      </c>
      <c r="L669" t="s">
        <v>473</v>
      </c>
      <c r="M669" t="s">
        <v>15</v>
      </c>
      <c r="N669" t="str">
        <f t="shared" si="113"/>
        <v>https://api.bcb.gov.br/dados/serie/bcdata.sgs.20993/dados?formato=json</v>
      </c>
      <c r="O669">
        <v>6</v>
      </c>
      <c r="P669" t="s">
        <v>19</v>
      </c>
      <c r="Q669" t="s">
        <v>19</v>
      </c>
      <c r="R669" t="s">
        <v>911</v>
      </c>
      <c r="S669" t="s">
        <v>621</v>
      </c>
      <c r="T669" t="e">
        <f t="shared" si="118"/>
        <v>#VALUE!</v>
      </c>
      <c r="U669">
        <f t="shared" si="117"/>
        <v>18</v>
      </c>
    </row>
    <row r="670" spans="1:21" x14ac:dyDescent="0.25">
      <c r="A670" s="1"/>
      <c r="B670" s="1">
        <v>20994</v>
      </c>
      <c r="C670" s="2" t="s">
        <v>188</v>
      </c>
      <c r="D670" s="1" t="s">
        <v>413</v>
      </c>
      <c r="E670" s="3" t="s">
        <v>0</v>
      </c>
      <c r="F670" s="4">
        <v>40603</v>
      </c>
      <c r="G670" s="5">
        <v>45597</v>
      </c>
      <c r="H670" s="6" t="s">
        <v>1</v>
      </c>
      <c r="I670" s="1" t="s">
        <v>2</v>
      </c>
      <c r="J670" s="7"/>
      <c r="K670" s="15" t="s">
        <v>419</v>
      </c>
      <c r="L670" t="s">
        <v>473</v>
      </c>
      <c r="M670" t="s">
        <v>15</v>
      </c>
      <c r="N670" t="str">
        <f t="shared" si="113"/>
        <v>https://api.bcb.gov.br/dados/serie/bcdata.sgs.20994/dados?formato=json</v>
      </c>
      <c r="O670">
        <v>6</v>
      </c>
      <c r="P670" t="s">
        <v>19</v>
      </c>
      <c r="Q670" t="s">
        <v>19</v>
      </c>
      <c r="R670" t="s">
        <v>912</v>
      </c>
      <c r="S670" t="s">
        <v>621</v>
      </c>
      <c r="T670" t="e">
        <f t="shared" si="118"/>
        <v>#VALUE!</v>
      </c>
      <c r="U670">
        <f t="shared" si="117"/>
        <v>18</v>
      </c>
    </row>
    <row r="671" spans="1:21" x14ac:dyDescent="0.25">
      <c r="A671" s="8"/>
      <c r="B671" s="8">
        <v>20995</v>
      </c>
      <c r="C671" s="9" t="s">
        <v>189</v>
      </c>
      <c r="D671" s="8" t="s">
        <v>413</v>
      </c>
      <c r="E671" s="10" t="s">
        <v>0</v>
      </c>
      <c r="F671" s="11">
        <v>40603</v>
      </c>
      <c r="G671" s="12">
        <v>45597</v>
      </c>
      <c r="H671" s="13" t="s">
        <v>1</v>
      </c>
      <c r="I671" s="8" t="s">
        <v>2</v>
      </c>
      <c r="J671" s="14"/>
      <c r="K671" s="15" t="s">
        <v>419</v>
      </c>
      <c r="L671" t="s">
        <v>473</v>
      </c>
      <c r="M671" t="s">
        <v>15</v>
      </c>
      <c r="N671" t="str">
        <f t="shared" si="113"/>
        <v>https://api.bcb.gov.br/dados/serie/bcdata.sgs.20995/dados?formato=json</v>
      </c>
      <c r="O671">
        <v>6</v>
      </c>
      <c r="P671" t="s">
        <v>19</v>
      </c>
      <c r="Q671" t="s">
        <v>19</v>
      </c>
      <c r="R671" t="s">
        <v>913</v>
      </c>
      <c r="S671" t="s">
        <v>621</v>
      </c>
      <c r="T671" t="e">
        <f t="shared" si="118"/>
        <v>#VALUE!</v>
      </c>
      <c r="U671">
        <f t="shared" si="117"/>
        <v>18</v>
      </c>
    </row>
    <row r="672" spans="1:21" x14ac:dyDescent="0.25">
      <c r="A672" s="1"/>
      <c r="B672" s="1">
        <v>20996</v>
      </c>
      <c r="C672" s="2" t="s">
        <v>190</v>
      </c>
      <c r="D672" s="1" t="s">
        <v>413</v>
      </c>
      <c r="E672" s="3" t="s">
        <v>0</v>
      </c>
      <c r="F672" s="4">
        <v>40603</v>
      </c>
      <c r="G672" s="5">
        <v>45597</v>
      </c>
      <c r="H672" s="6" t="s">
        <v>1</v>
      </c>
      <c r="I672" s="1" t="s">
        <v>2</v>
      </c>
      <c r="J672" s="7"/>
      <c r="K672" s="15" t="s">
        <v>419</v>
      </c>
      <c r="L672" t="s">
        <v>473</v>
      </c>
      <c r="M672" t="s">
        <v>15</v>
      </c>
      <c r="N672" t="str">
        <f t="shared" si="113"/>
        <v>https://api.bcb.gov.br/dados/serie/bcdata.sgs.20996/dados?formato=json</v>
      </c>
      <c r="O672">
        <v>6</v>
      </c>
      <c r="P672" t="s">
        <v>19</v>
      </c>
      <c r="Q672" t="s">
        <v>19</v>
      </c>
      <c r="R672" t="s">
        <v>914</v>
      </c>
      <c r="S672" t="s">
        <v>621</v>
      </c>
      <c r="T672" t="e">
        <f t="shared" si="118"/>
        <v>#VALUE!</v>
      </c>
      <c r="U672">
        <f t="shared" si="117"/>
        <v>18</v>
      </c>
    </row>
    <row r="673" spans="1:21" x14ac:dyDescent="0.25">
      <c r="A673" s="8"/>
      <c r="B673" s="8">
        <v>20997</v>
      </c>
      <c r="C673" s="9" t="s">
        <v>191</v>
      </c>
      <c r="D673" s="8" t="s">
        <v>413</v>
      </c>
      <c r="E673" s="10" t="s">
        <v>0</v>
      </c>
      <c r="F673" s="11">
        <v>40603</v>
      </c>
      <c r="G673" s="12">
        <v>45597</v>
      </c>
      <c r="H673" s="13" t="s">
        <v>1</v>
      </c>
      <c r="I673" s="8" t="s">
        <v>2</v>
      </c>
      <c r="J673" s="14"/>
      <c r="K673" s="15" t="s">
        <v>419</v>
      </c>
      <c r="L673" t="s">
        <v>473</v>
      </c>
      <c r="M673" t="s">
        <v>15</v>
      </c>
      <c r="N673" t="str">
        <f t="shared" si="113"/>
        <v>https://api.bcb.gov.br/dados/serie/bcdata.sgs.20997/dados?formato=json</v>
      </c>
      <c r="O673">
        <v>6</v>
      </c>
      <c r="P673" t="s">
        <v>19</v>
      </c>
      <c r="Q673" t="s">
        <v>19</v>
      </c>
      <c r="R673" t="s">
        <v>915</v>
      </c>
      <c r="S673" t="s">
        <v>621</v>
      </c>
      <c r="T673" t="e">
        <f t="shared" si="118"/>
        <v>#VALUE!</v>
      </c>
      <c r="U673">
        <f t="shared" si="117"/>
        <v>18</v>
      </c>
    </row>
    <row r="674" spans="1:21" x14ac:dyDescent="0.25">
      <c r="A674" s="1"/>
      <c r="B674" s="1">
        <v>20998</v>
      </c>
      <c r="C674" s="2" t="s">
        <v>192</v>
      </c>
      <c r="D674" s="1" t="s">
        <v>413</v>
      </c>
      <c r="E674" s="3" t="s">
        <v>0</v>
      </c>
      <c r="F674" s="4">
        <v>40603</v>
      </c>
      <c r="G674" s="5">
        <v>45597</v>
      </c>
      <c r="H674" s="6" t="s">
        <v>1</v>
      </c>
      <c r="I674" s="1" t="s">
        <v>2</v>
      </c>
      <c r="J674" s="7"/>
      <c r="K674" s="15" t="s">
        <v>419</v>
      </c>
      <c r="L674" t="s">
        <v>473</v>
      </c>
      <c r="M674" t="s">
        <v>15</v>
      </c>
      <c r="N674" t="str">
        <f t="shared" si="113"/>
        <v>https://api.bcb.gov.br/dados/serie/bcdata.sgs.20998/dados?formato=json</v>
      </c>
      <c r="O674">
        <v>6</v>
      </c>
      <c r="P674" t="s">
        <v>19</v>
      </c>
      <c r="Q674" t="s">
        <v>19</v>
      </c>
      <c r="R674" t="s">
        <v>917</v>
      </c>
      <c r="S674" t="s">
        <v>621</v>
      </c>
      <c r="T674" t="e">
        <f t="shared" si="118"/>
        <v>#VALUE!</v>
      </c>
      <c r="U674">
        <f t="shared" si="117"/>
        <v>18</v>
      </c>
    </row>
    <row r="675" spans="1:21" x14ac:dyDescent="0.25">
      <c r="A675" s="8"/>
      <c r="B675" s="8">
        <v>20999</v>
      </c>
      <c r="C675" s="9" t="s">
        <v>193</v>
      </c>
      <c r="D675" s="8" t="s">
        <v>413</v>
      </c>
      <c r="E675" s="10" t="s">
        <v>0</v>
      </c>
      <c r="F675" s="11">
        <v>40603</v>
      </c>
      <c r="G675" s="12">
        <v>45597</v>
      </c>
      <c r="H675" s="13" t="s">
        <v>1</v>
      </c>
      <c r="I675" s="8" t="s">
        <v>2</v>
      </c>
      <c r="J675" s="14"/>
      <c r="K675" s="15" t="s">
        <v>419</v>
      </c>
      <c r="L675" t="s">
        <v>473</v>
      </c>
      <c r="M675" t="s">
        <v>15</v>
      </c>
      <c r="N675" t="str">
        <f t="shared" si="113"/>
        <v>https://api.bcb.gov.br/dados/serie/bcdata.sgs.20999/dados?formato=json</v>
      </c>
      <c r="O675">
        <v>6</v>
      </c>
      <c r="P675" t="s">
        <v>19</v>
      </c>
      <c r="Q675" t="s">
        <v>19</v>
      </c>
      <c r="R675" t="s">
        <v>918</v>
      </c>
      <c r="S675" t="s">
        <v>621</v>
      </c>
      <c r="T675" t="e">
        <f t="shared" si="118"/>
        <v>#VALUE!</v>
      </c>
      <c r="U675">
        <f t="shared" si="117"/>
        <v>18</v>
      </c>
    </row>
    <row r="676" spans="1:21" x14ac:dyDescent="0.25">
      <c r="A676" s="1"/>
      <c r="B676" s="1">
        <v>21001</v>
      </c>
      <c r="C676" s="2" t="s">
        <v>194</v>
      </c>
      <c r="D676" s="1" t="s">
        <v>413</v>
      </c>
      <c r="E676" s="3" t="s">
        <v>0</v>
      </c>
      <c r="F676" s="4">
        <v>40603</v>
      </c>
      <c r="G676" s="5">
        <v>45597</v>
      </c>
      <c r="H676" s="6" t="s">
        <v>1</v>
      </c>
      <c r="I676" s="1" t="s">
        <v>2</v>
      </c>
      <c r="J676" s="7"/>
      <c r="K676" s="15" t="s">
        <v>419</v>
      </c>
      <c r="L676" t="s">
        <v>473</v>
      </c>
      <c r="M676" t="s">
        <v>15</v>
      </c>
      <c r="N676" t="str">
        <f t="shared" si="113"/>
        <v>https://api.bcb.gov.br/dados/serie/bcdata.sgs.21001/dados?formato=json</v>
      </c>
      <c r="O676">
        <v>6</v>
      </c>
      <c r="P676" t="s">
        <v>19</v>
      </c>
      <c r="Q676" t="s">
        <v>19</v>
      </c>
      <c r="R676" t="s">
        <v>919</v>
      </c>
      <c r="S676" t="s">
        <v>621</v>
      </c>
      <c r="T676" t="e">
        <f t="shared" si="118"/>
        <v>#VALUE!</v>
      </c>
      <c r="U676">
        <f t="shared" si="117"/>
        <v>18</v>
      </c>
    </row>
    <row r="677" spans="1:21" x14ac:dyDescent="0.25">
      <c r="A677" s="8"/>
      <c r="B677" s="8">
        <v>21002</v>
      </c>
      <c r="C677" s="9" t="s">
        <v>195</v>
      </c>
      <c r="D677" s="8" t="s">
        <v>413</v>
      </c>
      <c r="E677" s="10" t="s">
        <v>0</v>
      </c>
      <c r="F677" s="11">
        <v>40603</v>
      </c>
      <c r="G677" s="12">
        <v>45597</v>
      </c>
      <c r="H677" s="13" t="s">
        <v>1</v>
      </c>
      <c r="I677" s="8" t="s">
        <v>2</v>
      </c>
      <c r="J677" s="14"/>
      <c r="K677" s="15" t="s">
        <v>419</v>
      </c>
      <c r="L677" t="s">
        <v>473</v>
      </c>
      <c r="M677" t="s">
        <v>15</v>
      </c>
      <c r="N677" t="str">
        <f t="shared" si="113"/>
        <v>https://api.bcb.gov.br/dados/serie/bcdata.sgs.21002/dados?formato=json</v>
      </c>
      <c r="O677">
        <v>6</v>
      </c>
      <c r="P677" t="s">
        <v>19</v>
      </c>
      <c r="Q677" t="s">
        <v>19</v>
      </c>
      <c r="R677" t="s">
        <v>916</v>
      </c>
      <c r="S677" t="s">
        <v>621</v>
      </c>
      <c r="T677" t="e">
        <f t="shared" si="118"/>
        <v>#VALUE!</v>
      </c>
      <c r="U677">
        <f t="shared" si="117"/>
        <v>18</v>
      </c>
    </row>
    <row r="678" spans="1:21" x14ac:dyDescent="0.25">
      <c r="A678" s="1"/>
      <c r="B678" s="1">
        <v>21003</v>
      </c>
      <c r="C678" s="2" t="s">
        <v>118</v>
      </c>
      <c r="D678" s="1" t="s">
        <v>835</v>
      </c>
      <c r="E678" s="3" t="s">
        <v>0</v>
      </c>
      <c r="F678" s="4">
        <v>40603</v>
      </c>
      <c r="G678" s="5">
        <v>45597</v>
      </c>
      <c r="H678" s="6" t="s">
        <v>1</v>
      </c>
      <c r="I678" s="1" t="s">
        <v>2</v>
      </c>
      <c r="J678" s="7"/>
      <c r="K678" s="15" t="s">
        <v>474</v>
      </c>
      <c r="L678" t="s">
        <v>475</v>
      </c>
      <c r="M678" t="s">
        <v>15</v>
      </c>
      <c r="N678" t="str">
        <f t="shared" ref="N678:N680" si="119">_xlfn.CONCAT("https://api.bcb.gov.br/dados/serie/bcdata.sgs.",B678,"/dados?formato=json")</f>
        <v>https://api.bcb.gov.br/dados/serie/bcdata.sgs.21003/dados?formato=json</v>
      </c>
      <c r="O678">
        <v>6</v>
      </c>
      <c r="P678" t="s">
        <v>19</v>
      </c>
      <c r="Q678" t="s">
        <v>19</v>
      </c>
      <c r="R678" t="s">
        <v>118</v>
      </c>
      <c r="S678" t="s">
        <v>118</v>
      </c>
    </row>
    <row r="679" spans="1:21" x14ac:dyDescent="0.25">
      <c r="A679" s="8"/>
      <c r="B679" s="8">
        <v>21004</v>
      </c>
      <c r="C679" s="9" t="s">
        <v>119</v>
      </c>
      <c r="D679" s="8" t="s">
        <v>835</v>
      </c>
      <c r="E679" s="10" t="s">
        <v>0</v>
      </c>
      <c r="F679" s="11">
        <v>40603</v>
      </c>
      <c r="G679" s="12">
        <v>45597</v>
      </c>
      <c r="H679" s="13" t="s">
        <v>1</v>
      </c>
      <c r="I679" s="8" t="s">
        <v>2</v>
      </c>
      <c r="J679" s="14"/>
      <c r="K679" s="15" t="s">
        <v>474</v>
      </c>
      <c r="L679" t="s">
        <v>475</v>
      </c>
      <c r="M679" t="s">
        <v>15</v>
      </c>
      <c r="N679" t="str">
        <f t="shared" si="119"/>
        <v>https://api.bcb.gov.br/dados/serie/bcdata.sgs.21004/dados?formato=json</v>
      </c>
      <c r="O679">
        <v>6</v>
      </c>
      <c r="P679" t="s">
        <v>19</v>
      </c>
      <c r="Q679" t="s">
        <v>19</v>
      </c>
      <c r="R679" t="s">
        <v>118</v>
      </c>
      <c r="S679" t="s">
        <v>622</v>
      </c>
    </row>
    <row r="680" spans="1:21" x14ac:dyDescent="0.25">
      <c r="A680" s="1"/>
      <c r="B680" s="1">
        <v>21005</v>
      </c>
      <c r="C680" s="2" t="s">
        <v>120</v>
      </c>
      <c r="D680" s="1" t="s">
        <v>835</v>
      </c>
      <c r="E680" s="3" t="s">
        <v>0</v>
      </c>
      <c r="F680" s="4">
        <v>40603</v>
      </c>
      <c r="G680" s="5">
        <v>45597</v>
      </c>
      <c r="H680" s="6" t="s">
        <v>1</v>
      </c>
      <c r="I680" s="1" t="s">
        <v>2</v>
      </c>
      <c r="J680" s="7"/>
      <c r="K680" s="15" t="s">
        <v>474</v>
      </c>
      <c r="L680" t="s">
        <v>475</v>
      </c>
      <c r="M680" t="s">
        <v>15</v>
      </c>
      <c r="N680" t="str">
        <f t="shared" si="119"/>
        <v>https://api.bcb.gov.br/dados/serie/bcdata.sgs.21005/dados?formato=json</v>
      </c>
      <c r="O680">
        <v>6</v>
      </c>
      <c r="P680" t="s">
        <v>19</v>
      </c>
      <c r="Q680" t="s">
        <v>19</v>
      </c>
      <c r="R680" t="s">
        <v>118</v>
      </c>
      <c r="S680" t="s">
        <v>621</v>
      </c>
    </row>
    <row r="681" spans="1:21" x14ac:dyDescent="0.25">
      <c r="A681" s="1"/>
      <c r="B681" s="1">
        <v>21006</v>
      </c>
      <c r="C681" s="2" t="s">
        <v>118</v>
      </c>
      <c r="D681" s="1" t="s">
        <v>835</v>
      </c>
      <c r="E681" s="3" t="s">
        <v>0</v>
      </c>
      <c r="F681" s="4">
        <v>40603</v>
      </c>
      <c r="G681" s="5">
        <v>45597</v>
      </c>
      <c r="H681" s="6" t="s">
        <v>1</v>
      </c>
      <c r="I681" s="1" t="s">
        <v>2</v>
      </c>
      <c r="J681" s="7"/>
      <c r="K681" s="15" t="s">
        <v>476</v>
      </c>
      <c r="L681" t="s">
        <v>477</v>
      </c>
      <c r="M681" t="s">
        <v>15</v>
      </c>
      <c r="N681" t="str">
        <f t="shared" ref="N681:N727" si="120">_xlfn.CONCAT("https://api.bcb.gov.br/dados/serie/bcdata.sgs.",B681,"/dados?formato=json")</f>
        <v>https://api.bcb.gov.br/dados/serie/bcdata.sgs.21006/dados?formato=json</v>
      </c>
      <c r="O681">
        <v>6</v>
      </c>
      <c r="P681" t="s">
        <v>19</v>
      </c>
      <c r="Q681" t="s">
        <v>19</v>
      </c>
      <c r="R681" t="s">
        <v>118</v>
      </c>
      <c r="S681" t="s">
        <v>118</v>
      </c>
    </row>
    <row r="682" spans="1:21" x14ac:dyDescent="0.25">
      <c r="A682" s="8"/>
      <c r="B682" s="8">
        <v>21007</v>
      </c>
      <c r="C682" s="9" t="s">
        <v>119</v>
      </c>
      <c r="D682" s="8" t="s">
        <v>835</v>
      </c>
      <c r="E682" s="10" t="s">
        <v>0</v>
      </c>
      <c r="F682" s="11">
        <v>40603</v>
      </c>
      <c r="G682" s="12">
        <v>45597</v>
      </c>
      <c r="H682" s="13" t="s">
        <v>1</v>
      </c>
      <c r="I682" s="8" t="s">
        <v>2</v>
      </c>
      <c r="J682" s="14"/>
      <c r="K682" s="15" t="s">
        <v>476</v>
      </c>
      <c r="L682" t="s">
        <v>477</v>
      </c>
      <c r="M682" t="s">
        <v>15</v>
      </c>
      <c r="N682" t="str">
        <f t="shared" si="120"/>
        <v>https://api.bcb.gov.br/dados/serie/bcdata.sgs.21007/dados?formato=json</v>
      </c>
      <c r="O682">
        <v>6</v>
      </c>
      <c r="P682" t="s">
        <v>19</v>
      </c>
      <c r="Q682" t="s">
        <v>19</v>
      </c>
      <c r="R682" t="s">
        <v>118</v>
      </c>
      <c r="S682" t="s">
        <v>622</v>
      </c>
      <c r="T682" t="e">
        <f t="shared" ref="T682" si="121">RIGHT(S682,LEN(S682)-U682)</f>
        <v>#VALUE!</v>
      </c>
      <c r="U682">
        <f t="shared" ref="U682:U707" si="122">LEN("Setor de serviços - ")</f>
        <v>20</v>
      </c>
    </row>
    <row r="683" spans="1:21" x14ac:dyDescent="0.25">
      <c r="A683" s="1"/>
      <c r="B683" s="1">
        <v>21008</v>
      </c>
      <c r="C683" s="2" t="s">
        <v>123</v>
      </c>
      <c r="D683" s="1" t="s">
        <v>835</v>
      </c>
      <c r="E683" s="3" t="s">
        <v>0</v>
      </c>
      <c r="F683" s="4">
        <v>40603</v>
      </c>
      <c r="G683" s="5">
        <v>45597</v>
      </c>
      <c r="H683" s="6" t="s">
        <v>1</v>
      </c>
      <c r="I683" s="1" t="s">
        <v>2</v>
      </c>
      <c r="J683" s="7"/>
      <c r="K683" s="15" t="s">
        <v>476</v>
      </c>
      <c r="L683" t="s">
        <v>477</v>
      </c>
      <c r="M683" t="s">
        <v>15</v>
      </c>
      <c r="N683" t="str">
        <f t="shared" si="120"/>
        <v>https://api.bcb.gov.br/dados/serie/bcdata.sgs.21008/dados?formato=json</v>
      </c>
      <c r="O683">
        <v>6</v>
      </c>
      <c r="P683" t="s">
        <v>19</v>
      </c>
      <c r="Q683" t="s">
        <v>19</v>
      </c>
      <c r="R683" t="s">
        <v>873</v>
      </c>
      <c r="S683" t="s">
        <v>622</v>
      </c>
      <c r="T683" t="e">
        <f t="shared" ref="T683:T708" si="123">RIGHT(S683,LEN(S683)-U683)</f>
        <v>#VALUE!</v>
      </c>
      <c r="U683">
        <f t="shared" si="122"/>
        <v>20</v>
      </c>
    </row>
    <row r="684" spans="1:21" x14ac:dyDescent="0.25">
      <c r="A684" s="8"/>
      <c r="B684" s="8">
        <v>21009</v>
      </c>
      <c r="C684" s="9" t="s">
        <v>124</v>
      </c>
      <c r="D684" s="8" t="s">
        <v>835</v>
      </c>
      <c r="E684" s="10" t="s">
        <v>0</v>
      </c>
      <c r="F684" s="11">
        <v>40603</v>
      </c>
      <c r="G684" s="12">
        <v>45597</v>
      </c>
      <c r="H684" s="13" t="s">
        <v>1</v>
      </c>
      <c r="I684" s="8" t="s">
        <v>2</v>
      </c>
      <c r="J684" s="14"/>
      <c r="K684" s="15" t="s">
        <v>476</v>
      </c>
      <c r="L684" t="s">
        <v>477</v>
      </c>
      <c r="M684" t="s">
        <v>15</v>
      </c>
      <c r="N684" t="str">
        <f t="shared" si="120"/>
        <v>https://api.bcb.gov.br/dados/serie/bcdata.sgs.21009/dados?formato=json</v>
      </c>
      <c r="O684">
        <v>6</v>
      </c>
      <c r="P684" t="s">
        <v>19</v>
      </c>
      <c r="Q684" t="s">
        <v>19</v>
      </c>
      <c r="R684" t="s">
        <v>874</v>
      </c>
      <c r="S684" t="s">
        <v>622</v>
      </c>
      <c r="T684" t="e">
        <f t="shared" si="123"/>
        <v>#VALUE!</v>
      </c>
      <c r="U684">
        <f t="shared" si="122"/>
        <v>20</v>
      </c>
    </row>
    <row r="685" spans="1:21" x14ac:dyDescent="0.25">
      <c r="A685" s="1"/>
      <c r="B685" s="1">
        <v>21010</v>
      </c>
      <c r="C685" s="2" t="s">
        <v>125</v>
      </c>
      <c r="D685" s="1" t="s">
        <v>835</v>
      </c>
      <c r="E685" s="3" t="s">
        <v>0</v>
      </c>
      <c r="F685" s="4">
        <v>40603</v>
      </c>
      <c r="G685" s="5">
        <v>45597</v>
      </c>
      <c r="H685" s="6" t="s">
        <v>1</v>
      </c>
      <c r="I685" s="1" t="s">
        <v>2</v>
      </c>
      <c r="J685" s="7"/>
      <c r="K685" s="15" t="s">
        <v>476</v>
      </c>
      <c r="L685" t="s">
        <v>477</v>
      </c>
      <c r="M685" t="s">
        <v>15</v>
      </c>
      <c r="N685" t="str">
        <f t="shared" si="120"/>
        <v>https://api.bcb.gov.br/dados/serie/bcdata.sgs.21010/dados?formato=json</v>
      </c>
      <c r="O685">
        <v>6</v>
      </c>
      <c r="P685" t="s">
        <v>19</v>
      </c>
      <c r="Q685" t="s">
        <v>19</v>
      </c>
      <c r="R685" t="s">
        <v>875</v>
      </c>
      <c r="S685" t="s">
        <v>622</v>
      </c>
      <c r="T685" t="e">
        <f t="shared" si="123"/>
        <v>#VALUE!</v>
      </c>
      <c r="U685">
        <f t="shared" si="122"/>
        <v>20</v>
      </c>
    </row>
    <row r="686" spans="1:21" x14ac:dyDescent="0.25">
      <c r="A686" s="8"/>
      <c r="B686" s="8">
        <v>21011</v>
      </c>
      <c r="C686" s="9" t="s">
        <v>126</v>
      </c>
      <c r="D686" s="8" t="s">
        <v>835</v>
      </c>
      <c r="E686" s="10" t="s">
        <v>0</v>
      </c>
      <c r="F686" s="11">
        <v>40603</v>
      </c>
      <c r="G686" s="12">
        <v>45597</v>
      </c>
      <c r="H686" s="13" t="s">
        <v>1</v>
      </c>
      <c r="I686" s="8" t="s">
        <v>2</v>
      </c>
      <c r="J686" s="14"/>
      <c r="K686" s="15" t="s">
        <v>476</v>
      </c>
      <c r="L686" t="s">
        <v>477</v>
      </c>
      <c r="M686" t="s">
        <v>15</v>
      </c>
      <c r="N686" t="str">
        <f t="shared" si="120"/>
        <v>https://api.bcb.gov.br/dados/serie/bcdata.sgs.21011/dados?formato=json</v>
      </c>
      <c r="O686">
        <v>6</v>
      </c>
      <c r="P686" t="s">
        <v>19</v>
      </c>
      <c r="Q686" t="s">
        <v>19</v>
      </c>
      <c r="R686" t="s">
        <v>876</v>
      </c>
      <c r="S686" t="s">
        <v>622</v>
      </c>
      <c r="T686" t="e">
        <f t="shared" si="123"/>
        <v>#VALUE!</v>
      </c>
      <c r="U686">
        <f t="shared" si="122"/>
        <v>20</v>
      </c>
    </row>
    <row r="687" spans="1:21" x14ac:dyDescent="0.25">
      <c r="A687" s="1"/>
      <c r="B687" s="1">
        <v>21012</v>
      </c>
      <c r="C687" s="2" t="s">
        <v>127</v>
      </c>
      <c r="D687" s="1" t="s">
        <v>835</v>
      </c>
      <c r="E687" s="3" t="s">
        <v>0</v>
      </c>
      <c r="F687" s="4">
        <v>40603</v>
      </c>
      <c r="G687" s="5">
        <v>45597</v>
      </c>
      <c r="H687" s="6" t="s">
        <v>1</v>
      </c>
      <c r="I687" s="1" t="s">
        <v>2</v>
      </c>
      <c r="J687" s="7"/>
      <c r="K687" s="15" t="s">
        <v>476</v>
      </c>
      <c r="L687" t="s">
        <v>477</v>
      </c>
      <c r="M687" t="s">
        <v>15</v>
      </c>
      <c r="N687" t="str">
        <f t="shared" si="120"/>
        <v>https://api.bcb.gov.br/dados/serie/bcdata.sgs.21012/dados?formato=json</v>
      </c>
      <c r="O687">
        <v>6</v>
      </c>
      <c r="P687" t="s">
        <v>19</v>
      </c>
      <c r="Q687" t="s">
        <v>19</v>
      </c>
      <c r="R687" t="s">
        <v>877</v>
      </c>
      <c r="S687" t="s">
        <v>622</v>
      </c>
      <c r="T687" t="e">
        <f t="shared" si="123"/>
        <v>#VALUE!</v>
      </c>
      <c r="U687">
        <f t="shared" si="122"/>
        <v>20</v>
      </c>
    </row>
    <row r="688" spans="1:21" x14ac:dyDescent="0.25">
      <c r="A688" s="8"/>
      <c r="B688" s="8">
        <v>21013</v>
      </c>
      <c r="C688" s="9" t="s">
        <v>128</v>
      </c>
      <c r="D688" s="8" t="s">
        <v>835</v>
      </c>
      <c r="E688" s="10" t="s">
        <v>0</v>
      </c>
      <c r="F688" s="11">
        <v>40603</v>
      </c>
      <c r="G688" s="12">
        <v>45597</v>
      </c>
      <c r="H688" s="13" t="s">
        <v>1</v>
      </c>
      <c r="I688" s="8" t="s">
        <v>2</v>
      </c>
      <c r="J688" s="14"/>
      <c r="K688" s="15" t="s">
        <v>476</v>
      </c>
      <c r="L688" t="s">
        <v>477</v>
      </c>
      <c r="M688" t="s">
        <v>15</v>
      </c>
      <c r="N688" t="str">
        <f t="shared" si="120"/>
        <v>https://api.bcb.gov.br/dados/serie/bcdata.sgs.21013/dados?formato=json</v>
      </c>
      <c r="O688">
        <v>6</v>
      </c>
      <c r="P688" t="s">
        <v>19</v>
      </c>
      <c r="Q688" t="s">
        <v>19</v>
      </c>
      <c r="R688" t="s">
        <v>878</v>
      </c>
      <c r="S688" t="s">
        <v>622</v>
      </c>
      <c r="T688" t="e">
        <f t="shared" si="123"/>
        <v>#VALUE!</v>
      </c>
      <c r="U688">
        <f t="shared" si="122"/>
        <v>20</v>
      </c>
    </row>
    <row r="689" spans="1:21" x14ac:dyDescent="0.25">
      <c r="A689" s="1"/>
      <c r="B689" s="1">
        <v>21014</v>
      </c>
      <c r="C689" s="2" t="s">
        <v>129</v>
      </c>
      <c r="D689" s="1" t="s">
        <v>835</v>
      </c>
      <c r="E689" s="3" t="s">
        <v>0</v>
      </c>
      <c r="F689" s="4">
        <v>40603</v>
      </c>
      <c r="G689" s="5">
        <v>45597</v>
      </c>
      <c r="H689" s="6" t="s">
        <v>1</v>
      </c>
      <c r="I689" s="1" t="s">
        <v>2</v>
      </c>
      <c r="J689" s="7"/>
      <c r="K689" s="15" t="s">
        <v>476</v>
      </c>
      <c r="L689" t="s">
        <v>477</v>
      </c>
      <c r="M689" t="s">
        <v>15</v>
      </c>
      <c r="N689" t="str">
        <f t="shared" si="120"/>
        <v>https://api.bcb.gov.br/dados/serie/bcdata.sgs.21014/dados?formato=json</v>
      </c>
      <c r="O689">
        <v>6</v>
      </c>
      <c r="P689" t="s">
        <v>19</v>
      </c>
      <c r="Q689" t="s">
        <v>19</v>
      </c>
      <c r="R689" t="s">
        <v>879</v>
      </c>
      <c r="S689" t="s">
        <v>622</v>
      </c>
      <c r="T689" t="e">
        <f t="shared" si="123"/>
        <v>#VALUE!</v>
      </c>
      <c r="U689">
        <f t="shared" si="122"/>
        <v>20</v>
      </c>
    </row>
    <row r="690" spans="1:21" x14ac:dyDescent="0.25">
      <c r="A690" s="8"/>
      <c r="B690" s="8">
        <v>21015</v>
      </c>
      <c r="C690" s="9" t="s">
        <v>130</v>
      </c>
      <c r="D690" s="8" t="s">
        <v>835</v>
      </c>
      <c r="E690" s="10" t="s">
        <v>0</v>
      </c>
      <c r="F690" s="11">
        <v>40603</v>
      </c>
      <c r="G690" s="12">
        <v>45597</v>
      </c>
      <c r="H690" s="13" t="s">
        <v>1</v>
      </c>
      <c r="I690" s="8" t="s">
        <v>2</v>
      </c>
      <c r="J690" s="14"/>
      <c r="K690" s="15" t="s">
        <v>476</v>
      </c>
      <c r="L690" t="s">
        <v>477</v>
      </c>
      <c r="M690" t="s">
        <v>15</v>
      </c>
      <c r="N690" t="str">
        <f t="shared" si="120"/>
        <v>https://api.bcb.gov.br/dados/serie/bcdata.sgs.21015/dados?formato=json</v>
      </c>
      <c r="O690">
        <v>6</v>
      </c>
      <c r="P690" t="s">
        <v>19</v>
      </c>
      <c r="Q690" t="s">
        <v>19</v>
      </c>
      <c r="R690" t="s">
        <v>880</v>
      </c>
      <c r="S690" t="s">
        <v>622</v>
      </c>
      <c r="T690" t="e">
        <f t="shared" si="123"/>
        <v>#VALUE!</v>
      </c>
      <c r="U690">
        <f t="shared" si="122"/>
        <v>20</v>
      </c>
    </row>
    <row r="691" spans="1:21" x14ac:dyDescent="0.25">
      <c r="A691" s="1"/>
      <c r="B691" s="1">
        <v>21016</v>
      </c>
      <c r="C691" s="2" t="s">
        <v>131</v>
      </c>
      <c r="D691" s="1" t="s">
        <v>835</v>
      </c>
      <c r="E691" s="3" t="s">
        <v>0</v>
      </c>
      <c r="F691" s="4">
        <v>40603</v>
      </c>
      <c r="G691" s="5">
        <v>45597</v>
      </c>
      <c r="H691" s="6" t="s">
        <v>1</v>
      </c>
      <c r="I691" s="1" t="s">
        <v>2</v>
      </c>
      <c r="J691" s="7"/>
      <c r="K691" s="15" t="s">
        <v>476</v>
      </c>
      <c r="L691" t="s">
        <v>477</v>
      </c>
      <c r="M691" t="s">
        <v>15</v>
      </c>
      <c r="N691" t="str">
        <f t="shared" si="120"/>
        <v>https://api.bcb.gov.br/dados/serie/bcdata.sgs.21016/dados?formato=json</v>
      </c>
      <c r="O691">
        <v>6</v>
      </c>
      <c r="P691" t="s">
        <v>19</v>
      </c>
      <c r="Q691" t="s">
        <v>19</v>
      </c>
      <c r="R691" t="s">
        <v>881</v>
      </c>
      <c r="S691" t="s">
        <v>622</v>
      </c>
      <c r="T691" t="e">
        <f t="shared" si="123"/>
        <v>#VALUE!</v>
      </c>
      <c r="U691">
        <f t="shared" si="122"/>
        <v>20</v>
      </c>
    </row>
    <row r="692" spans="1:21" x14ac:dyDescent="0.25">
      <c r="A692" s="8"/>
      <c r="B692" s="8">
        <v>21017</v>
      </c>
      <c r="C692" s="9" t="s">
        <v>132</v>
      </c>
      <c r="D692" s="8" t="s">
        <v>835</v>
      </c>
      <c r="E692" s="10" t="s">
        <v>0</v>
      </c>
      <c r="F692" s="11">
        <v>40603</v>
      </c>
      <c r="G692" s="12">
        <v>45597</v>
      </c>
      <c r="H692" s="13" t="s">
        <v>1</v>
      </c>
      <c r="I692" s="8" t="s">
        <v>2</v>
      </c>
      <c r="J692" s="14"/>
      <c r="K692" s="15" t="s">
        <v>476</v>
      </c>
      <c r="L692" t="s">
        <v>477</v>
      </c>
      <c r="M692" t="s">
        <v>15</v>
      </c>
      <c r="N692" t="str">
        <f t="shared" si="120"/>
        <v>https://api.bcb.gov.br/dados/serie/bcdata.sgs.21017/dados?formato=json</v>
      </c>
      <c r="O692">
        <v>6</v>
      </c>
      <c r="P692" t="s">
        <v>19</v>
      </c>
      <c r="Q692" t="s">
        <v>19</v>
      </c>
      <c r="R692" t="s">
        <v>882</v>
      </c>
      <c r="S692" t="s">
        <v>622</v>
      </c>
      <c r="T692" t="e">
        <f t="shared" si="123"/>
        <v>#VALUE!</v>
      </c>
      <c r="U692">
        <f t="shared" si="122"/>
        <v>20</v>
      </c>
    </row>
    <row r="693" spans="1:21" x14ac:dyDescent="0.25">
      <c r="A693" s="1"/>
      <c r="B693" s="1">
        <v>21018</v>
      </c>
      <c r="C693" s="2" t="s">
        <v>133</v>
      </c>
      <c r="D693" s="1" t="s">
        <v>835</v>
      </c>
      <c r="E693" s="3" t="s">
        <v>0</v>
      </c>
      <c r="F693" s="4">
        <v>40603</v>
      </c>
      <c r="G693" s="5">
        <v>45597</v>
      </c>
      <c r="H693" s="6" t="s">
        <v>1</v>
      </c>
      <c r="I693" s="1" t="s">
        <v>2</v>
      </c>
      <c r="J693" s="7"/>
      <c r="K693" s="15" t="s">
        <v>476</v>
      </c>
      <c r="L693" t="s">
        <v>477</v>
      </c>
      <c r="M693" t="s">
        <v>15</v>
      </c>
      <c r="N693" t="str">
        <f t="shared" si="120"/>
        <v>https://api.bcb.gov.br/dados/serie/bcdata.sgs.21018/dados?formato=json</v>
      </c>
      <c r="O693">
        <v>6</v>
      </c>
      <c r="P693" t="s">
        <v>19</v>
      </c>
      <c r="Q693" t="s">
        <v>19</v>
      </c>
      <c r="R693" t="s">
        <v>883</v>
      </c>
      <c r="S693" t="s">
        <v>622</v>
      </c>
      <c r="T693" t="e">
        <f t="shared" si="123"/>
        <v>#VALUE!</v>
      </c>
      <c r="U693">
        <f t="shared" si="122"/>
        <v>20</v>
      </c>
    </row>
    <row r="694" spans="1:21" x14ac:dyDescent="0.25">
      <c r="A694" s="8"/>
      <c r="B694" s="8">
        <v>21019</v>
      </c>
      <c r="C694" s="9" t="s">
        <v>134</v>
      </c>
      <c r="D694" s="8" t="s">
        <v>835</v>
      </c>
      <c r="E694" s="10" t="s">
        <v>0</v>
      </c>
      <c r="F694" s="11">
        <v>40603</v>
      </c>
      <c r="G694" s="12">
        <v>45597</v>
      </c>
      <c r="H694" s="13" t="s">
        <v>1</v>
      </c>
      <c r="I694" s="8" t="s">
        <v>2</v>
      </c>
      <c r="J694" s="14"/>
      <c r="K694" s="15" t="s">
        <v>476</v>
      </c>
      <c r="L694" t="s">
        <v>477</v>
      </c>
      <c r="M694" t="s">
        <v>15</v>
      </c>
      <c r="N694" t="str">
        <f t="shared" si="120"/>
        <v>https://api.bcb.gov.br/dados/serie/bcdata.sgs.21019/dados?formato=json</v>
      </c>
      <c r="O694">
        <v>6</v>
      </c>
      <c r="P694" t="s">
        <v>19</v>
      </c>
      <c r="Q694" t="s">
        <v>19</v>
      </c>
      <c r="R694" t="s">
        <v>884</v>
      </c>
      <c r="S694" t="s">
        <v>622</v>
      </c>
      <c r="T694" t="e">
        <f t="shared" si="123"/>
        <v>#VALUE!</v>
      </c>
      <c r="U694">
        <f t="shared" si="122"/>
        <v>20</v>
      </c>
    </row>
    <row r="695" spans="1:21" x14ac:dyDescent="0.25">
      <c r="A695" s="1"/>
      <c r="B695" s="1">
        <v>21020</v>
      </c>
      <c r="C695" s="2" t="s">
        <v>135</v>
      </c>
      <c r="D695" s="1" t="s">
        <v>835</v>
      </c>
      <c r="E695" s="3" t="s">
        <v>0</v>
      </c>
      <c r="F695" s="4">
        <v>40603</v>
      </c>
      <c r="G695" s="5">
        <v>45597</v>
      </c>
      <c r="H695" s="6" t="s">
        <v>1</v>
      </c>
      <c r="I695" s="1" t="s">
        <v>2</v>
      </c>
      <c r="J695" s="7"/>
      <c r="K695" s="15" t="s">
        <v>476</v>
      </c>
      <c r="L695" t="s">
        <v>477</v>
      </c>
      <c r="M695" t="s">
        <v>15</v>
      </c>
      <c r="N695" t="str">
        <f t="shared" si="120"/>
        <v>https://api.bcb.gov.br/dados/serie/bcdata.sgs.21020/dados?formato=json</v>
      </c>
      <c r="O695">
        <v>6</v>
      </c>
      <c r="P695" t="s">
        <v>19</v>
      </c>
      <c r="Q695" t="s">
        <v>19</v>
      </c>
      <c r="R695" t="s">
        <v>885</v>
      </c>
      <c r="S695" t="s">
        <v>622</v>
      </c>
      <c r="T695" t="e">
        <f t="shared" si="123"/>
        <v>#VALUE!</v>
      </c>
      <c r="U695">
        <f t="shared" si="122"/>
        <v>20</v>
      </c>
    </row>
    <row r="696" spans="1:21" x14ac:dyDescent="0.25">
      <c r="A696" s="8"/>
      <c r="B696" s="8">
        <v>21021</v>
      </c>
      <c r="C696" s="9" t="s">
        <v>136</v>
      </c>
      <c r="D696" s="8" t="s">
        <v>835</v>
      </c>
      <c r="E696" s="10" t="s">
        <v>0</v>
      </c>
      <c r="F696" s="11">
        <v>40603</v>
      </c>
      <c r="G696" s="12">
        <v>45597</v>
      </c>
      <c r="H696" s="13" t="s">
        <v>1</v>
      </c>
      <c r="I696" s="8" t="s">
        <v>2</v>
      </c>
      <c r="J696" s="14"/>
      <c r="K696" s="15" t="s">
        <v>476</v>
      </c>
      <c r="L696" t="s">
        <v>477</v>
      </c>
      <c r="M696" t="s">
        <v>15</v>
      </c>
      <c r="N696" t="str">
        <f t="shared" si="120"/>
        <v>https://api.bcb.gov.br/dados/serie/bcdata.sgs.21021/dados?formato=json</v>
      </c>
      <c r="O696">
        <v>6</v>
      </c>
      <c r="P696" t="s">
        <v>19</v>
      </c>
      <c r="Q696" t="s">
        <v>19</v>
      </c>
      <c r="R696" t="s">
        <v>886</v>
      </c>
      <c r="S696" t="s">
        <v>622</v>
      </c>
      <c r="T696" t="e">
        <f t="shared" si="123"/>
        <v>#VALUE!</v>
      </c>
      <c r="U696">
        <f t="shared" si="122"/>
        <v>20</v>
      </c>
    </row>
    <row r="697" spans="1:21" x14ac:dyDescent="0.25">
      <c r="A697" s="1"/>
      <c r="B697" s="1">
        <v>21022</v>
      </c>
      <c r="C697" s="2" t="s">
        <v>137</v>
      </c>
      <c r="D697" s="1" t="s">
        <v>835</v>
      </c>
      <c r="E697" s="3" t="s">
        <v>0</v>
      </c>
      <c r="F697" s="4">
        <v>40603</v>
      </c>
      <c r="G697" s="5">
        <v>45597</v>
      </c>
      <c r="H697" s="6" t="s">
        <v>1</v>
      </c>
      <c r="I697" s="1" t="s">
        <v>2</v>
      </c>
      <c r="J697" s="7"/>
      <c r="K697" s="15" t="s">
        <v>476</v>
      </c>
      <c r="L697" t="s">
        <v>477</v>
      </c>
      <c r="M697" t="s">
        <v>15</v>
      </c>
      <c r="N697" t="str">
        <f t="shared" si="120"/>
        <v>https://api.bcb.gov.br/dados/serie/bcdata.sgs.21022/dados?formato=json</v>
      </c>
      <c r="O697">
        <v>6</v>
      </c>
      <c r="P697" t="s">
        <v>19</v>
      </c>
      <c r="Q697" t="s">
        <v>19</v>
      </c>
      <c r="R697" t="s">
        <v>887</v>
      </c>
      <c r="S697" t="s">
        <v>622</v>
      </c>
      <c r="T697" t="e">
        <f t="shared" si="123"/>
        <v>#VALUE!</v>
      </c>
      <c r="U697">
        <f t="shared" si="122"/>
        <v>20</v>
      </c>
    </row>
    <row r="698" spans="1:21" x14ac:dyDescent="0.25">
      <c r="A698" s="8"/>
      <c r="B698" s="8">
        <v>21023</v>
      </c>
      <c r="C698" s="9" t="s">
        <v>138</v>
      </c>
      <c r="D698" s="8" t="s">
        <v>835</v>
      </c>
      <c r="E698" s="10" t="s">
        <v>0</v>
      </c>
      <c r="F698" s="11">
        <v>40603</v>
      </c>
      <c r="G698" s="12">
        <v>45597</v>
      </c>
      <c r="H698" s="13" t="s">
        <v>1</v>
      </c>
      <c r="I698" s="8" t="s">
        <v>2</v>
      </c>
      <c r="J698" s="14"/>
      <c r="K698" s="15" t="s">
        <v>476</v>
      </c>
      <c r="L698" t="s">
        <v>477</v>
      </c>
      <c r="M698" t="s">
        <v>15</v>
      </c>
      <c r="N698" t="str">
        <f t="shared" si="120"/>
        <v>https://api.bcb.gov.br/dados/serie/bcdata.sgs.21023/dados?formato=json</v>
      </c>
      <c r="O698">
        <v>6</v>
      </c>
      <c r="P698" t="s">
        <v>19</v>
      </c>
      <c r="Q698" t="s">
        <v>19</v>
      </c>
      <c r="R698" t="s">
        <v>888</v>
      </c>
      <c r="S698" t="s">
        <v>622</v>
      </c>
      <c r="T698" t="e">
        <f t="shared" si="123"/>
        <v>#VALUE!</v>
      </c>
      <c r="U698">
        <f t="shared" si="122"/>
        <v>20</v>
      </c>
    </row>
    <row r="699" spans="1:21" x14ac:dyDescent="0.25">
      <c r="A699" s="1"/>
      <c r="B699" s="1">
        <v>21024</v>
      </c>
      <c r="C699" s="2" t="s">
        <v>139</v>
      </c>
      <c r="D699" s="1" t="s">
        <v>835</v>
      </c>
      <c r="E699" s="3" t="s">
        <v>0</v>
      </c>
      <c r="F699" s="4">
        <v>40603</v>
      </c>
      <c r="G699" s="5">
        <v>45597</v>
      </c>
      <c r="H699" s="6" t="s">
        <v>1</v>
      </c>
      <c r="I699" s="1" t="s">
        <v>2</v>
      </c>
      <c r="J699" s="7"/>
      <c r="K699" s="15" t="s">
        <v>476</v>
      </c>
      <c r="L699" t="s">
        <v>477</v>
      </c>
      <c r="M699" t="s">
        <v>15</v>
      </c>
      <c r="N699" t="str">
        <f t="shared" si="120"/>
        <v>https://api.bcb.gov.br/dados/serie/bcdata.sgs.21024/dados?formato=json</v>
      </c>
      <c r="O699">
        <v>6</v>
      </c>
      <c r="P699" t="s">
        <v>19</v>
      </c>
      <c r="Q699" t="s">
        <v>19</v>
      </c>
      <c r="R699" t="s">
        <v>889</v>
      </c>
      <c r="S699" t="s">
        <v>622</v>
      </c>
      <c r="T699" t="e">
        <f t="shared" si="123"/>
        <v>#VALUE!</v>
      </c>
      <c r="U699">
        <f t="shared" si="122"/>
        <v>20</v>
      </c>
    </row>
    <row r="700" spans="1:21" x14ac:dyDescent="0.25">
      <c r="A700" s="8"/>
      <c r="B700" s="8">
        <v>21025</v>
      </c>
      <c r="C700" s="9" t="s">
        <v>140</v>
      </c>
      <c r="D700" s="8" t="s">
        <v>835</v>
      </c>
      <c r="E700" s="10" t="s">
        <v>0</v>
      </c>
      <c r="F700" s="11">
        <v>40603</v>
      </c>
      <c r="G700" s="12">
        <v>45597</v>
      </c>
      <c r="H700" s="13" t="s">
        <v>1</v>
      </c>
      <c r="I700" s="8" t="s">
        <v>2</v>
      </c>
      <c r="J700" s="14"/>
      <c r="K700" s="15" t="s">
        <v>476</v>
      </c>
      <c r="L700" t="s">
        <v>477</v>
      </c>
      <c r="M700" t="s">
        <v>15</v>
      </c>
      <c r="N700" t="str">
        <f t="shared" si="120"/>
        <v>https://api.bcb.gov.br/dados/serie/bcdata.sgs.21025/dados?formato=json</v>
      </c>
      <c r="O700">
        <v>6</v>
      </c>
      <c r="P700" t="s">
        <v>19</v>
      </c>
      <c r="Q700" t="s">
        <v>19</v>
      </c>
      <c r="R700" t="s">
        <v>890</v>
      </c>
      <c r="S700" t="s">
        <v>622</v>
      </c>
      <c r="T700" t="e">
        <f t="shared" si="123"/>
        <v>#VALUE!</v>
      </c>
      <c r="U700">
        <f t="shared" si="122"/>
        <v>20</v>
      </c>
    </row>
    <row r="701" spans="1:21" x14ac:dyDescent="0.25">
      <c r="A701" s="1"/>
      <c r="B701" s="1">
        <v>21026</v>
      </c>
      <c r="C701" s="2" t="s">
        <v>141</v>
      </c>
      <c r="D701" s="1" t="s">
        <v>835</v>
      </c>
      <c r="E701" s="3" t="s">
        <v>0</v>
      </c>
      <c r="F701" s="4">
        <v>40603</v>
      </c>
      <c r="G701" s="5">
        <v>45597</v>
      </c>
      <c r="H701" s="6" t="s">
        <v>1</v>
      </c>
      <c r="I701" s="1" t="s">
        <v>2</v>
      </c>
      <c r="J701" s="7"/>
      <c r="K701" s="15" t="s">
        <v>476</v>
      </c>
      <c r="L701" t="s">
        <v>477</v>
      </c>
      <c r="M701" t="s">
        <v>15</v>
      </c>
      <c r="N701" t="str">
        <f t="shared" si="120"/>
        <v>https://api.bcb.gov.br/dados/serie/bcdata.sgs.21026/dados?formato=json</v>
      </c>
      <c r="O701">
        <v>6</v>
      </c>
      <c r="P701" t="s">
        <v>19</v>
      </c>
      <c r="Q701" t="s">
        <v>19</v>
      </c>
      <c r="R701" t="s">
        <v>891</v>
      </c>
      <c r="S701" t="s">
        <v>622</v>
      </c>
      <c r="T701" t="e">
        <f t="shared" si="123"/>
        <v>#VALUE!</v>
      </c>
      <c r="U701">
        <f t="shared" si="122"/>
        <v>20</v>
      </c>
    </row>
    <row r="702" spans="1:21" x14ac:dyDescent="0.25">
      <c r="A702" s="8"/>
      <c r="B702" s="8">
        <v>21027</v>
      </c>
      <c r="C702" s="9" t="s">
        <v>143</v>
      </c>
      <c r="D702" s="8" t="s">
        <v>835</v>
      </c>
      <c r="E702" s="10" t="s">
        <v>0</v>
      </c>
      <c r="F702" s="11">
        <v>40603</v>
      </c>
      <c r="G702" s="12">
        <v>45597</v>
      </c>
      <c r="H702" s="13" t="s">
        <v>1</v>
      </c>
      <c r="I702" s="8" t="s">
        <v>2</v>
      </c>
      <c r="J702" s="14"/>
      <c r="K702" s="15" t="s">
        <v>476</v>
      </c>
      <c r="L702" t="s">
        <v>477</v>
      </c>
      <c r="M702" t="s">
        <v>15</v>
      </c>
      <c r="N702" t="str">
        <f t="shared" si="120"/>
        <v>https://api.bcb.gov.br/dados/serie/bcdata.sgs.21027/dados?formato=json</v>
      </c>
      <c r="O702">
        <v>6</v>
      </c>
      <c r="P702" t="s">
        <v>19</v>
      </c>
      <c r="Q702" t="s">
        <v>19</v>
      </c>
      <c r="R702" t="s">
        <v>893</v>
      </c>
      <c r="S702" t="s">
        <v>622</v>
      </c>
      <c r="T702" t="e">
        <f t="shared" si="123"/>
        <v>#VALUE!</v>
      </c>
      <c r="U702">
        <f t="shared" si="122"/>
        <v>20</v>
      </c>
    </row>
    <row r="703" spans="1:21" x14ac:dyDescent="0.25">
      <c r="A703" s="1"/>
      <c r="B703" s="1">
        <v>21028</v>
      </c>
      <c r="C703" s="2" t="s">
        <v>144</v>
      </c>
      <c r="D703" s="1" t="s">
        <v>835</v>
      </c>
      <c r="E703" s="3" t="s">
        <v>0</v>
      </c>
      <c r="F703" s="4">
        <v>40603</v>
      </c>
      <c r="G703" s="5">
        <v>45597</v>
      </c>
      <c r="H703" s="6" t="s">
        <v>1</v>
      </c>
      <c r="I703" s="1" t="s">
        <v>2</v>
      </c>
      <c r="J703" s="7"/>
      <c r="K703" s="15" t="s">
        <v>476</v>
      </c>
      <c r="L703" t="s">
        <v>477</v>
      </c>
      <c r="M703" t="s">
        <v>15</v>
      </c>
      <c r="N703" t="str">
        <f t="shared" si="120"/>
        <v>https://api.bcb.gov.br/dados/serie/bcdata.sgs.21028/dados?formato=json</v>
      </c>
      <c r="O703">
        <v>6</v>
      </c>
      <c r="P703" t="s">
        <v>19</v>
      </c>
      <c r="Q703" t="s">
        <v>19</v>
      </c>
      <c r="R703" t="s">
        <v>894</v>
      </c>
      <c r="S703" t="s">
        <v>622</v>
      </c>
      <c r="T703" t="e">
        <f t="shared" si="123"/>
        <v>#VALUE!</v>
      </c>
      <c r="U703">
        <f t="shared" si="122"/>
        <v>20</v>
      </c>
    </row>
    <row r="704" spans="1:21" x14ac:dyDescent="0.25">
      <c r="A704" s="8"/>
      <c r="B704" s="8">
        <v>21029</v>
      </c>
      <c r="C704" s="9" t="s">
        <v>145</v>
      </c>
      <c r="D704" s="8" t="s">
        <v>835</v>
      </c>
      <c r="E704" s="10" t="s">
        <v>0</v>
      </c>
      <c r="F704" s="11">
        <v>40603</v>
      </c>
      <c r="G704" s="12">
        <v>45597</v>
      </c>
      <c r="H704" s="13" t="s">
        <v>1</v>
      </c>
      <c r="I704" s="8" t="s">
        <v>2</v>
      </c>
      <c r="J704" s="14"/>
      <c r="K704" s="15" t="s">
        <v>476</v>
      </c>
      <c r="L704" t="s">
        <v>477</v>
      </c>
      <c r="M704" t="s">
        <v>15</v>
      </c>
      <c r="N704" t="str">
        <f t="shared" si="120"/>
        <v>https://api.bcb.gov.br/dados/serie/bcdata.sgs.21029/dados?formato=json</v>
      </c>
      <c r="O704">
        <v>6</v>
      </c>
      <c r="P704" t="s">
        <v>19</v>
      </c>
      <c r="Q704" t="s">
        <v>19</v>
      </c>
      <c r="R704" t="s">
        <v>895</v>
      </c>
      <c r="S704" t="s">
        <v>622</v>
      </c>
      <c r="T704" t="e">
        <f t="shared" si="123"/>
        <v>#VALUE!</v>
      </c>
      <c r="U704">
        <f t="shared" si="122"/>
        <v>20</v>
      </c>
    </row>
    <row r="705" spans="1:21" x14ac:dyDescent="0.25">
      <c r="A705" s="1"/>
      <c r="B705" s="1">
        <v>21030</v>
      </c>
      <c r="C705" s="2" t="s">
        <v>146</v>
      </c>
      <c r="D705" s="1" t="s">
        <v>835</v>
      </c>
      <c r="E705" s="3" t="s">
        <v>0</v>
      </c>
      <c r="F705" s="4">
        <v>40603</v>
      </c>
      <c r="G705" s="5">
        <v>45597</v>
      </c>
      <c r="H705" s="6" t="s">
        <v>1</v>
      </c>
      <c r="I705" s="1" t="s">
        <v>2</v>
      </c>
      <c r="J705" s="7"/>
      <c r="K705" s="15" t="s">
        <v>476</v>
      </c>
      <c r="L705" t="s">
        <v>477</v>
      </c>
      <c r="M705" t="s">
        <v>15</v>
      </c>
      <c r="N705" t="str">
        <f t="shared" si="120"/>
        <v>https://api.bcb.gov.br/dados/serie/bcdata.sgs.21030/dados?formato=json</v>
      </c>
      <c r="O705">
        <v>6</v>
      </c>
      <c r="P705" t="s">
        <v>19</v>
      </c>
      <c r="Q705" t="s">
        <v>19</v>
      </c>
      <c r="R705" t="s">
        <v>896</v>
      </c>
      <c r="S705" t="s">
        <v>622</v>
      </c>
      <c r="T705" t="e">
        <f t="shared" si="123"/>
        <v>#VALUE!</v>
      </c>
      <c r="U705">
        <f t="shared" si="122"/>
        <v>20</v>
      </c>
    </row>
    <row r="706" spans="1:21" x14ac:dyDescent="0.25">
      <c r="A706" s="8"/>
      <c r="B706" s="8">
        <v>21031</v>
      </c>
      <c r="C706" s="9" t="s">
        <v>147</v>
      </c>
      <c r="D706" s="8" t="s">
        <v>835</v>
      </c>
      <c r="E706" s="10" t="s">
        <v>0</v>
      </c>
      <c r="F706" s="11">
        <v>40603</v>
      </c>
      <c r="G706" s="12">
        <v>45597</v>
      </c>
      <c r="H706" s="13" t="s">
        <v>1</v>
      </c>
      <c r="I706" s="8" t="s">
        <v>2</v>
      </c>
      <c r="J706" s="14"/>
      <c r="K706" s="15" t="s">
        <v>476</v>
      </c>
      <c r="L706" t="s">
        <v>477</v>
      </c>
      <c r="M706" t="s">
        <v>15</v>
      </c>
      <c r="N706" t="str">
        <f t="shared" si="120"/>
        <v>https://api.bcb.gov.br/dados/serie/bcdata.sgs.21031/dados?formato=json</v>
      </c>
      <c r="O706">
        <v>6</v>
      </c>
      <c r="P706" t="s">
        <v>19</v>
      </c>
      <c r="Q706" t="s">
        <v>19</v>
      </c>
      <c r="R706" t="s">
        <v>897</v>
      </c>
      <c r="S706" t="s">
        <v>622</v>
      </c>
      <c r="T706" t="e">
        <f t="shared" si="123"/>
        <v>#VALUE!</v>
      </c>
      <c r="U706">
        <f t="shared" si="122"/>
        <v>20</v>
      </c>
    </row>
    <row r="707" spans="1:21" x14ac:dyDescent="0.25">
      <c r="A707" s="1"/>
      <c r="B707" s="1">
        <v>21032</v>
      </c>
      <c r="C707" s="2" t="s">
        <v>148</v>
      </c>
      <c r="D707" s="1" t="s">
        <v>835</v>
      </c>
      <c r="E707" s="3" t="s">
        <v>0</v>
      </c>
      <c r="F707" s="4">
        <v>40603</v>
      </c>
      <c r="G707" s="5">
        <v>45597</v>
      </c>
      <c r="H707" s="6" t="s">
        <v>1</v>
      </c>
      <c r="I707" s="1" t="s">
        <v>2</v>
      </c>
      <c r="J707" s="7"/>
      <c r="K707" s="15" t="s">
        <v>476</v>
      </c>
      <c r="L707" t="s">
        <v>477</v>
      </c>
      <c r="M707" t="s">
        <v>15</v>
      </c>
      <c r="N707" t="str">
        <f t="shared" si="120"/>
        <v>https://api.bcb.gov.br/dados/serie/bcdata.sgs.21032/dados?formato=json</v>
      </c>
      <c r="O707">
        <v>6</v>
      </c>
      <c r="P707" t="s">
        <v>19</v>
      </c>
      <c r="Q707" t="s">
        <v>19</v>
      </c>
      <c r="R707" t="s">
        <v>898</v>
      </c>
      <c r="S707" t="s">
        <v>622</v>
      </c>
      <c r="T707" t="e">
        <f t="shared" si="123"/>
        <v>#VALUE!</v>
      </c>
      <c r="U707">
        <f t="shared" si="122"/>
        <v>20</v>
      </c>
    </row>
    <row r="708" spans="1:21" x14ac:dyDescent="0.25">
      <c r="A708" s="8"/>
      <c r="B708" s="8">
        <v>21033</v>
      </c>
      <c r="C708" s="9" t="s">
        <v>120</v>
      </c>
      <c r="D708" s="8" t="s">
        <v>835</v>
      </c>
      <c r="E708" s="10" t="s">
        <v>0</v>
      </c>
      <c r="F708" s="11">
        <v>40603</v>
      </c>
      <c r="G708" s="12">
        <v>45597</v>
      </c>
      <c r="H708" s="13" t="s">
        <v>1</v>
      </c>
      <c r="I708" s="8" t="s">
        <v>2</v>
      </c>
      <c r="J708" s="14"/>
      <c r="K708" s="15" t="s">
        <v>476</v>
      </c>
      <c r="L708" t="s">
        <v>477</v>
      </c>
      <c r="M708" t="s">
        <v>15</v>
      </c>
      <c r="N708" t="str">
        <f t="shared" si="120"/>
        <v>https://api.bcb.gov.br/dados/serie/bcdata.sgs.21033/dados?formato=json</v>
      </c>
      <c r="O708">
        <v>6</v>
      </c>
      <c r="P708" t="s">
        <v>19</v>
      </c>
      <c r="Q708" t="s">
        <v>19</v>
      </c>
      <c r="R708" t="s">
        <v>118</v>
      </c>
      <c r="S708" t="s">
        <v>621</v>
      </c>
      <c r="T708" t="e">
        <f t="shared" si="123"/>
        <v>#VALUE!</v>
      </c>
      <c r="U708">
        <f t="shared" ref="U708:U727" si="124">LEN("Pessoas físicas - ")</f>
        <v>18</v>
      </c>
    </row>
    <row r="709" spans="1:21" x14ac:dyDescent="0.25">
      <c r="A709" s="1"/>
      <c r="B709" s="1">
        <v>21034</v>
      </c>
      <c r="C709" s="2" t="s">
        <v>151</v>
      </c>
      <c r="D709" s="1" t="s">
        <v>835</v>
      </c>
      <c r="E709" s="3" t="s">
        <v>0</v>
      </c>
      <c r="F709" s="4">
        <v>40603</v>
      </c>
      <c r="G709" s="5">
        <v>45597</v>
      </c>
      <c r="H709" s="6" t="s">
        <v>1</v>
      </c>
      <c r="I709" s="1" t="s">
        <v>2</v>
      </c>
      <c r="J709" s="7"/>
      <c r="K709" s="15" t="s">
        <v>476</v>
      </c>
      <c r="L709" t="s">
        <v>477</v>
      </c>
      <c r="M709" t="s">
        <v>15</v>
      </c>
      <c r="N709" t="str">
        <f t="shared" si="120"/>
        <v>https://api.bcb.gov.br/dados/serie/bcdata.sgs.21034/dados?formato=json</v>
      </c>
      <c r="O709">
        <v>6</v>
      </c>
      <c r="P709" t="s">
        <v>19</v>
      </c>
      <c r="Q709" t="s">
        <v>19</v>
      </c>
      <c r="R709" t="s">
        <v>881</v>
      </c>
      <c r="S709" t="s">
        <v>621</v>
      </c>
      <c r="T709" t="e">
        <f t="shared" ref="T709:T727" si="125">RIGHT(S709,LEN(S709)-U709)</f>
        <v>#VALUE!</v>
      </c>
      <c r="U709">
        <f t="shared" si="124"/>
        <v>18</v>
      </c>
    </row>
    <row r="710" spans="1:21" x14ac:dyDescent="0.25">
      <c r="A710" s="8"/>
      <c r="B710" s="8">
        <v>21035</v>
      </c>
      <c r="C710" s="9" t="s">
        <v>152</v>
      </c>
      <c r="D710" s="8" t="s">
        <v>835</v>
      </c>
      <c r="E710" s="10" t="s">
        <v>0</v>
      </c>
      <c r="F710" s="11">
        <v>40603</v>
      </c>
      <c r="G710" s="12">
        <v>45597</v>
      </c>
      <c r="H710" s="13" t="s">
        <v>1</v>
      </c>
      <c r="I710" s="8" t="s">
        <v>2</v>
      </c>
      <c r="J710" s="14"/>
      <c r="K710" s="15" t="s">
        <v>476</v>
      </c>
      <c r="L710" t="s">
        <v>477</v>
      </c>
      <c r="M710" t="s">
        <v>15</v>
      </c>
      <c r="N710" t="str">
        <f t="shared" si="120"/>
        <v>https://api.bcb.gov.br/dados/serie/bcdata.sgs.21035/dados?formato=json</v>
      </c>
      <c r="O710">
        <v>6</v>
      </c>
      <c r="P710" t="s">
        <v>19</v>
      </c>
      <c r="Q710" t="s">
        <v>19</v>
      </c>
      <c r="R710" t="s">
        <v>899</v>
      </c>
      <c r="S710" t="s">
        <v>621</v>
      </c>
      <c r="T710" t="e">
        <f t="shared" si="125"/>
        <v>#VALUE!</v>
      </c>
      <c r="U710">
        <f t="shared" si="124"/>
        <v>18</v>
      </c>
    </row>
    <row r="711" spans="1:21" x14ac:dyDescent="0.25">
      <c r="A711" s="1"/>
      <c r="B711" s="1">
        <v>21036</v>
      </c>
      <c r="C711" s="2" t="s">
        <v>153</v>
      </c>
      <c r="D711" s="1" t="s">
        <v>835</v>
      </c>
      <c r="E711" s="3" t="s">
        <v>0</v>
      </c>
      <c r="F711" s="4">
        <v>40603</v>
      </c>
      <c r="G711" s="5">
        <v>45597</v>
      </c>
      <c r="H711" s="6" t="s">
        <v>1</v>
      </c>
      <c r="I711" s="1" t="s">
        <v>2</v>
      </c>
      <c r="J711" s="7"/>
      <c r="K711" s="15" t="s">
        <v>476</v>
      </c>
      <c r="L711" t="s">
        <v>477</v>
      </c>
      <c r="M711" t="s">
        <v>15</v>
      </c>
      <c r="N711" t="str">
        <f t="shared" si="120"/>
        <v>https://api.bcb.gov.br/dados/serie/bcdata.sgs.21036/dados?formato=json</v>
      </c>
      <c r="O711">
        <v>6</v>
      </c>
      <c r="P711" t="s">
        <v>19</v>
      </c>
      <c r="Q711" t="s">
        <v>19</v>
      </c>
      <c r="R711" t="s">
        <v>900</v>
      </c>
      <c r="S711" t="s">
        <v>621</v>
      </c>
      <c r="T711" t="e">
        <f t="shared" si="125"/>
        <v>#VALUE!</v>
      </c>
      <c r="U711">
        <f t="shared" si="124"/>
        <v>18</v>
      </c>
    </row>
    <row r="712" spans="1:21" x14ac:dyDescent="0.25">
      <c r="A712" s="8"/>
      <c r="B712" s="8">
        <v>21037</v>
      </c>
      <c r="C712" s="9" t="s">
        <v>154</v>
      </c>
      <c r="D712" s="8" t="s">
        <v>835</v>
      </c>
      <c r="E712" s="10" t="s">
        <v>0</v>
      </c>
      <c r="F712" s="11">
        <v>40603</v>
      </c>
      <c r="G712" s="12">
        <v>45597</v>
      </c>
      <c r="H712" s="13" t="s">
        <v>1</v>
      </c>
      <c r="I712" s="8" t="s">
        <v>2</v>
      </c>
      <c r="J712" s="14"/>
      <c r="K712" s="15" t="s">
        <v>476</v>
      </c>
      <c r="L712" t="s">
        <v>477</v>
      </c>
      <c r="M712" t="s">
        <v>15</v>
      </c>
      <c r="N712" t="str">
        <f t="shared" si="120"/>
        <v>https://api.bcb.gov.br/dados/serie/bcdata.sgs.21037/dados?formato=json</v>
      </c>
      <c r="O712">
        <v>6</v>
      </c>
      <c r="P712" t="s">
        <v>19</v>
      </c>
      <c r="Q712" t="s">
        <v>19</v>
      </c>
      <c r="R712" t="s">
        <v>901</v>
      </c>
      <c r="S712" t="s">
        <v>621</v>
      </c>
      <c r="T712" t="e">
        <f t="shared" si="125"/>
        <v>#VALUE!</v>
      </c>
      <c r="U712">
        <f t="shared" si="124"/>
        <v>18</v>
      </c>
    </row>
    <row r="713" spans="1:21" x14ac:dyDescent="0.25">
      <c r="A713" s="1"/>
      <c r="B713" s="1">
        <v>21038</v>
      </c>
      <c r="C713" s="2" t="s">
        <v>155</v>
      </c>
      <c r="D713" s="1" t="s">
        <v>835</v>
      </c>
      <c r="E713" s="3" t="s">
        <v>0</v>
      </c>
      <c r="F713" s="4">
        <v>40603</v>
      </c>
      <c r="G713" s="5">
        <v>45597</v>
      </c>
      <c r="H713" s="6" t="s">
        <v>1</v>
      </c>
      <c r="I713" s="1" t="s">
        <v>2</v>
      </c>
      <c r="J713" s="7"/>
      <c r="K713" s="15" t="s">
        <v>476</v>
      </c>
      <c r="L713" t="s">
        <v>477</v>
      </c>
      <c r="M713" t="s">
        <v>15</v>
      </c>
      <c r="N713" t="str">
        <f t="shared" si="120"/>
        <v>https://api.bcb.gov.br/dados/serie/bcdata.sgs.21038/dados?formato=json</v>
      </c>
      <c r="O713">
        <v>6</v>
      </c>
      <c r="P713" t="s">
        <v>19</v>
      </c>
      <c r="Q713" t="s">
        <v>19</v>
      </c>
      <c r="R713" t="s">
        <v>902</v>
      </c>
      <c r="S713" t="s">
        <v>621</v>
      </c>
      <c r="T713" t="e">
        <f t="shared" si="125"/>
        <v>#VALUE!</v>
      </c>
      <c r="U713">
        <f t="shared" si="124"/>
        <v>18</v>
      </c>
    </row>
    <row r="714" spans="1:21" x14ac:dyDescent="0.25">
      <c r="A714" s="8"/>
      <c r="B714" s="8">
        <v>21039</v>
      </c>
      <c r="C714" s="9" t="s">
        <v>156</v>
      </c>
      <c r="D714" s="8" t="s">
        <v>835</v>
      </c>
      <c r="E714" s="10" t="s">
        <v>0</v>
      </c>
      <c r="F714" s="11">
        <v>40603</v>
      </c>
      <c r="G714" s="12">
        <v>45597</v>
      </c>
      <c r="H714" s="13" t="s">
        <v>1</v>
      </c>
      <c r="I714" s="8" t="s">
        <v>2</v>
      </c>
      <c r="J714" s="14"/>
      <c r="K714" s="15" t="s">
        <v>476</v>
      </c>
      <c r="L714" t="s">
        <v>477</v>
      </c>
      <c r="M714" t="s">
        <v>15</v>
      </c>
      <c r="N714" t="str">
        <f t="shared" si="120"/>
        <v>https://api.bcb.gov.br/dados/serie/bcdata.sgs.21039/dados?formato=json</v>
      </c>
      <c r="O714">
        <v>6</v>
      </c>
      <c r="P714" t="s">
        <v>19</v>
      </c>
      <c r="Q714" t="s">
        <v>19</v>
      </c>
      <c r="R714" t="s">
        <v>903</v>
      </c>
      <c r="S714" t="s">
        <v>621</v>
      </c>
      <c r="T714" t="e">
        <f t="shared" si="125"/>
        <v>#VALUE!</v>
      </c>
      <c r="U714">
        <f t="shared" si="124"/>
        <v>18</v>
      </c>
    </row>
    <row r="715" spans="1:21" x14ac:dyDescent="0.25">
      <c r="A715" s="1"/>
      <c r="B715" s="1">
        <v>21040</v>
      </c>
      <c r="C715" s="2" t="s">
        <v>157</v>
      </c>
      <c r="D715" s="1" t="s">
        <v>835</v>
      </c>
      <c r="E715" s="3" t="s">
        <v>0</v>
      </c>
      <c r="F715" s="4">
        <v>40603</v>
      </c>
      <c r="G715" s="5">
        <v>45597</v>
      </c>
      <c r="H715" s="6" t="s">
        <v>1</v>
      </c>
      <c r="I715" s="1" t="s">
        <v>2</v>
      </c>
      <c r="J715" s="7"/>
      <c r="K715" s="15" t="s">
        <v>476</v>
      </c>
      <c r="L715" t="s">
        <v>477</v>
      </c>
      <c r="M715" t="s">
        <v>15</v>
      </c>
      <c r="N715" t="str">
        <f t="shared" si="120"/>
        <v>https://api.bcb.gov.br/dados/serie/bcdata.sgs.21040/dados?formato=json</v>
      </c>
      <c r="O715">
        <v>6</v>
      </c>
      <c r="P715" t="s">
        <v>19</v>
      </c>
      <c r="Q715" t="s">
        <v>19</v>
      </c>
      <c r="R715" t="s">
        <v>904</v>
      </c>
      <c r="S715" t="s">
        <v>621</v>
      </c>
      <c r="T715" t="e">
        <f t="shared" si="125"/>
        <v>#VALUE!</v>
      </c>
      <c r="U715">
        <f t="shared" si="124"/>
        <v>18</v>
      </c>
    </row>
    <row r="716" spans="1:21" x14ac:dyDescent="0.25">
      <c r="A716" s="8"/>
      <c r="B716" s="8">
        <v>21041</v>
      </c>
      <c r="C716" s="9" t="s">
        <v>158</v>
      </c>
      <c r="D716" s="8" t="s">
        <v>835</v>
      </c>
      <c r="E716" s="10" t="s">
        <v>0</v>
      </c>
      <c r="F716" s="11">
        <v>40603</v>
      </c>
      <c r="G716" s="12">
        <v>45597</v>
      </c>
      <c r="H716" s="13" t="s">
        <v>1</v>
      </c>
      <c r="I716" s="8" t="s">
        <v>2</v>
      </c>
      <c r="J716" s="14"/>
      <c r="K716" s="15" t="s">
        <v>476</v>
      </c>
      <c r="L716" t="s">
        <v>477</v>
      </c>
      <c r="M716" t="s">
        <v>15</v>
      </c>
      <c r="N716" t="str">
        <f t="shared" si="120"/>
        <v>https://api.bcb.gov.br/dados/serie/bcdata.sgs.21041/dados?formato=json</v>
      </c>
      <c r="O716">
        <v>6</v>
      </c>
      <c r="P716" t="s">
        <v>19</v>
      </c>
      <c r="Q716" t="s">
        <v>19</v>
      </c>
      <c r="R716" t="s">
        <v>905</v>
      </c>
      <c r="S716" t="s">
        <v>621</v>
      </c>
      <c r="T716" t="e">
        <f t="shared" si="125"/>
        <v>#VALUE!</v>
      </c>
      <c r="U716">
        <f t="shared" si="124"/>
        <v>18</v>
      </c>
    </row>
    <row r="717" spans="1:21" x14ac:dyDescent="0.25">
      <c r="A717" s="1"/>
      <c r="B717" s="1">
        <v>21042</v>
      </c>
      <c r="C717" s="2" t="s">
        <v>159</v>
      </c>
      <c r="D717" s="1" t="s">
        <v>835</v>
      </c>
      <c r="E717" s="3" t="s">
        <v>0</v>
      </c>
      <c r="F717" s="4">
        <v>40603</v>
      </c>
      <c r="G717" s="5">
        <v>45597</v>
      </c>
      <c r="H717" s="6" t="s">
        <v>1</v>
      </c>
      <c r="I717" s="1" t="s">
        <v>2</v>
      </c>
      <c r="J717" s="7"/>
      <c r="K717" s="15" t="s">
        <v>476</v>
      </c>
      <c r="L717" t="s">
        <v>477</v>
      </c>
      <c r="M717" t="s">
        <v>15</v>
      </c>
      <c r="N717" t="str">
        <f t="shared" si="120"/>
        <v>https://api.bcb.gov.br/dados/serie/bcdata.sgs.21042/dados?formato=json</v>
      </c>
      <c r="O717">
        <v>6</v>
      </c>
      <c r="P717" t="s">
        <v>19</v>
      </c>
      <c r="Q717" t="s">
        <v>19</v>
      </c>
      <c r="R717" t="s">
        <v>882</v>
      </c>
      <c r="S717" t="s">
        <v>621</v>
      </c>
      <c r="T717" t="e">
        <f t="shared" si="125"/>
        <v>#VALUE!</v>
      </c>
      <c r="U717">
        <f t="shared" si="124"/>
        <v>18</v>
      </c>
    </row>
    <row r="718" spans="1:21" x14ac:dyDescent="0.25">
      <c r="A718" s="8"/>
      <c r="B718" s="8">
        <v>21043</v>
      </c>
      <c r="C718" s="9" t="s">
        <v>160</v>
      </c>
      <c r="D718" s="8" t="s">
        <v>835</v>
      </c>
      <c r="E718" s="10" t="s">
        <v>0</v>
      </c>
      <c r="F718" s="11">
        <v>40603</v>
      </c>
      <c r="G718" s="12">
        <v>45597</v>
      </c>
      <c r="H718" s="13" t="s">
        <v>1</v>
      </c>
      <c r="I718" s="8" t="s">
        <v>2</v>
      </c>
      <c r="J718" s="14"/>
      <c r="K718" s="15" t="s">
        <v>476</v>
      </c>
      <c r="L718" t="s">
        <v>477</v>
      </c>
      <c r="M718" t="s">
        <v>15</v>
      </c>
      <c r="N718" t="str">
        <f t="shared" si="120"/>
        <v>https://api.bcb.gov.br/dados/serie/bcdata.sgs.21043/dados?formato=json</v>
      </c>
      <c r="O718">
        <v>6</v>
      </c>
      <c r="P718" t="s">
        <v>19</v>
      </c>
      <c r="Q718" t="s">
        <v>19</v>
      </c>
      <c r="R718" t="s">
        <v>883</v>
      </c>
      <c r="S718" t="s">
        <v>621</v>
      </c>
      <c r="T718" t="e">
        <f t="shared" si="125"/>
        <v>#VALUE!</v>
      </c>
      <c r="U718">
        <f t="shared" si="124"/>
        <v>18</v>
      </c>
    </row>
    <row r="719" spans="1:21" x14ac:dyDescent="0.25">
      <c r="A719" s="1"/>
      <c r="B719" s="1">
        <v>21044</v>
      </c>
      <c r="C719" s="2" t="s">
        <v>161</v>
      </c>
      <c r="D719" s="1" t="s">
        <v>835</v>
      </c>
      <c r="E719" s="3" t="s">
        <v>0</v>
      </c>
      <c r="F719" s="4">
        <v>40603</v>
      </c>
      <c r="G719" s="5">
        <v>45597</v>
      </c>
      <c r="H719" s="6" t="s">
        <v>1</v>
      </c>
      <c r="I719" s="1" t="s">
        <v>2</v>
      </c>
      <c r="J719" s="7"/>
      <c r="K719" s="15" t="s">
        <v>476</v>
      </c>
      <c r="L719" t="s">
        <v>477</v>
      </c>
      <c r="M719" t="s">
        <v>15</v>
      </c>
      <c r="N719" t="str">
        <f t="shared" si="120"/>
        <v>https://api.bcb.gov.br/dados/serie/bcdata.sgs.21044/dados?formato=json</v>
      </c>
      <c r="O719">
        <v>6</v>
      </c>
      <c r="P719" t="s">
        <v>19</v>
      </c>
      <c r="Q719" t="s">
        <v>19</v>
      </c>
      <c r="R719" t="s">
        <v>884</v>
      </c>
      <c r="S719" t="s">
        <v>621</v>
      </c>
      <c r="T719" t="e">
        <f t="shared" si="125"/>
        <v>#VALUE!</v>
      </c>
      <c r="U719">
        <f t="shared" si="124"/>
        <v>18</v>
      </c>
    </row>
    <row r="720" spans="1:21" x14ac:dyDescent="0.25">
      <c r="A720" s="8"/>
      <c r="B720" s="8">
        <v>21045</v>
      </c>
      <c r="C720" s="9" t="s">
        <v>162</v>
      </c>
      <c r="D720" s="8" t="s">
        <v>835</v>
      </c>
      <c r="E720" s="10" t="s">
        <v>0</v>
      </c>
      <c r="F720" s="11">
        <v>40603</v>
      </c>
      <c r="G720" s="12">
        <v>45597</v>
      </c>
      <c r="H720" s="13" t="s">
        <v>1</v>
      </c>
      <c r="I720" s="8" t="s">
        <v>2</v>
      </c>
      <c r="J720" s="14"/>
      <c r="K720" s="15" t="s">
        <v>476</v>
      </c>
      <c r="L720" t="s">
        <v>477</v>
      </c>
      <c r="M720" t="s">
        <v>15</v>
      </c>
      <c r="N720" t="str">
        <f t="shared" si="120"/>
        <v>https://api.bcb.gov.br/dados/serie/bcdata.sgs.21045/dados?formato=json</v>
      </c>
      <c r="O720">
        <v>6</v>
      </c>
      <c r="P720" t="s">
        <v>19</v>
      </c>
      <c r="Q720" t="s">
        <v>19</v>
      </c>
      <c r="R720" t="s">
        <v>885</v>
      </c>
      <c r="S720" t="s">
        <v>621</v>
      </c>
      <c r="T720" t="e">
        <f t="shared" si="125"/>
        <v>#VALUE!</v>
      </c>
      <c r="U720">
        <f t="shared" si="124"/>
        <v>18</v>
      </c>
    </row>
    <row r="721" spans="1:21" x14ac:dyDescent="0.25">
      <c r="A721" s="1"/>
      <c r="B721" s="1">
        <v>21046</v>
      </c>
      <c r="C721" s="2" t="s">
        <v>163</v>
      </c>
      <c r="D721" s="1" t="s">
        <v>835</v>
      </c>
      <c r="E721" s="3" t="s">
        <v>0</v>
      </c>
      <c r="F721" s="4">
        <v>40603</v>
      </c>
      <c r="G721" s="5">
        <v>45597</v>
      </c>
      <c r="H721" s="6" t="s">
        <v>1</v>
      </c>
      <c r="I721" s="1" t="s">
        <v>2</v>
      </c>
      <c r="J721" s="7"/>
      <c r="K721" s="15" t="s">
        <v>476</v>
      </c>
      <c r="L721" t="s">
        <v>477</v>
      </c>
      <c r="M721" t="s">
        <v>15</v>
      </c>
      <c r="N721" t="str">
        <f t="shared" si="120"/>
        <v>https://api.bcb.gov.br/dados/serie/bcdata.sgs.21046/dados?formato=json</v>
      </c>
      <c r="O721">
        <v>6</v>
      </c>
      <c r="P721" t="s">
        <v>19</v>
      </c>
      <c r="Q721" t="s">
        <v>19</v>
      </c>
      <c r="R721" t="s">
        <v>886</v>
      </c>
      <c r="S721" t="s">
        <v>621</v>
      </c>
      <c r="T721" t="e">
        <f t="shared" si="125"/>
        <v>#VALUE!</v>
      </c>
      <c r="U721">
        <f t="shared" si="124"/>
        <v>18</v>
      </c>
    </row>
    <row r="722" spans="1:21" x14ac:dyDescent="0.25">
      <c r="A722" s="8"/>
      <c r="B722" s="8">
        <v>21047</v>
      </c>
      <c r="C722" s="9" t="s">
        <v>164</v>
      </c>
      <c r="D722" s="8" t="s">
        <v>835</v>
      </c>
      <c r="E722" s="10" t="s">
        <v>0</v>
      </c>
      <c r="F722" s="11">
        <v>40603</v>
      </c>
      <c r="G722" s="12">
        <v>45597</v>
      </c>
      <c r="H722" s="13" t="s">
        <v>1</v>
      </c>
      <c r="I722" s="8" t="s">
        <v>2</v>
      </c>
      <c r="J722" s="14"/>
      <c r="K722" s="15" t="s">
        <v>476</v>
      </c>
      <c r="L722" t="s">
        <v>477</v>
      </c>
      <c r="M722" t="s">
        <v>15</v>
      </c>
      <c r="N722" t="str">
        <f t="shared" si="120"/>
        <v>https://api.bcb.gov.br/dados/serie/bcdata.sgs.21047/dados?formato=json</v>
      </c>
      <c r="O722">
        <v>6</v>
      </c>
      <c r="P722" t="s">
        <v>19</v>
      </c>
      <c r="Q722" t="s">
        <v>19</v>
      </c>
      <c r="R722" t="s">
        <v>887</v>
      </c>
      <c r="S722" t="s">
        <v>621</v>
      </c>
      <c r="T722" t="e">
        <f t="shared" si="125"/>
        <v>#VALUE!</v>
      </c>
      <c r="U722">
        <f t="shared" si="124"/>
        <v>18</v>
      </c>
    </row>
    <row r="723" spans="1:21" x14ac:dyDescent="0.25">
      <c r="A723" s="1"/>
      <c r="B723" s="1">
        <v>21048</v>
      </c>
      <c r="C723" s="2" t="s">
        <v>165</v>
      </c>
      <c r="D723" s="1" t="s">
        <v>835</v>
      </c>
      <c r="E723" s="3" t="s">
        <v>0</v>
      </c>
      <c r="F723" s="4">
        <v>40603</v>
      </c>
      <c r="G723" s="5">
        <v>45597</v>
      </c>
      <c r="H723" s="6" t="s">
        <v>1</v>
      </c>
      <c r="I723" s="1" t="s">
        <v>2</v>
      </c>
      <c r="J723" s="7"/>
      <c r="K723" s="15" t="s">
        <v>476</v>
      </c>
      <c r="L723" t="s">
        <v>477</v>
      </c>
      <c r="M723" t="s">
        <v>15</v>
      </c>
      <c r="N723" t="str">
        <f t="shared" si="120"/>
        <v>https://api.bcb.gov.br/dados/serie/bcdata.sgs.21048/dados?formato=json</v>
      </c>
      <c r="O723">
        <v>6</v>
      </c>
      <c r="P723" t="s">
        <v>19</v>
      </c>
      <c r="Q723" t="s">
        <v>19</v>
      </c>
      <c r="R723" t="s">
        <v>890</v>
      </c>
      <c r="S723" t="s">
        <v>621</v>
      </c>
      <c r="T723" t="e">
        <f t="shared" si="125"/>
        <v>#VALUE!</v>
      </c>
      <c r="U723">
        <f t="shared" si="124"/>
        <v>18</v>
      </c>
    </row>
    <row r="724" spans="1:21" x14ac:dyDescent="0.25">
      <c r="A724" s="8"/>
      <c r="B724" s="8">
        <v>21049</v>
      </c>
      <c r="C724" s="9" t="s">
        <v>166</v>
      </c>
      <c r="D724" s="8" t="s">
        <v>835</v>
      </c>
      <c r="E724" s="10" t="s">
        <v>0</v>
      </c>
      <c r="F724" s="11">
        <v>40603</v>
      </c>
      <c r="G724" s="12">
        <v>45597</v>
      </c>
      <c r="H724" s="13" t="s">
        <v>1</v>
      </c>
      <c r="I724" s="8" t="s">
        <v>2</v>
      </c>
      <c r="J724" s="14"/>
      <c r="K724" s="15" t="s">
        <v>476</v>
      </c>
      <c r="L724" t="s">
        <v>477</v>
      </c>
      <c r="M724" t="s">
        <v>15</v>
      </c>
      <c r="N724" t="str">
        <f t="shared" si="120"/>
        <v>https://api.bcb.gov.br/dados/serie/bcdata.sgs.21049/dados?formato=json</v>
      </c>
      <c r="O724">
        <v>6</v>
      </c>
      <c r="P724" t="s">
        <v>19</v>
      </c>
      <c r="Q724" t="s">
        <v>19</v>
      </c>
      <c r="R724" t="s">
        <v>891</v>
      </c>
      <c r="S724" t="s">
        <v>621</v>
      </c>
      <c r="T724" t="e">
        <f t="shared" si="125"/>
        <v>#VALUE!</v>
      </c>
      <c r="U724">
        <f t="shared" si="124"/>
        <v>18</v>
      </c>
    </row>
    <row r="725" spans="1:21" x14ac:dyDescent="0.25">
      <c r="A725" s="1"/>
      <c r="B725" s="1">
        <v>21050</v>
      </c>
      <c r="C725" s="2" t="s">
        <v>168</v>
      </c>
      <c r="D725" s="1" t="s">
        <v>835</v>
      </c>
      <c r="E725" s="3" t="s">
        <v>0</v>
      </c>
      <c r="F725" s="4">
        <v>40603</v>
      </c>
      <c r="G725" s="5">
        <v>45597</v>
      </c>
      <c r="H725" s="6" t="s">
        <v>1</v>
      </c>
      <c r="I725" s="1" t="s">
        <v>2</v>
      </c>
      <c r="J725" s="7"/>
      <c r="K725" s="15" t="s">
        <v>476</v>
      </c>
      <c r="L725" t="s">
        <v>477</v>
      </c>
      <c r="M725" t="s">
        <v>15</v>
      </c>
      <c r="N725" t="str">
        <f t="shared" si="120"/>
        <v>https://api.bcb.gov.br/dados/serie/bcdata.sgs.21050/dados?formato=json</v>
      </c>
      <c r="O725">
        <v>6</v>
      </c>
      <c r="P725" t="s">
        <v>19</v>
      </c>
      <c r="Q725" t="s">
        <v>19</v>
      </c>
      <c r="R725" t="s">
        <v>893</v>
      </c>
      <c r="S725" t="s">
        <v>621</v>
      </c>
      <c r="T725" t="e">
        <f t="shared" si="125"/>
        <v>#VALUE!</v>
      </c>
      <c r="U725">
        <f t="shared" si="124"/>
        <v>18</v>
      </c>
    </row>
    <row r="726" spans="1:21" x14ac:dyDescent="0.25">
      <c r="A726" s="8"/>
      <c r="B726" s="8">
        <v>21051</v>
      </c>
      <c r="C726" s="9" t="s">
        <v>169</v>
      </c>
      <c r="D726" s="8" t="s">
        <v>835</v>
      </c>
      <c r="E726" s="10" t="s">
        <v>0</v>
      </c>
      <c r="F726" s="11">
        <v>40603</v>
      </c>
      <c r="G726" s="12">
        <v>45597</v>
      </c>
      <c r="H726" s="13" t="s">
        <v>1</v>
      </c>
      <c r="I726" s="8" t="s">
        <v>2</v>
      </c>
      <c r="J726" s="14"/>
      <c r="K726" s="15" t="s">
        <v>476</v>
      </c>
      <c r="L726" t="s">
        <v>477</v>
      </c>
      <c r="M726" t="s">
        <v>15</v>
      </c>
      <c r="N726" t="str">
        <f t="shared" si="120"/>
        <v>https://api.bcb.gov.br/dados/serie/bcdata.sgs.21051/dados?formato=json</v>
      </c>
      <c r="O726">
        <v>6</v>
      </c>
      <c r="P726" t="s">
        <v>19</v>
      </c>
      <c r="Q726" t="s">
        <v>19</v>
      </c>
      <c r="R726" t="s">
        <v>874</v>
      </c>
      <c r="S726" t="s">
        <v>621</v>
      </c>
      <c r="T726" t="e">
        <f t="shared" si="125"/>
        <v>#VALUE!</v>
      </c>
      <c r="U726">
        <f t="shared" si="124"/>
        <v>18</v>
      </c>
    </row>
    <row r="727" spans="1:21" x14ac:dyDescent="0.25">
      <c r="A727" s="1"/>
      <c r="B727" s="1">
        <v>21052</v>
      </c>
      <c r="C727" s="2" t="s">
        <v>170</v>
      </c>
      <c r="D727" s="1" t="s">
        <v>835</v>
      </c>
      <c r="E727" s="3" t="s">
        <v>0</v>
      </c>
      <c r="F727" s="4">
        <v>40603</v>
      </c>
      <c r="G727" s="5">
        <v>45597</v>
      </c>
      <c r="H727" s="6" t="s">
        <v>1</v>
      </c>
      <c r="I727" s="1" t="s">
        <v>2</v>
      </c>
      <c r="J727" s="7"/>
      <c r="K727" s="15" t="s">
        <v>476</v>
      </c>
      <c r="L727" t="s">
        <v>477</v>
      </c>
      <c r="M727" t="s">
        <v>15</v>
      </c>
      <c r="N727" t="str">
        <f t="shared" si="120"/>
        <v>https://api.bcb.gov.br/dados/serie/bcdata.sgs.21052/dados?formato=json</v>
      </c>
      <c r="O727">
        <v>6</v>
      </c>
      <c r="P727" t="s">
        <v>19</v>
      </c>
      <c r="Q727" t="s">
        <v>19</v>
      </c>
      <c r="R727" t="s">
        <v>898</v>
      </c>
      <c r="S727" t="s">
        <v>621</v>
      </c>
      <c r="T727" t="e">
        <f t="shared" si="125"/>
        <v>#VALUE!</v>
      </c>
      <c r="U727">
        <f t="shared" si="124"/>
        <v>18</v>
      </c>
    </row>
    <row r="728" spans="1:21" x14ac:dyDescent="0.25">
      <c r="A728" s="1"/>
      <c r="B728" s="1">
        <v>21053</v>
      </c>
      <c r="C728" s="2" t="s">
        <v>118</v>
      </c>
      <c r="D728" s="1" t="s">
        <v>835</v>
      </c>
      <c r="E728" s="3" t="s">
        <v>0</v>
      </c>
      <c r="F728" s="4">
        <v>40603</v>
      </c>
      <c r="G728" s="5">
        <v>45597</v>
      </c>
      <c r="H728" s="6" t="s">
        <v>1</v>
      </c>
      <c r="I728" s="1" t="s">
        <v>2</v>
      </c>
      <c r="J728" s="7"/>
      <c r="K728" s="15" t="s">
        <v>478</v>
      </c>
      <c r="L728" t="s">
        <v>479</v>
      </c>
      <c r="M728" t="s">
        <v>15</v>
      </c>
      <c r="N728" t="str">
        <f t="shared" ref="N728:N755" si="126">_xlfn.CONCAT("https://api.bcb.gov.br/dados/serie/bcdata.sgs.",B728,"/dados?formato=json")</f>
        <v>https://api.bcb.gov.br/dados/serie/bcdata.sgs.21053/dados?formato=json</v>
      </c>
      <c r="O728">
        <v>6</v>
      </c>
      <c r="P728" t="s">
        <v>19</v>
      </c>
      <c r="Q728" t="s">
        <v>19</v>
      </c>
      <c r="R728" t="s">
        <v>118</v>
      </c>
      <c r="S728" t="s">
        <v>118</v>
      </c>
    </row>
    <row r="729" spans="1:21" x14ac:dyDescent="0.25">
      <c r="A729" s="8"/>
      <c r="B729" s="8">
        <v>21054</v>
      </c>
      <c r="C729" s="9" t="s">
        <v>119</v>
      </c>
      <c r="D729" s="8" t="s">
        <v>835</v>
      </c>
      <c r="E729" s="10" t="s">
        <v>0</v>
      </c>
      <c r="F729" s="11">
        <v>40603</v>
      </c>
      <c r="G729" s="12">
        <v>45597</v>
      </c>
      <c r="H729" s="13" t="s">
        <v>1</v>
      </c>
      <c r="I729" s="8" t="s">
        <v>2</v>
      </c>
      <c r="J729" s="14"/>
      <c r="K729" s="15" t="s">
        <v>478</v>
      </c>
      <c r="L729" t="s">
        <v>479</v>
      </c>
      <c r="M729" t="s">
        <v>15</v>
      </c>
      <c r="N729" t="str">
        <f t="shared" si="126"/>
        <v>https://api.bcb.gov.br/dados/serie/bcdata.sgs.21054/dados?formato=json</v>
      </c>
      <c r="O729">
        <v>6</v>
      </c>
      <c r="P729" t="s">
        <v>19</v>
      </c>
      <c r="Q729" t="s">
        <v>19</v>
      </c>
      <c r="R729" t="s">
        <v>118</v>
      </c>
      <c r="S729" t="s">
        <v>622</v>
      </c>
      <c r="T729" t="e">
        <f t="shared" ref="T729" si="127">RIGHT(S729,LEN(S729)-U729)</f>
        <v>#VALUE!</v>
      </c>
      <c r="U729">
        <f t="shared" ref="U729:U740" si="128">LEN("Setor de serviços - ")</f>
        <v>20</v>
      </c>
    </row>
    <row r="730" spans="1:21" x14ac:dyDescent="0.25">
      <c r="A730" s="1"/>
      <c r="B730" s="1">
        <v>21055</v>
      </c>
      <c r="C730" s="2" t="s">
        <v>171</v>
      </c>
      <c r="D730" s="1" t="s">
        <v>835</v>
      </c>
      <c r="E730" s="3" t="s">
        <v>0</v>
      </c>
      <c r="F730" s="4">
        <v>40603</v>
      </c>
      <c r="G730" s="5">
        <v>45597</v>
      </c>
      <c r="H730" s="6" t="s">
        <v>1</v>
      </c>
      <c r="I730" s="1" t="s">
        <v>2</v>
      </c>
      <c r="J730" s="7"/>
      <c r="K730" s="15" t="s">
        <v>478</v>
      </c>
      <c r="L730" t="s">
        <v>479</v>
      </c>
      <c r="M730" t="s">
        <v>15</v>
      </c>
      <c r="N730" t="str">
        <f t="shared" si="126"/>
        <v>https://api.bcb.gov.br/dados/serie/bcdata.sgs.21055/dados?formato=json</v>
      </c>
      <c r="O730">
        <v>6</v>
      </c>
      <c r="P730" t="s">
        <v>19</v>
      </c>
      <c r="Q730" t="s">
        <v>19</v>
      </c>
      <c r="R730" t="s">
        <v>906</v>
      </c>
      <c r="S730" t="s">
        <v>622</v>
      </c>
      <c r="T730" t="e">
        <f t="shared" ref="T730:T741" si="129">RIGHT(S730,LEN(S730)-U730)</f>
        <v>#VALUE!</v>
      </c>
      <c r="U730">
        <f t="shared" si="128"/>
        <v>20</v>
      </c>
    </row>
    <row r="731" spans="1:21" x14ac:dyDescent="0.25">
      <c r="A731" s="8"/>
      <c r="B731" s="8">
        <v>21056</v>
      </c>
      <c r="C731" s="9" t="s">
        <v>172</v>
      </c>
      <c r="D731" s="8" t="s">
        <v>835</v>
      </c>
      <c r="E731" s="10" t="s">
        <v>0</v>
      </c>
      <c r="F731" s="11">
        <v>40603</v>
      </c>
      <c r="G731" s="12">
        <v>45597</v>
      </c>
      <c r="H731" s="13" t="s">
        <v>1</v>
      </c>
      <c r="I731" s="8" t="s">
        <v>2</v>
      </c>
      <c r="J731" s="14"/>
      <c r="K731" s="15" t="s">
        <v>478</v>
      </c>
      <c r="L731" t="s">
        <v>479</v>
      </c>
      <c r="M731" t="s">
        <v>15</v>
      </c>
      <c r="N731" t="str">
        <f t="shared" si="126"/>
        <v>https://api.bcb.gov.br/dados/serie/bcdata.sgs.21056/dados?formato=json</v>
      </c>
      <c r="O731">
        <v>6</v>
      </c>
      <c r="P731" t="s">
        <v>19</v>
      </c>
      <c r="Q731" t="s">
        <v>19</v>
      </c>
      <c r="R731" t="s">
        <v>907</v>
      </c>
      <c r="S731" t="s">
        <v>622</v>
      </c>
      <c r="T731" t="e">
        <f t="shared" si="129"/>
        <v>#VALUE!</v>
      </c>
      <c r="U731">
        <f t="shared" si="128"/>
        <v>20</v>
      </c>
    </row>
    <row r="732" spans="1:21" x14ac:dyDescent="0.25">
      <c r="A732" s="1"/>
      <c r="B732" s="1">
        <v>21057</v>
      </c>
      <c r="C732" s="2" t="s">
        <v>173</v>
      </c>
      <c r="D732" s="1" t="s">
        <v>835</v>
      </c>
      <c r="E732" s="3" t="s">
        <v>0</v>
      </c>
      <c r="F732" s="4">
        <v>40603</v>
      </c>
      <c r="G732" s="5">
        <v>45597</v>
      </c>
      <c r="H732" s="6" t="s">
        <v>1</v>
      </c>
      <c r="I732" s="1" t="s">
        <v>2</v>
      </c>
      <c r="J732" s="7"/>
      <c r="K732" s="15" t="s">
        <v>478</v>
      </c>
      <c r="L732" t="s">
        <v>479</v>
      </c>
      <c r="M732" t="s">
        <v>15</v>
      </c>
      <c r="N732" t="str">
        <f t="shared" si="126"/>
        <v>https://api.bcb.gov.br/dados/serie/bcdata.sgs.21057/dados?formato=json</v>
      </c>
      <c r="O732">
        <v>6</v>
      </c>
      <c r="P732" t="s">
        <v>19</v>
      </c>
      <c r="Q732" t="s">
        <v>19</v>
      </c>
      <c r="R732" t="s">
        <v>908</v>
      </c>
      <c r="S732" t="s">
        <v>622</v>
      </c>
      <c r="T732" t="e">
        <f t="shared" si="129"/>
        <v>#VALUE!</v>
      </c>
      <c r="U732">
        <f t="shared" si="128"/>
        <v>20</v>
      </c>
    </row>
    <row r="733" spans="1:21" x14ac:dyDescent="0.25">
      <c r="A733" s="8"/>
      <c r="B733" s="8">
        <v>21058</v>
      </c>
      <c r="C733" s="9" t="s">
        <v>174</v>
      </c>
      <c r="D733" s="8" t="s">
        <v>835</v>
      </c>
      <c r="E733" s="10" t="s">
        <v>0</v>
      </c>
      <c r="F733" s="11">
        <v>40603</v>
      </c>
      <c r="G733" s="12">
        <v>45597</v>
      </c>
      <c r="H733" s="13" t="s">
        <v>1</v>
      </c>
      <c r="I733" s="8" t="s">
        <v>2</v>
      </c>
      <c r="J733" s="14"/>
      <c r="K733" s="15" t="s">
        <v>478</v>
      </c>
      <c r="L733" t="s">
        <v>479</v>
      </c>
      <c r="M733" t="s">
        <v>15</v>
      </c>
      <c r="N733" t="str">
        <f t="shared" si="126"/>
        <v>https://api.bcb.gov.br/dados/serie/bcdata.sgs.21058/dados?formato=json</v>
      </c>
      <c r="O733">
        <v>6</v>
      </c>
      <c r="P733" t="s">
        <v>19</v>
      </c>
      <c r="Q733" t="s">
        <v>19</v>
      </c>
      <c r="R733" t="s">
        <v>909</v>
      </c>
      <c r="S733" t="s">
        <v>622</v>
      </c>
      <c r="T733" t="e">
        <f t="shared" si="129"/>
        <v>#VALUE!</v>
      </c>
      <c r="U733">
        <f t="shared" si="128"/>
        <v>20</v>
      </c>
    </row>
    <row r="734" spans="1:21" x14ac:dyDescent="0.25">
      <c r="A734" s="1"/>
      <c r="B734" s="1">
        <v>21059</v>
      </c>
      <c r="C734" s="2" t="s">
        <v>175</v>
      </c>
      <c r="D734" s="1" t="s">
        <v>835</v>
      </c>
      <c r="E734" s="3" t="s">
        <v>0</v>
      </c>
      <c r="F734" s="4">
        <v>40603</v>
      </c>
      <c r="G734" s="5">
        <v>45597</v>
      </c>
      <c r="H734" s="6" t="s">
        <v>1</v>
      </c>
      <c r="I734" s="1" t="s">
        <v>2</v>
      </c>
      <c r="J734" s="7"/>
      <c r="K734" s="15" t="s">
        <v>478</v>
      </c>
      <c r="L734" t="s">
        <v>479</v>
      </c>
      <c r="M734" t="s">
        <v>15</v>
      </c>
      <c r="N734" t="str">
        <f t="shared" si="126"/>
        <v>https://api.bcb.gov.br/dados/serie/bcdata.sgs.21059/dados?formato=json</v>
      </c>
      <c r="O734">
        <v>6</v>
      </c>
      <c r="P734" t="s">
        <v>19</v>
      </c>
      <c r="Q734" t="s">
        <v>19</v>
      </c>
      <c r="R734" t="s">
        <v>910</v>
      </c>
      <c r="S734" t="s">
        <v>622</v>
      </c>
      <c r="T734" t="e">
        <f t="shared" si="129"/>
        <v>#VALUE!</v>
      </c>
      <c r="U734">
        <f t="shared" si="128"/>
        <v>20</v>
      </c>
    </row>
    <row r="735" spans="1:21" x14ac:dyDescent="0.25">
      <c r="A735" s="8"/>
      <c r="B735" s="8">
        <v>21060</v>
      </c>
      <c r="C735" s="9" t="s">
        <v>176</v>
      </c>
      <c r="D735" s="8" t="s">
        <v>835</v>
      </c>
      <c r="E735" s="10" t="s">
        <v>0</v>
      </c>
      <c r="F735" s="11">
        <v>40603</v>
      </c>
      <c r="G735" s="12">
        <v>45597</v>
      </c>
      <c r="H735" s="13" t="s">
        <v>1</v>
      </c>
      <c r="I735" s="8" t="s">
        <v>2</v>
      </c>
      <c r="J735" s="14"/>
      <c r="K735" s="15" t="s">
        <v>478</v>
      </c>
      <c r="L735" t="s">
        <v>479</v>
      </c>
      <c r="M735" t="s">
        <v>15</v>
      </c>
      <c r="N735" t="str">
        <f t="shared" si="126"/>
        <v>https://api.bcb.gov.br/dados/serie/bcdata.sgs.21060/dados?formato=json</v>
      </c>
      <c r="O735">
        <v>6</v>
      </c>
      <c r="P735" t="s">
        <v>19</v>
      </c>
      <c r="Q735" t="s">
        <v>19</v>
      </c>
      <c r="R735" t="s">
        <v>911</v>
      </c>
      <c r="S735" t="s">
        <v>622</v>
      </c>
      <c r="T735" t="e">
        <f t="shared" si="129"/>
        <v>#VALUE!</v>
      </c>
      <c r="U735">
        <f t="shared" si="128"/>
        <v>20</v>
      </c>
    </row>
    <row r="736" spans="1:21" x14ac:dyDescent="0.25">
      <c r="A736" s="1"/>
      <c r="B736" s="1">
        <v>21061</v>
      </c>
      <c r="C736" s="2" t="s">
        <v>177</v>
      </c>
      <c r="D736" s="1" t="s">
        <v>835</v>
      </c>
      <c r="E736" s="3" t="s">
        <v>0</v>
      </c>
      <c r="F736" s="4">
        <v>40603</v>
      </c>
      <c r="G736" s="5">
        <v>45597</v>
      </c>
      <c r="H736" s="6" t="s">
        <v>1</v>
      </c>
      <c r="I736" s="1" t="s">
        <v>2</v>
      </c>
      <c r="J736" s="7"/>
      <c r="K736" s="15" t="s">
        <v>478</v>
      </c>
      <c r="L736" t="s">
        <v>479</v>
      </c>
      <c r="M736" t="s">
        <v>15</v>
      </c>
      <c r="N736" t="str">
        <f t="shared" si="126"/>
        <v>https://api.bcb.gov.br/dados/serie/bcdata.sgs.21061/dados?formato=json</v>
      </c>
      <c r="O736">
        <v>6</v>
      </c>
      <c r="P736" t="s">
        <v>19</v>
      </c>
      <c r="Q736" t="s">
        <v>19</v>
      </c>
      <c r="R736" t="s">
        <v>912</v>
      </c>
      <c r="S736" t="s">
        <v>622</v>
      </c>
      <c r="T736" t="e">
        <f t="shared" si="129"/>
        <v>#VALUE!</v>
      </c>
      <c r="U736">
        <f t="shared" si="128"/>
        <v>20</v>
      </c>
    </row>
    <row r="737" spans="1:21" x14ac:dyDescent="0.25">
      <c r="A737" s="8"/>
      <c r="B737" s="8">
        <v>21062</v>
      </c>
      <c r="C737" s="9" t="s">
        <v>178</v>
      </c>
      <c r="D737" s="8" t="s">
        <v>835</v>
      </c>
      <c r="E737" s="10" t="s">
        <v>0</v>
      </c>
      <c r="F737" s="11">
        <v>40603</v>
      </c>
      <c r="G737" s="12">
        <v>45597</v>
      </c>
      <c r="H737" s="13" t="s">
        <v>1</v>
      </c>
      <c r="I737" s="8" t="s">
        <v>2</v>
      </c>
      <c r="J737" s="14"/>
      <c r="K737" s="15" t="s">
        <v>478</v>
      </c>
      <c r="L737" t="s">
        <v>479</v>
      </c>
      <c r="M737" t="s">
        <v>15</v>
      </c>
      <c r="N737" t="str">
        <f t="shared" si="126"/>
        <v>https://api.bcb.gov.br/dados/serie/bcdata.sgs.21062/dados?formato=json</v>
      </c>
      <c r="O737">
        <v>6</v>
      </c>
      <c r="P737" t="s">
        <v>19</v>
      </c>
      <c r="Q737" t="s">
        <v>19</v>
      </c>
      <c r="R737" t="s">
        <v>913</v>
      </c>
      <c r="S737" t="s">
        <v>622</v>
      </c>
      <c r="T737" t="e">
        <f t="shared" si="129"/>
        <v>#VALUE!</v>
      </c>
      <c r="U737">
        <f t="shared" si="128"/>
        <v>20</v>
      </c>
    </row>
    <row r="738" spans="1:21" x14ac:dyDescent="0.25">
      <c r="A738" s="1"/>
      <c r="B738" s="1">
        <v>21063</v>
      </c>
      <c r="C738" s="2" t="s">
        <v>179</v>
      </c>
      <c r="D738" s="1" t="s">
        <v>835</v>
      </c>
      <c r="E738" s="3" t="s">
        <v>0</v>
      </c>
      <c r="F738" s="4">
        <v>40603</v>
      </c>
      <c r="G738" s="5">
        <v>45597</v>
      </c>
      <c r="H738" s="6" t="s">
        <v>1</v>
      </c>
      <c r="I738" s="1" t="s">
        <v>2</v>
      </c>
      <c r="J738" s="7"/>
      <c r="K738" s="15" t="s">
        <v>478</v>
      </c>
      <c r="L738" t="s">
        <v>479</v>
      </c>
      <c r="M738" t="s">
        <v>15</v>
      </c>
      <c r="N738" t="str">
        <f t="shared" si="126"/>
        <v>https://api.bcb.gov.br/dados/serie/bcdata.sgs.21063/dados?formato=json</v>
      </c>
      <c r="O738">
        <v>6</v>
      </c>
      <c r="P738" t="s">
        <v>19</v>
      </c>
      <c r="Q738" t="s">
        <v>19</v>
      </c>
      <c r="R738" t="s">
        <v>914</v>
      </c>
      <c r="S738" t="s">
        <v>622</v>
      </c>
      <c r="T738" t="e">
        <f t="shared" si="129"/>
        <v>#VALUE!</v>
      </c>
      <c r="U738">
        <f t="shared" si="128"/>
        <v>20</v>
      </c>
    </row>
    <row r="739" spans="1:21" x14ac:dyDescent="0.25">
      <c r="A739" s="8"/>
      <c r="B739" s="8">
        <v>21064</v>
      </c>
      <c r="C739" s="9" t="s">
        <v>180</v>
      </c>
      <c r="D739" s="8" t="s">
        <v>835</v>
      </c>
      <c r="E739" s="10" t="s">
        <v>0</v>
      </c>
      <c r="F739" s="11">
        <v>40603</v>
      </c>
      <c r="G739" s="12">
        <v>45597</v>
      </c>
      <c r="H739" s="13" t="s">
        <v>1</v>
      </c>
      <c r="I739" s="8" t="s">
        <v>2</v>
      </c>
      <c r="J739" s="14"/>
      <c r="K739" s="15" t="s">
        <v>478</v>
      </c>
      <c r="L739" t="s">
        <v>479</v>
      </c>
      <c r="M739" t="s">
        <v>15</v>
      </c>
      <c r="N739" t="str">
        <f t="shared" si="126"/>
        <v>https://api.bcb.gov.br/dados/serie/bcdata.sgs.21064/dados?formato=json</v>
      </c>
      <c r="O739">
        <v>6</v>
      </c>
      <c r="P739" t="s">
        <v>19</v>
      </c>
      <c r="Q739" t="s">
        <v>19</v>
      </c>
      <c r="R739" t="s">
        <v>915</v>
      </c>
      <c r="S739" t="s">
        <v>622</v>
      </c>
      <c r="T739" t="e">
        <f t="shared" si="129"/>
        <v>#VALUE!</v>
      </c>
      <c r="U739">
        <f t="shared" si="128"/>
        <v>20</v>
      </c>
    </row>
    <row r="740" spans="1:21" x14ac:dyDescent="0.25">
      <c r="A740" s="1"/>
      <c r="B740" s="1">
        <v>21065</v>
      </c>
      <c r="C740" s="2" t="s">
        <v>181</v>
      </c>
      <c r="D740" s="1" t="s">
        <v>835</v>
      </c>
      <c r="E740" s="3" t="s">
        <v>0</v>
      </c>
      <c r="F740" s="4">
        <v>40603</v>
      </c>
      <c r="G740" s="5">
        <v>45597</v>
      </c>
      <c r="H740" s="6" t="s">
        <v>1</v>
      </c>
      <c r="I740" s="1" t="s">
        <v>2</v>
      </c>
      <c r="J740" s="7"/>
      <c r="K740" s="15" t="s">
        <v>478</v>
      </c>
      <c r="L740" t="s">
        <v>479</v>
      </c>
      <c r="M740" t="s">
        <v>15</v>
      </c>
      <c r="N740" t="str">
        <f t="shared" si="126"/>
        <v>https://api.bcb.gov.br/dados/serie/bcdata.sgs.21065/dados?formato=json</v>
      </c>
      <c r="O740">
        <v>6</v>
      </c>
      <c r="P740" t="s">
        <v>19</v>
      </c>
      <c r="Q740" t="s">
        <v>19</v>
      </c>
      <c r="R740" t="s">
        <v>916</v>
      </c>
      <c r="S740" t="s">
        <v>622</v>
      </c>
      <c r="T740" t="e">
        <f t="shared" si="129"/>
        <v>#VALUE!</v>
      </c>
      <c r="U740">
        <f t="shared" si="128"/>
        <v>20</v>
      </c>
    </row>
    <row r="741" spans="1:21" x14ac:dyDescent="0.25">
      <c r="A741" s="8"/>
      <c r="B741" s="8">
        <v>21066</v>
      </c>
      <c r="C741" s="9" t="s">
        <v>120</v>
      </c>
      <c r="D741" s="8" t="s">
        <v>835</v>
      </c>
      <c r="E741" s="10" t="s">
        <v>0</v>
      </c>
      <c r="F741" s="11">
        <v>40603</v>
      </c>
      <c r="G741" s="12">
        <v>45597</v>
      </c>
      <c r="H741" s="13" t="s">
        <v>1</v>
      </c>
      <c r="I741" s="8" t="s">
        <v>2</v>
      </c>
      <c r="J741" s="14"/>
      <c r="K741" s="15" t="s">
        <v>478</v>
      </c>
      <c r="L741" t="s">
        <v>479</v>
      </c>
      <c r="M741" t="s">
        <v>15</v>
      </c>
      <c r="N741" t="str">
        <f t="shared" si="126"/>
        <v>https://api.bcb.gov.br/dados/serie/bcdata.sgs.21066/dados?formato=json</v>
      </c>
      <c r="O741">
        <v>6</v>
      </c>
      <c r="P741" t="s">
        <v>19</v>
      </c>
      <c r="Q741" t="s">
        <v>19</v>
      </c>
      <c r="R741" t="s">
        <v>118</v>
      </c>
      <c r="S741" t="s">
        <v>621</v>
      </c>
      <c r="T741" t="e">
        <f t="shared" si="129"/>
        <v>#VALUE!</v>
      </c>
      <c r="U741">
        <f t="shared" ref="U741:U755" si="130">LEN("Pessoas físicas - ")</f>
        <v>18</v>
      </c>
    </row>
    <row r="742" spans="1:21" x14ac:dyDescent="0.25">
      <c r="A742" s="1"/>
      <c r="B742" s="1">
        <v>21067</v>
      </c>
      <c r="C742" s="2" t="s">
        <v>182</v>
      </c>
      <c r="D742" s="1" t="s">
        <v>835</v>
      </c>
      <c r="E742" s="3" t="s">
        <v>0</v>
      </c>
      <c r="F742" s="4">
        <v>40603</v>
      </c>
      <c r="G742" s="5">
        <v>45597</v>
      </c>
      <c r="H742" s="6" t="s">
        <v>1</v>
      </c>
      <c r="I742" s="1" t="s">
        <v>2</v>
      </c>
      <c r="J742" s="7"/>
      <c r="K742" s="15" t="s">
        <v>478</v>
      </c>
      <c r="L742" t="s">
        <v>479</v>
      </c>
      <c r="M742" t="s">
        <v>15</v>
      </c>
      <c r="N742" t="str">
        <f t="shared" si="126"/>
        <v>https://api.bcb.gov.br/dados/serie/bcdata.sgs.21067/dados?formato=json</v>
      </c>
      <c r="O742">
        <v>6</v>
      </c>
      <c r="P742" t="s">
        <v>19</v>
      </c>
      <c r="Q742" t="s">
        <v>19</v>
      </c>
      <c r="R742" t="s">
        <v>906</v>
      </c>
      <c r="S742" t="s">
        <v>621</v>
      </c>
      <c r="T742" t="e">
        <f t="shared" ref="T742:T755" si="131">RIGHT(S742,LEN(S742)-U742)</f>
        <v>#VALUE!</v>
      </c>
      <c r="U742">
        <f t="shared" si="130"/>
        <v>18</v>
      </c>
    </row>
    <row r="743" spans="1:21" x14ac:dyDescent="0.25">
      <c r="A743" s="8"/>
      <c r="B743" s="8">
        <v>21068</v>
      </c>
      <c r="C743" s="9" t="s">
        <v>183</v>
      </c>
      <c r="D743" s="8" t="s">
        <v>835</v>
      </c>
      <c r="E743" s="10" t="s">
        <v>0</v>
      </c>
      <c r="F743" s="11">
        <v>40603</v>
      </c>
      <c r="G743" s="12">
        <v>45597</v>
      </c>
      <c r="H743" s="13" t="s">
        <v>1</v>
      </c>
      <c r="I743" s="8" t="s">
        <v>2</v>
      </c>
      <c r="J743" s="14"/>
      <c r="K743" s="15" t="s">
        <v>478</v>
      </c>
      <c r="L743" t="s">
        <v>479</v>
      </c>
      <c r="M743" t="s">
        <v>15</v>
      </c>
      <c r="N743" t="str">
        <f t="shared" si="126"/>
        <v>https://api.bcb.gov.br/dados/serie/bcdata.sgs.21068/dados?formato=json</v>
      </c>
      <c r="O743">
        <v>6</v>
      </c>
      <c r="P743" t="s">
        <v>19</v>
      </c>
      <c r="Q743" t="s">
        <v>19</v>
      </c>
      <c r="R743" t="s">
        <v>907</v>
      </c>
      <c r="S743" t="s">
        <v>621</v>
      </c>
      <c r="T743" t="e">
        <f t="shared" si="131"/>
        <v>#VALUE!</v>
      </c>
      <c r="U743">
        <f t="shared" si="130"/>
        <v>18</v>
      </c>
    </row>
    <row r="744" spans="1:21" x14ac:dyDescent="0.25">
      <c r="A744" s="1"/>
      <c r="B744" s="1">
        <v>21069</v>
      </c>
      <c r="C744" s="2" t="s">
        <v>184</v>
      </c>
      <c r="D744" s="1" t="s">
        <v>835</v>
      </c>
      <c r="E744" s="3" t="s">
        <v>0</v>
      </c>
      <c r="F744" s="4">
        <v>40603</v>
      </c>
      <c r="G744" s="5">
        <v>45597</v>
      </c>
      <c r="H744" s="6" t="s">
        <v>1</v>
      </c>
      <c r="I744" s="1" t="s">
        <v>2</v>
      </c>
      <c r="J744" s="7"/>
      <c r="K744" s="15" t="s">
        <v>478</v>
      </c>
      <c r="L744" t="s">
        <v>479</v>
      </c>
      <c r="M744" t="s">
        <v>15</v>
      </c>
      <c r="N744" t="str">
        <f t="shared" si="126"/>
        <v>https://api.bcb.gov.br/dados/serie/bcdata.sgs.21069/dados?formato=json</v>
      </c>
      <c r="O744">
        <v>6</v>
      </c>
      <c r="P744" t="s">
        <v>19</v>
      </c>
      <c r="Q744" t="s">
        <v>19</v>
      </c>
      <c r="R744" t="s">
        <v>908</v>
      </c>
      <c r="S744" t="s">
        <v>621</v>
      </c>
      <c r="T744" t="e">
        <f t="shared" si="131"/>
        <v>#VALUE!</v>
      </c>
      <c r="U744">
        <f t="shared" si="130"/>
        <v>18</v>
      </c>
    </row>
    <row r="745" spans="1:21" x14ac:dyDescent="0.25">
      <c r="A745" s="8"/>
      <c r="B745" s="8">
        <v>21070</v>
      </c>
      <c r="C745" s="9" t="s">
        <v>185</v>
      </c>
      <c r="D745" s="8" t="s">
        <v>835</v>
      </c>
      <c r="E745" s="10" t="s">
        <v>0</v>
      </c>
      <c r="F745" s="11">
        <v>40603</v>
      </c>
      <c r="G745" s="12">
        <v>45597</v>
      </c>
      <c r="H745" s="13" t="s">
        <v>1</v>
      </c>
      <c r="I745" s="8" t="s">
        <v>2</v>
      </c>
      <c r="J745" s="14"/>
      <c r="K745" s="15" t="s">
        <v>478</v>
      </c>
      <c r="L745" t="s">
        <v>479</v>
      </c>
      <c r="M745" t="s">
        <v>15</v>
      </c>
      <c r="N745" t="str">
        <f t="shared" si="126"/>
        <v>https://api.bcb.gov.br/dados/serie/bcdata.sgs.21070/dados?formato=json</v>
      </c>
      <c r="O745">
        <v>6</v>
      </c>
      <c r="P745" t="s">
        <v>19</v>
      </c>
      <c r="Q745" t="s">
        <v>19</v>
      </c>
      <c r="R745" t="s">
        <v>909</v>
      </c>
      <c r="S745" t="s">
        <v>621</v>
      </c>
      <c r="T745" t="e">
        <f t="shared" si="131"/>
        <v>#VALUE!</v>
      </c>
      <c r="U745">
        <f t="shared" si="130"/>
        <v>18</v>
      </c>
    </row>
    <row r="746" spans="1:21" x14ac:dyDescent="0.25">
      <c r="A746" s="1"/>
      <c r="B746" s="1">
        <v>21071</v>
      </c>
      <c r="C746" s="2" t="s">
        <v>186</v>
      </c>
      <c r="D746" s="1" t="s">
        <v>835</v>
      </c>
      <c r="E746" s="3" t="s">
        <v>0</v>
      </c>
      <c r="F746" s="4">
        <v>40603</v>
      </c>
      <c r="G746" s="5">
        <v>45597</v>
      </c>
      <c r="H746" s="6" t="s">
        <v>1</v>
      </c>
      <c r="I746" s="1" t="s">
        <v>2</v>
      </c>
      <c r="J746" s="7"/>
      <c r="K746" s="15" t="s">
        <v>478</v>
      </c>
      <c r="L746" t="s">
        <v>479</v>
      </c>
      <c r="M746" t="s">
        <v>15</v>
      </c>
      <c r="N746" t="str">
        <f t="shared" si="126"/>
        <v>https://api.bcb.gov.br/dados/serie/bcdata.sgs.21071/dados?formato=json</v>
      </c>
      <c r="O746">
        <v>6</v>
      </c>
      <c r="P746" t="s">
        <v>19</v>
      </c>
      <c r="Q746" t="s">
        <v>19</v>
      </c>
      <c r="R746" t="s">
        <v>910</v>
      </c>
      <c r="S746" t="s">
        <v>621</v>
      </c>
      <c r="T746" t="e">
        <f t="shared" si="131"/>
        <v>#VALUE!</v>
      </c>
      <c r="U746">
        <f t="shared" si="130"/>
        <v>18</v>
      </c>
    </row>
    <row r="747" spans="1:21" x14ac:dyDescent="0.25">
      <c r="A747" s="8"/>
      <c r="B747" s="8">
        <v>21072</v>
      </c>
      <c r="C747" s="9" t="s">
        <v>187</v>
      </c>
      <c r="D747" s="8" t="s">
        <v>835</v>
      </c>
      <c r="E747" s="10" t="s">
        <v>0</v>
      </c>
      <c r="F747" s="11">
        <v>40603</v>
      </c>
      <c r="G747" s="12">
        <v>45597</v>
      </c>
      <c r="H747" s="13" t="s">
        <v>1</v>
      </c>
      <c r="I747" s="8" t="s">
        <v>2</v>
      </c>
      <c r="J747" s="14"/>
      <c r="K747" s="15" t="s">
        <v>478</v>
      </c>
      <c r="L747" t="s">
        <v>479</v>
      </c>
      <c r="M747" t="s">
        <v>15</v>
      </c>
      <c r="N747" t="str">
        <f t="shared" si="126"/>
        <v>https://api.bcb.gov.br/dados/serie/bcdata.sgs.21072/dados?formato=json</v>
      </c>
      <c r="O747">
        <v>6</v>
      </c>
      <c r="P747" t="s">
        <v>19</v>
      </c>
      <c r="Q747" t="s">
        <v>19</v>
      </c>
      <c r="R747" t="s">
        <v>911</v>
      </c>
      <c r="S747" t="s">
        <v>621</v>
      </c>
      <c r="T747" t="e">
        <f t="shared" si="131"/>
        <v>#VALUE!</v>
      </c>
      <c r="U747">
        <f t="shared" si="130"/>
        <v>18</v>
      </c>
    </row>
    <row r="748" spans="1:21" x14ac:dyDescent="0.25">
      <c r="A748" s="1"/>
      <c r="B748" s="1">
        <v>21073</v>
      </c>
      <c r="C748" s="2" t="s">
        <v>188</v>
      </c>
      <c r="D748" s="1" t="s">
        <v>835</v>
      </c>
      <c r="E748" s="3" t="s">
        <v>0</v>
      </c>
      <c r="F748" s="4">
        <v>40603</v>
      </c>
      <c r="G748" s="5">
        <v>45597</v>
      </c>
      <c r="H748" s="6" t="s">
        <v>1</v>
      </c>
      <c r="I748" s="1" t="s">
        <v>2</v>
      </c>
      <c r="J748" s="7"/>
      <c r="K748" s="15" t="s">
        <v>478</v>
      </c>
      <c r="L748" t="s">
        <v>479</v>
      </c>
      <c r="M748" t="s">
        <v>15</v>
      </c>
      <c r="N748" t="str">
        <f t="shared" si="126"/>
        <v>https://api.bcb.gov.br/dados/serie/bcdata.sgs.21073/dados?formato=json</v>
      </c>
      <c r="O748">
        <v>6</v>
      </c>
      <c r="P748" t="s">
        <v>19</v>
      </c>
      <c r="Q748" t="s">
        <v>19</v>
      </c>
      <c r="R748" t="s">
        <v>912</v>
      </c>
      <c r="S748" t="s">
        <v>621</v>
      </c>
      <c r="T748" t="e">
        <f t="shared" si="131"/>
        <v>#VALUE!</v>
      </c>
      <c r="U748">
        <f t="shared" si="130"/>
        <v>18</v>
      </c>
    </row>
    <row r="749" spans="1:21" x14ac:dyDescent="0.25">
      <c r="A749" s="8"/>
      <c r="B749" s="8">
        <v>21074</v>
      </c>
      <c r="C749" s="9" t="s">
        <v>189</v>
      </c>
      <c r="D749" s="8" t="s">
        <v>835</v>
      </c>
      <c r="E749" s="10" t="s">
        <v>0</v>
      </c>
      <c r="F749" s="11">
        <v>40603</v>
      </c>
      <c r="G749" s="12">
        <v>45597</v>
      </c>
      <c r="H749" s="13" t="s">
        <v>1</v>
      </c>
      <c r="I749" s="8" t="s">
        <v>2</v>
      </c>
      <c r="J749" s="14"/>
      <c r="K749" s="15" t="s">
        <v>478</v>
      </c>
      <c r="L749" t="s">
        <v>479</v>
      </c>
      <c r="M749" t="s">
        <v>15</v>
      </c>
      <c r="N749" t="str">
        <f t="shared" si="126"/>
        <v>https://api.bcb.gov.br/dados/serie/bcdata.sgs.21074/dados?formato=json</v>
      </c>
      <c r="O749">
        <v>6</v>
      </c>
      <c r="P749" t="s">
        <v>19</v>
      </c>
      <c r="Q749" t="s">
        <v>19</v>
      </c>
      <c r="R749" t="s">
        <v>913</v>
      </c>
      <c r="S749" t="s">
        <v>621</v>
      </c>
      <c r="T749" t="e">
        <f t="shared" si="131"/>
        <v>#VALUE!</v>
      </c>
      <c r="U749">
        <f t="shared" si="130"/>
        <v>18</v>
      </c>
    </row>
    <row r="750" spans="1:21" x14ac:dyDescent="0.25">
      <c r="A750" s="1"/>
      <c r="B750" s="1">
        <v>21075</v>
      </c>
      <c r="C750" s="2" t="s">
        <v>190</v>
      </c>
      <c r="D750" s="1" t="s">
        <v>835</v>
      </c>
      <c r="E750" s="3" t="s">
        <v>0</v>
      </c>
      <c r="F750" s="4">
        <v>40603</v>
      </c>
      <c r="G750" s="5">
        <v>45597</v>
      </c>
      <c r="H750" s="6" t="s">
        <v>1</v>
      </c>
      <c r="I750" s="1" t="s">
        <v>2</v>
      </c>
      <c r="J750" s="7"/>
      <c r="K750" s="15" t="s">
        <v>478</v>
      </c>
      <c r="L750" t="s">
        <v>479</v>
      </c>
      <c r="M750" t="s">
        <v>15</v>
      </c>
      <c r="N750" t="str">
        <f t="shared" si="126"/>
        <v>https://api.bcb.gov.br/dados/serie/bcdata.sgs.21075/dados?formato=json</v>
      </c>
      <c r="O750">
        <v>6</v>
      </c>
      <c r="P750" t="s">
        <v>19</v>
      </c>
      <c r="Q750" t="s">
        <v>19</v>
      </c>
      <c r="R750" t="s">
        <v>914</v>
      </c>
      <c r="S750" t="s">
        <v>621</v>
      </c>
      <c r="T750" t="e">
        <f t="shared" si="131"/>
        <v>#VALUE!</v>
      </c>
      <c r="U750">
        <f t="shared" si="130"/>
        <v>18</v>
      </c>
    </row>
    <row r="751" spans="1:21" x14ac:dyDescent="0.25">
      <c r="A751" s="8"/>
      <c r="B751" s="8">
        <v>21076</v>
      </c>
      <c r="C751" s="9" t="s">
        <v>191</v>
      </c>
      <c r="D751" s="8" t="s">
        <v>835</v>
      </c>
      <c r="E751" s="10" t="s">
        <v>0</v>
      </c>
      <c r="F751" s="11">
        <v>40603</v>
      </c>
      <c r="G751" s="12">
        <v>45597</v>
      </c>
      <c r="H751" s="13" t="s">
        <v>1</v>
      </c>
      <c r="I751" s="8" t="s">
        <v>2</v>
      </c>
      <c r="J751" s="14"/>
      <c r="K751" s="15" t="s">
        <v>478</v>
      </c>
      <c r="L751" t="s">
        <v>479</v>
      </c>
      <c r="M751" t="s">
        <v>15</v>
      </c>
      <c r="N751" t="str">
        <f t="shared" si="126"/>
        <v>https://api.bcb.gov.br/dados/serie/bcdata.sgs.21076/dados?formato=json</v>
      </c>
      <c r="O751">
        <v>6</v>
      </c>
      <c r="P751" t="s">
        <v>19</v>
      </c>
      <c r="Q751" t="s">
        <v>19</v>
      </c>
      <c r="R751" t="s">
        <v>915</v>
      </c>
      <c r="S751" t="s">
        <v>621</v>
      </c>
      <c r="T751" t="e">
        <f t="shared" si="131"/>
        <v>#VALUE!</v>
      </c>
      <c r="U751">
        <f t="shared" si="130"/>
        <v>18</v>
      </c>
    </row>
    <row r="752" spans="1:21" x14ac:dyDescent="0.25">
      <c r="A752" s="1"/>
      <c r="B752" s="1">
        <v>21077</v>
      </c>
      <c r="C752" s="2" t="s">
        <v>192</v>
      </c>
      <c r="D752" s="1" t="s">
        <v>835</v>
      </c>
      <c r="E752" s="3" t="s">
        <v>0</v>
      </c>
      <c r="F752" s="4">
        <v>40603</v>
      </c>
      <c r="G752" s="5">
        <v>45597</v>
      </c>
      <c r="H752" s="6" t="s">
        <v>1</v>
      </c>
      <c r="I752" s="1" t="s">
        <v>2</v>
      </c>
      <c r="J752" s="7"/>
      <c r="K752" s="15" t="s">
        <v>478</v>
      </c>
      <c r="L752" t="s">
        <v>479</v>
      </c>
      <c r="M752" t="s">
        <v>15</v>
      </c>
      <c r="N752" t="str">
        <f t="shared" si="126"/>
        <v>https://api.bcb.gov.br/dados/serie/bcdata.sgs.21077/dados?formato=json</v>
      </c>
      <c r="O752">
        <v>6</v>
      </c>
      <c r="P752" t="s">
        <v>19</v>
      </c>
      <c r="Q752" t="s">
        <v>19</v>
      </c>
      <c r="R752" t="s">
        <v>917</v>
      </c>
      <c r="S752" t="s">
        <v>621</v>
      </c>
      <c r="T752" t="e">
        <f t="shared" si="131"/>
        <v>#VALUE!</v>
      </c>
      <c r="U752">
        <f t="shared" si="130"/>
        <v>18</v>
      </c>
    </row>
    <row r="753" spans="1:21" x14ac:dyDescent="0.25">
      <c r="A753" s="8"/>
      <c r="B753" s="8">
        <v>21078</v>
      </c>
      <c r="C753" s="9" t="s">
        <v>193</v>
      </c>
      <c r="D753" s="8" t="s">
        <v>835</v>
      </c>
      <c r="E753" s="10" t="s">
        <v>0</v>
      </c>
      <c r="F753" s="11">
        <v>40603</v>
      </c>
      <c r="G753" s="12">
        <v>45597</v>
      </c>
      <c r="H753" s="13" t="s">
        <v>1</v>
      </c>
      <c r="I753" s="8" t="s">
        <v>2</v>
      </c>
      <c r="J753" s="14"/>
      <c r="K753" s="15" t="s">
        <v>478</v>
      </c>
      <c r="L753" t="s">
        <v>479</v>
      </c>
      <c r="M753" t="s">
        <v>15</v>
      </c>
      <c r="N753" t="str">
        <f t="shared" si="126"/>
        <v>https://api.bcb.gov.br/dados/serie/bcdata.sgs.21078/dados?formato=json</v>
      </c>
      <c r="O753">
        <v>6</v>
      </c>
      <c r="P753" t="s">
        <v>19</v>
      </c>
      <c r="Q753" t="s">
        <v>19</v>
      </c>
      <c r="R753" t="s">
        <v>918</v>
      </c>
      <c r="S753" t="s">
        <v>621</v>
      </c>
      <c r="T753" t="e">
        <f t="shared" si="131"/>
        <v>#VALUE!</v>
      </c>
      <c r="U753">
        <f t="shared" si="130"/>
        <v>18</v>
      </c>
    </row>
    <row r="754" spans="1:21" x14ac:dyDescent="0.25">
      <c r="A754" s="1"/>
      <c r="B754" s="1">
        <v>21080</v>
      </c>
      <c r="C754" s="2" t="s">
        <v>194</v>
      </c>
      <c r="D754" s="1" t="s">
        <v>835</v>
      </c>
      <c r="E754" s="3" t="s">
        <v>0</v>
      </c>
      <c r="F754" s="4">
        <v>40603</v>
      </c>
      <c r="G754" s="5">
        <v>45597</v>
      </c>
      <c r="H754" s="6" t="s">
        <v>1</v>
      </c>
      <c r="I754" s="1" t="s">
        <v>2</v>
      </c>
      <c r="J754" s="7"/>
      <c r="K754" s="15" t="s">
        <v>478</v>
      </c>
      <c r="L754" t="s">
        <v>479</v>
      </c>
      <c r="M754" t="s">
        <v>15</v>
      </c>
      <c r="N754" t="str">
        <f t="shared" si="126"/>
        <v>https://api.bcb.gov.br/dados/serie/bcdata.sgs.21080/dados?formato=json</v>
      </c>
      <c r="O754">
        <v>6</v>
      </c>
      <c r="P754" t="s">
        <v>19</v>
      </c>
      <c r="Q754" t="s">
        <v>19</v>
      </c>
      <c r="R754" t="s">
        <v>919</v>
      </c>
      <c r="S754" t="s">
        <v>621</v>
      </c>
      <c r="T754" t="e">
        <f t="shared" si="131"/>
        <v>#VALUE!</v>
      </c>
      <c r="U754">
        <f t="shared" si="130"/>
        <v>18</v>
      </c>
    </row>
    <row r="755" spans="1:21" x14ac:dyDescent="0.25">
      <c r="A755" s="8"/>
      <c r="B755" s="8">
        <v>21081</v>
      </c>
      <c r="C755" s="9" t="s">
        <v>195</v>
      </c>
      <c r="D755" s="8" t="s">
        <v>835</v>
      </c>
      <c r="E755" s="10" t="s">
        <v>0</v>
      </c>
      <c r="F755" s="11">
        <v>40603</v>
      </c>
      <c r="G755" s="12">
        <v>45597</v>
      </c>
      <c r="H755" s="13" t="s">
        <v>1</v>
      </c>
      <c r="I755" s="8" t="s">
        <v>2</v>
      </c>
      <c r="J755" s="14"/>
      <c r="K755" s="15" t="s">
        <v>478</v>
      </c>
      <c r="L755" t="s">
        <v>479</v>
      </c>
      <c r="M755" t="s">
        <v>15</v>
      </c>
      <c r="N755" t="str">
        <f t="shared" si="126"/>
        <v>https://api.bcb.gov.br/dados/serie/bcdata.sgs.21081/dados?formato=json</v>
      </c>
      <c r="O755">
        <v>6</v>
      </c>
      <c r="P755" t="s">
        <v>19</v>
      </c>
      <c r="Q755" t="s">
        <v>19</v>
      </c>
      <c r="R755" t="s">
        <v>916</v>
      </c>
      <c r="S755" t="s">
        <v>621</v>
      </c>
      <c r="T755" t="e">
        <f t="shared" si="131"/>
        <v>#VALUE!</v>
      </c>
      <c r="U755">
        <f t="shared" si="130"/>
        <v>18</v>
      </c>
    </row>
    <row r="756" spans="1:21" x14ac:dyDescent="0.25">
      <c r="A756" s="1"/>
      <c r="B756" s="1">
        <v>21082</v>
      </c>
      <c r="C756" s="2" t="s">
        <v>118</v>
      </c>
      <c r="D756" s="1" t="s">
        <v>835</v>
      </c>
      <c r="E756" s="3" t="s">
        <v>0</v>
      </c>
      <c r="F756" s="4">
        <v>40603</v>
      </c>
      <c r="G756" s="5">
        <v>45597</v>
      </c>
      <c r="H756" s="6" t="s">
        <v>1</v>
      </c>
      <c r="I756" s="1" t="s">
        <v>2</v>
      </c>
      <c r="J756" s="7"/>
      <c r="K756" s="15" t="s">
        <v>480</v>
      </c>
      <c r="L756" t="s">
        <v>481</v>
      </c>
      <c r="M756" t="s">
        <v>15</v>
      </c>
      <c r="N756" t="str">
        <f t="shared" ref="N756:N758" si="132">_xlfn.CONCAT("https://api.bcb.gov.br/dados/serie/bcdata.sgs.",B756,"/dados?formato=json")</f>
        <v>https://api.bcb.gov.br/dados/serie/bcdata.sgs.21082/dados?formato=json</v>
      </c>
      <c r="O756">
        <v>6</v>
      </c>
      <c r="P756" t="s">
        <v>19</v>
      </c>
      <c r="Q756" t="s">
        <v>19</v>
      </c>
      <c r="R756" t="s">
        <v>118</v>
      </c>
      <c r="S756" t="s">
        <v>118</v>
      </c>
    </row>
    <row r="757" spans="1:21" x14ac:dyDescent="0.25">
      <c r="A757" s="8"/>
      <c r="B757" s="8">
        <v>21083</v>
      </c>
      <c r="C757" s="9" t="s">
        <v>119</v>
      </c>
      <c r="D757" s="8" t="s">
        <v>835</v>
      </c>
      <c r="E757" s="10" t="s">
        <v>0</v>
      </c>
      <c r="F757" s="11">
        <v>40603</v>
      </c>
      <c r="G757" s="12">
        <v>45597</v>
      </c>
      <c r="H757" s="13" t="s">
        <v>1</v>
      </c>
      <c r="I757" s="8" t="s">
        <v>2</v>
      </c>
      <c r="J757" s="14"/>
      <c r="K757" s="15" t="s">
        <v>480</v>
      </c>
      <c r="L757" t="s">
        <v>481</v>
      </c>
      <c r="M757" t="s">
        <v>15</v>
      </c>
      <c r="N757" t="str">
        <f t="shared" si="132"/>
        <v>https://api.bcb.gov.br/dados/serie/bcdata.sgs.21083/dados?formato=json</v>
      </c>
      <c r="O757">
        <v>6</v>
      </c>
      <c r="P757" t="s">
        <v>19</v>
      </c>
      <c r="Q757" t="s">
        <v>19</v>
      </c>
      <c r="R757" t="s">
        <v>118</v>
      </c>
      <c r="S757" t="s">
        <v>622</v>
      </c>
    </row>
    <row r="758" spans="1:21" x14ac:dyDescent="0.25">
      <c r="A758" s="1"/>
      <c r="B758" s="1">
        <v>21084</v>
      </c>
      <c r="C758" s="2" t="s">
        <v>120</v>
      </c>
      <c r="D758" s="1" t="s">
        <v>835</v>
      </c>
      <c r="E758" s="3" t="s">
        <v>0</v>
      </c>
      <c r="F758" s="4">
        <v>40603</v>
      </c>
      <c r="G758" s="5">
        <v>45597</v>
      </c>
      <c r="H758" s="6" t="s">
        <v>1</v>
      </c>
      <c r="I758" s="1" t="s">
        <v>2</v>
      </c>
      <c r="J758" s="7"/>
      <c r="K758" s="15" t="s">
        <v>480</v>
      </c>
      <c r="L758" t="s">
        <v>481</v>
      </c>
      <c r="M758" t="s">
        <v>15</v>
      </c>
      <c r="N758" t="str">
        <f t="shared" si="132"/>
        <v>https://api.bcb.gov.br/dados/serie/bcdata.sgs.21084/dados?formato=json</v>
      </c>
      <c r="O758">
        <v>6</v>
      </c>
      <c r="P758" t="s">
        <v>19</v>
      </c>
      <c r="Q758" t="s">
        <v>19</v>
      </c>
      <c r="R758" t="s">
        <v>118</v>
      </c>
      <c r="S758" t="s">
        <v>621</v>
      </c>
    </row>
    <row r="759" spans="1:21" x14ac:dyDescent="0.25">
      <c r="A759" s="1"/>
      <c r="B759" s="1">
        <v>21085</v>
      </c>
      <c r="C759" s="2" t="s">
        <v>118</v>
      </c>
      <c r="D759" s="1" t="s">
        <v>835</v>
      </c>
      <c r="E759" s="3" t="s">
        <v>0</v>
      </c>
      <c r="F759" s="4">
        <v>40603</v>
      </c>
      <c r="G759" s="5">
        <v>45597</v>
      </c>
      <c r="H759" s="6" t="s">
        <v>1</v>
      </c>
      <c r="I759" s="1" t="s">
        <v>2</v>
      </c>
      <c r="J759" s="7"/>
      <c r="K759" s="15" t="s">
        <v>482</v>
      </c>
      <c r="L759" t="s">
        <v>483</v>
      </c>
      <c r="M759" t="s">
        <v>15</v>
      </c>
      <c r="N759" t="str">
        <f t="shared" ref="N759:N805" si="133">_xlfn.CONCAT("https://api.bcb.gov.br/dados/serie/bcdata.sgs.",B759,"/dados?formato=json")</f>
        <v>https://api.bcb.gov.br/dados/serie/bcdata.sgs.21085/dados?formato=json</v>
      </c>
      <c r="O759">
        <v>6</v>
      </c>
      <c r="P759" t="s">
        <v>19</v>
      </c>
      <c r="Q759" t="s">
        <v>19</v>
      </c>
      <c r="R759" t="s">
        <v>118</v>
      </c>
      <c r="S759" t="s">
        <v>118</v>
      </c>
    </row>
    <row r="760" spans="1:21" x14ac:dyDescent="0.25">
      <c r="A760" s="8"/>
      <c r="B760" s="8">
        <v>21086</v>
      </c>
      <c r="C760" s="9" t="s">
        <v>119</v>
      </c>
      <c r="D760" s="8" t="s">
        <v>835</v>
      </c>
      <c r="E760" s="10" t="s">
        <v>0</v>
      </c>
      <c r="F760" s="11">
        <v>40603</v>
      </c>
      <c r="G760" s="12">
        <v>45597</v>
      </c>
      <c r="H760" s="13" t="s">
        <v>1</v>
      </c>
      <c r="I760" s="8" t="s">
        <v>2</v>
      </c>
      <c r="J760" s="14"/>
      <c r="K760" s="15" t="s">
        <v>482</v>
      </c>
      <c r="L760" t="s">
        <v>483</v>
      </c>
      <c r="M760" t="s">
        <v>15</v>
      </c>
      <c r="N760" t="str">
        <f t="shared" si="133"/>
        <v>https://api.bcb.gov.br/dados/serie/bcdata.sgs.21086/dados?formato=json</v>
      </c>
      <c r="O760">
        <v>6</v>
      </c>
      <c r="P760" t="s">
        <v>19</v>
      </c>
      <c r="Q760" t="s">
        <v>19</v>
      </c>
      <c r="R760" t="s">
        <v>118</v>
      </c>
      <c r="S760" t="s">
        <v>622</v>
      </c>
      <c r="T760" t="e">
        <f t="shared" ref="T760" si="134">RIGHT(S760,LEN(S760)-U760)</f>
        <v>#VALUE!</v>
      </c>
      <c r="U760">
        <f t="shared" ref="U760:U785" si="135">LEN("Setor de serviços - ")</f>
        <v>20</v>
      </c>
    </row>
    <row r="761" spans="1:21" x14ac:dyDescent="0.25">
      <c r="A761" s="1"/>
      <c r="B761" s="1">
        <v>21087</v>
      </c>
      <c r="C761" s="2" t="s">
        <v>123</v>
      </c>
      <c r="D761" s="1" t="s">
        <v>835</v>
      </c>
      <c r="E761" s="3" t="s">
        <v>0</v>
      </c>
      <c r="F761" s="4">
        <v>40603</v>
      </c>
      <c r="G761" s="5">
        <v>45597</v>
      </c>
      <c r="H761" s="6" t="s">
        <v>1</v>
      </c>
      <c r="I761" s="1" t="s">
        <v>2</v>
      </c>
      <c r="J761" s="7"/>
      <c r="K761" s="15" t="s">
        <v>482</v>
      </c>
      <c r="L761" t="s">
        <v>483</v>
      </c>
      <c r="M761" t="s">
        <v>15</v>
      </c>
      <c r="N761" t="str">
        <f t="shared" si="133"/>
        <v>https://api.bcb.gov.br/dados/serie/bcdata.sgs.21087/dados?formato=json</v>
      </c>
      <c r="O761">
        <v>6</v>
      </c>
      <c r="P761" t="s">
        <v>19</v>
      </c>
      <c r="Q761" t="s">
        <v>19</v>
      </c>
      <c r="R761" t="s">
        <v>873</v>
      </c>
      <c r="S761" t="s">
        <v>622</v>
      </c>
      <c r="T761" t="e">
        <f t="shared" ref="T761:T786" si="136">RIGHT(S761,LEN(S761)-U761)</f>
        <v>#VALUE!</v>
      </c>
      <c r="U761">
        <f t="shared" si="135"/>
        <v>20</v>
      </c>
    </row>
    <row r="762" spans="1:21" x14ac:dyDescent="0.25">
      <c r="A762" s="8"/>
      <c r="B762" s="8">
        <v>21088</v>
      </c>
      <c r="C762" s="9" t="s">
        <v>124</v>
      </c>
      <c r="D762" s="8" t="s">
        <v>835</v>
      </c>
      <c r="E762" s="10" t="s">
        <v>0</v>
      </c>
      <c r="F762" s="11">
        <v>40603</v>
      </c>
      <c r="G762" s="12">
        <v>45597</v>
      </c>
      <c r="H762" s="13" t="s">
        <v>1</v>
      </c>
      <c r="I762" s="8" t="s">
        <v>2</v>
      </c>
      <c r="J762" s="14"/>
      <c r="K762" s="15" t="s">
        <v>482</v>
      </c>
      <c r="L762" t="s">
        <v>483</v>
      </c>
      <c r="M762" t="s">
        <v>15</v>
      </c>
      <c r="N762" t="str">
        <f t="shared" si="133"/>
        <v>https://api.bcb.gov.br/dados/serie/bcdata.sgs.21088/dados?formato=json</v>
      </c>
      <c r="O762">
        <v>6</v>
      </c>
      <c r="P762" t="s">
        <v>19</v>
      </c>
      <c r="Q762" t="s">
        <v>19</v>
      </c>
      <c r="R762" t="s">
        <v>874</v>
      </c>
      <c r="S762" t="s">
        <v>622</v>
      </c>
      <c r="T762" t="e">
        <f t="shared" si="136"/>
        <v>#VALUE!</v>
      </c>
      <c r="U762">
        <f t="shared" si="135"/>
        <v>20</v>
      </c>
    </row>
    <row r="763" spans="1:21" x14ac:dyDescent="0.25">
      <c r="A763" s="1"/>
      <c r="B763" s="1">
        <v>21089</v>
      </c>
      <c r="C763" s="2" t="s">
        <v>125</v>
      </c>
      <c r="D763" s="1" t="s">
        <v>835</v>
      </c>
      <c r="E763" s="3" t="s">
        <v>0</v>
      </c>
      <c r="F763" s="4">
        <v>40603</v>
      </c>
      <c r="G763" s="5">
        <v>45597</v>
      </c>
      <c r="H763" s="6" t="s">
        <v>1</v>
      </c>
      <c r="I763" s="1" t="s">
        <v>2</v>
      </c>
      <c r="J763" s="7"/>
      <c r="K763" s="15" t="s">
        <v>482</v>
      </c>
      <c r="L763" t="s">
        <v>483</v>
      </c>
      <c r="M763" t="s">
        <v>15</v>
      </c>
      <c r="N763" t="str">
        <f t="shared" si="133"/>
        <v>https://api.bcb.gov.br/dados/serie/bcdata.sgs.21089/dados?formato=json</v>
      </c>
      <c r="O763">
        <v>6</v>
      </c>
      <c r="P763" t="s">
        <v>19</v>
      </c>
      <c r="Q763" t="s">
        <v>19</v>
      </c>
      <c r="R763" t="s">
        <v>875</v>
      </c>
      <c r="S763" t="s">
        <v>622</v>
      </c>
      <c r="T763" t="e">
        <f t="shared" si="136"/>
        <v>#VALUE!</v>
      </c>
      <c r="U763">
        <f t="shared" si="135"/>
        <v>20</v>
      </c>
    </row>
    <row r="764" spans="1:21" x14ac:dyDescent="0.25">
      <c r="A764" s="8"/>
      <c r="B764" s="8">
        <v>21090</v>
      </c>
      <c r="C764" s="9" t="s">
        <v>126</v>
      </c>
      <c r="D764" s="8" t="s">
        <v>835</v>
      </c>
      <c r="E764" s="10" t="s">
        <v>0</v>
      </c>
      <c r="F764" s="11">
        <v>40603</v>
      </c>
      <c r="G764" s="12">
        <v>45597</v>
      </c>
      <c r="H764" s="13" t="s">
        <v>1</v>
      </c>
      <c r="I764" s="8" t="s">
        <v>2</v>
      </c>
      <c r="J764" s="14"/>
      <c r="K764" s="15" t="s">
        <v>482</v>
      </c>
      <c r="L764" t="s">
        <v>483</v>
      </c>
      <c r="M764" t="s">
        <v>15</v>
      </c>
      <c r="N764" t="str">
        <f t="shared" si="133"/>
        <v>https://api.bcb.gov.br/dados/serie/bcdata.sgs.21090/dados?formato=json</v>
      </c>
      <c r="O764">
        <v>6</v>
      </c>
      <c r="P764" t="s">
        <v>19</v>
      </c>
      <c r="Q764" t="s">
        <v>19</v>
      </c>
      <c r="R764" t="s">
        <v>876</v>
      </c>
      <c r="S764" t="s">
        <v>622</v>
      </c>
      <c r="T764" t="e">
        <f t="shared" si="136"/>
        <v>#VALUE!</v>
      </c>
      <c r="U764">
        <f t="shared" si="135"/>
        <v>20</v>
      </c>
    </row>
    <row r="765" spans="1:21" x14ac:dyDescent="0.25">
      <c r="A765" s="1"/>
      <c r="B765" s="1">
        <v>21091</v>
      </c>
      <c r="C765" s="2" t="s">
        <v>127</v>
      </c>
      <c r="D765" s="1" t="s">
        <v>835</v>
      </c>
      <c r="E765" s="3" t="s">
        <v>0</v>
      </c>
      <c r="F765" s="4">
        <v>40603</v>
      </c>
      <c r="G765" s="5">
        <v>45597</v>
      </c>
      <c r="H765" s="6" t="s">
        <v>1</v>
      </c>
      <c r="I765" s="1" t="s">
        <v>2</v>
      </c>
      <c r="J765" s="7"/>
      <c r="K765" s="15" t="s">
        <v>482</v>
      </c>
      <c r="L765" t="s">
        <v>483</v>
      </c>
      <c r="M765" t="s">
        <v>15</v>
      </c>
      <c r="N765" t="str">
        <f t="shared" si="133"/>
        <v>https://api.bcb.gov.br/dados/serie/bcdata.sgs.21091/dados?formato=json</v>
      </c>
      <c r="O765">
        <v>6</v>
      </c>
      <c r="P765" t="s">
        <v>19</v>
      </c>
      <c r="Q765" t="s">
        <v>19</v>
      </c>
      <c r="R765" t="s">
        <v>877</v>
      </c>
      <c r="S765" t="s">
        <v>622</v>
      </c>
      <c r="T765" t="e">
        <f t="shared" si="136"/>
        <v>#VALUE!</v>
      </c>
      <c r="U765">
        <f t="shared" si="135"/>
        <v>20</v>
      </c>
    </row>
    <row r="766" spans="1:21" x14ac:dyDescent="0.25">
      <c r="A766" s="8"/>
      <c r="B766" s="8">
        <v>21092</v>
      </c>
      <c r="C766" s="9" t="s">
        <v>128</v>
      </c>
      <c r="D766" s="8" t="s">
        <v>835</v>
      </c>
      <c r="E766" s="10" t="s">
        <v>0</v>
      </c>
      <c r="F766" s="11">
        <v>40603</v>
      </c>
      <c r="G766" s="12">
        <v>45597</v>
      </c>
      <c r="H766" s="13" t="s">
        <v>1</v>
      </c>
      <c r="I766" s="8" t="s">
        <v>2</v>
      </c>
      <c r="J766" s="14"/>
      <c r="K766" s="15" t="s">
        <v>482</v>
      </c>
      <c r="L766" t="s">
        <v>483</v>
      </c>
      <c r="M766" t="s">
        <v>15</v>
      </c>
      <c r="N766" t="str">
        <f t="shared" si="133"/>
        <v>https://api.bcb.gov.br/dados/serie/bcdata.sgs.21092/dados?formato=json</v>
      </c>
      <c r="O766">
        <v>6</v>
      </c>
      <c r="P766" t="s">
        <v>19</v>
      </c>
      <c r="Q766" t="s">
        <v>19</v>
      </c>
      <c r="R766" t="s">
        <v>878</v>
      </c>
      <c r="S766" t="s">
        <v>622</v>
      </c>
      <c r="T766" t="e">
        <f t="shared" si="136"/>
        <v>#VALUE!</v>
      </c>
      <c r="U766">
        <f t="shared" si="135"/>
        <v>20</v>
      </c>
    </row>
    <row r="767" spans="1:21" x14ac:dyDescent="0.25">
      <c r="A767" s="1"/>
      <c r="B767" s="1">
        <v>21093</v>
      </c>
      <c r="C767" s="2" t="s">
        <v>129</v>
      </c>
      <c r="D767" s="1" t="s">
        <v>835</v>
      </c>
      <c r="E767" s="3" t="s">
        <v>0</v>
      </c>
      <c r="F767" s="4">
        <v>40603</v>
      </c>
      <c r="G767" s="5">
        <v>45597</v>
      </c>
      <c r="H767" s="6" t="s">
        <v>1</v>
      </c>
      <c r="I767" s="1" t="s">
        <v>2</v>
      </c>
      <c r="J767" s="7"/>
      <c r="K767" s="15" t="s">
        <v>482</v>
      </c>
      <c r="L767" t="s">
        <v>483</v>
      </c>
      <c r="M767" t="s">
        <v>15</v>
      </c>
      <c r="N767" t="str">
        <f t="shared" si="133"/>
        <v>https://api.bcb.gov.br/dados/serie/bcdata.sgs.21093/dados?formato=json</v>
      </c>
      <c r="O767">
        <v>6</v>
      </c>
      <c r="P767" t="s">
        <v>19</v>
      </c>
      <c r="Q767" t="s">
        <v>19</v>
      </c>
      <c r="R767" t="s">
        <v>879</v>
      </c>
      <c r="S767" t="s">
        <v>622</v>
      </c>
      <c r="T767" t="e">
        <f t="shared" si="136"/>
        <v>#VALUE!</v>
      </c>
      <c r="U767">
        <f t="shared" si="135"/>
        <v>20</v>
      </c>
    </row>
    <row r="768" spans="1:21" x14ac:dyDescent="0.25">
      <c r="A768" s="8"/>
      <c r="B768" s="8">
        <v>21094</v>
      </c>
      <c r="C768" s="9" t="s">
        <v>130</v>
      </c>
      <c r="D768" s="8" t="s">
        <v>835</v>
      </c>
      <c r="E768" s="10" t="s">
        <v>0</v>
      </c>
      <c r="F768" s="11">
        <v>40603</v>
      </c>
      <c r="G768" s="12">
        <v>45597</v>
      </c>
      <c r="H768" s="13" t="s">
        <v>1</v>
      </c>
      <c r="I768" s="8" t="s">
        <v>2</v>
      </c>
      <c r="J768" s="14"/>
      <c r="K768" s="15" t="s">
        <v>482</v>
      </c>
      <c r="L768" t="s">
        <v>483</v>
      </c>
      <c r="M768" t="s">
        <v>15</v>
      </c>
      <c r="N768" t="str">
        <f t="shared" si="133"/>
        <v>https://api.bcb.gov.br/dados/serie/bcdata.sgs.21094/dados?formato=json</v>
      </c>
      <c r="O768">
        <v>6</v>
      </c>
      <c r="P768" t="s">
        <v>19</v>
      </c>
      <c r="Q768" t="s">
        <v>19</v>
      </c>
      <c r="R768" t="s">
        <v>880</v>
      </c>
      <c r="S768" t="s">
        <v>622</v>
      </c>
      <c r="T768" t="e">
        <f t="shared" si="136"/>
        <v>#VALUE!</v>
      </c>
      <c r="U768">
        <f t="shared" si="135"/>
        <v>20</v>
      </c>
    </row>
    <row r="769" spans="1:21" x14ac:dyDescent="0.25">
      <c r="A769" s="1"/>
      <c r="B769" s="1">
        <v>21095</v>
      </c>
      <c r="C769" s="2" t="s">
        <v>131</v>
      </c>
      <c r="D769" s="1" t="s">
        <v>835</v>
      </c>
      <c r="E769" s="3" t="s">
        <v>0</v>
      </c>
      <c r="F769" s="4">
        <v>40603</v>
      </c>
      <c r="G769" s="5">
        <v>45597</v>
      </c>
      <c r="H769" s="6" t="s">
        <v>1</v>
      </c>
      <c r="I769" s="1" t="s">
        <v>2</v>
      </c>
      <c r="J769" s="7"/>
      <c r="K769" s="15" t="s">
        <v>482</v>
      </c>
      <c r="L769" t="s">
        <v>483</v>
      </c>
      <c r="M769" t="s">
        <v>15</v>
      </c>
      <c r="N769" t="str">
        <f t="shared" si="133"/>
        <v>https://api.bcb.gov.br/dados/serie/bcdata.sgs.21095/dados?formato=json</v>
      </c>
      <c r="O769">
        <v>6</v>
      </c>
      <c r="P769" t="s">
        <v>19</v>
      </c>
      <c r="Q769" t="s">
        <v>19</v>
      </c>
      <c r="R769" t="s">
        <v>881</v>
      </c>
      <c r="S769" t="s">
        <v>622</v>
      </c>
      <c r="T769" t="e">
        <f t="shared" si="136"/>
        <v>#VALUE!</v>
      </c>
      <c r="U769">
        <f t="shared" si="135"/>
        <v>20</v>
      </c>
    </row>
    <row r="770" spans="1:21" x14ac:dyDescent="0.25">
      <c r="A770" s="8"/>
      <c r="B770" s="8">
        <v>21096</v>
      </c>
      <c r="C770" s="9" t="s">
        <v>132</v>
      </c>
      <c r="D770" s="8" t="s">
        <v>835</v>
      </c>
      <c r="E770" s="10" t="s">
        <v>0</v>
      </c>
      <c r="F770" s="11">
        <v>40603</v>
      </c>
      <c r="G770" s="12">
        <v>45597</v>
      </c>
      <c r="H770" s="13" t="s">
        <v>1</v>
      </c>
      <c r="I770" s="8" t="s">
        <v>2</v>
      </c>
      <c r="J770" s="14"/>
      <c r="K770" s="15" t="s">
        <v>482</v>
      </c>
      <c r="L770" t="s">
        <v>483</v>
      </c>
      <c r="M770" t="s">
        <v>15</v>
      </c>
      <c r="N770" t="str">
        <f t="shared" si="133"/>
        <v>https://api.bcb.gov.br/dados/serie/bcdata.sgs.21096/dados?formato=json</v>
      </c>
      <c r="O770">
        <v>6</v>
      </c>
      <c r="P770" t="s">
        <v>19</v>
      </c>
      <c r="Q770" t="s">
        <v>19</v>
      </c>
      <c r="R770" t="s">
        <v>882</v>
      </c>
      <c r="S770" t="s">
        <v>622</v>
      </c>
      <c r="T770" t="e">
        <f t="shared" si="136"/>
        <v>#VALUE!</v>
      </c>
      <c r="U770">
        <f t="shared" si="135"/>
        <v>20</v>
      </c>
    </row>
    <row r="771" spans="1:21" x14ac:dyDescent="0.25">
      <c r="A771" s="1"/>
      <c r="B771" s="1">
        <v>21097</v>
      </c>
      <c r="C771" s="2" t="s">
        <v>133</v>
      </c>
      <c r="D771" s="1" t="s">
        <v>835</v>
      </c>
      <c r="E771" s="3" t="s">
        <v>0</v>
      </c>
      <c r="F771" s="4">
        <v>40603</v>
      </c>
      <c r="G771" s="5">
        <v>45597</v>
      </c>
      <c r="H771" s="6" t="s">
        <v>1</v>
      </c>
      <c r="I771" s="1" t="s">
        <v>2</v>
      </c>
      <c r="J771" s="7"/>
      <c r="K771" s="15" t="s">
        <v>482</v>
      </c>
      <c r="L771" t="s">
        <v>483</v>
      </c>
      <c r="M771" t="s">
        <v>15</v>
      </c>
      <c r="N771" t="str">
        <f t="shared" si="133"/>
        <v>https://api.bcb.gov.br/dados/serie/bcdata.sgs.21097/dados?formato=json</v>
      </c>
      <c r="O771">
        <v>6</v>
      </c>
      <c r="P771" t="s">
        <v>19</v>
      </c>
      <c r="Q771" t="s">
        <v>19</v>
      </c>
      <c r="R771" t="s">
        <v>883</v>
      </c>
      <c r="S771" t="s">
        <v>622</v>
      </c>
      <c r="T771" t="e">
        <f t="shared" si="136"/>
        <v>#VALUE!</v>
      </c>
      <c r="U771">
        <f t="shared" si="135"/>
        <v>20</v>
      </c>
    </row>
    <row r="772" spans="1:21" x14ac:dyDescent="0.25">
      <c r="A772" s="8"/>
      <c r="B772" s="8">
        <v>21098</v>
      </c>
      <c r="C772" s="9" t="s">
        <v>134</v>
      </c>
      <c r="D772" s="8" t="s">
        <v>835</v>
      </c>
      <c r="E772" s="10" t="s">
        <v>0</v>
      </c>
      <c r="F772" s="11">
        <v>40603</v>
      </c>
      <c r="G772" s="12">
        <v>45597</v>
      </c>
      <c r="H772" s="13" t="s">
        <v>1</v>
      </c>
      <c r="I772" s="8" t="s">
        <v>2</v>
      </c>
      <c r="J772" s="14"/>
      <c r="K772" s="15" t="s">
        <v>482</v>
      </c>
      <c r="L772" t="s">
        <v>483</v>
      </c>
      <c r="M772" t="s">
        <v>15</v>
      </c>
      <c r="N772" t="str">
        <f t="shared" si="133"/>
        <v>https://api.bcb.gov.br/dados/serie/bcdata.sgs.21098/dados?formato=json</v>
      </c>
      <c r="O772">
        <v>6</v>
      </c>
      <c r="P772" t="s">
        <v>19</v>
      </c>
      <c r="Q772" t="s">
        <v>19</v>
      </c>
      <c r="R772" t="s">
        <v>884</v>
      </c>
      <c r="S772" t="s">
        <v>622</v>
      </c>
      <c r="T772" t="e">
        <f t="shared" si="136"/>
        <v>#VALUE!</v>
      </c>
      <c r="U772">
        <f t="shared" si="135"/>
        <v>20</v>
      </c>
    </row>
    <row r="773" spans="1:21" x14ac:dyDescent="0.25">
      <c r="A773" s="1"/>
      <c r="B773" s="1">
        <v>21099</v>
      </c>
      <c r="C773" s="2" t="s">
        <v>135</v>
      </c>
      <c r="D773" s="1" t="s">
        <v>835</v>
      </c>
      <c r="E773" s="3" t="s">
        <v>0</v>
      </c>
      <c r="F773" s="4">
        <v>40603</v>
      </c>
      <c r="G773" s="5">
        <v>45597</v>
      </c>
      <c r="H773" s="6" t="s">
        <v>1</v>
      </c>
      <c r="I773" s="1" t="s">
        <v>2</v>
      </c>
      <c r="J773" s="7"/>
      <c r="K773" s="15" t="s">
        <v>482</v>
      </c>
      <c r="L773" t="s">
        <v>483</v>
      </c>
      <c r="M773" t="s">
        <v>15</v>
      </c>
      <c r="N773" t="str">
        <f t="shared" si="133"/>
        <v>https://api.bcb.gov.br/dados/serie/bcdata.sgs.21099/dados?formato=json</v>
      </c>
      <c r="O773">
        <v>6</v>
      </c>
      <c r="P773" t="s">
        <v>19</v>
      </c>
      <c r="Q773" t="s">
        <v>19</v>
      </c>
      <c r="R773" t="s">
        <v>885</v>
      </c>
      <c r="S773" t="s">
        <v>622</v>
      </c>
      <c r="T773" t="e">
        <f t="shared" si="136"/>
        <v>#VALUE!</v>
      </c>
      <c r="U773">
        <f t="shared" si="135"/>
        <v>20</v>
      </c>
    </row>
    <row r="774" spans="1:21" x14ac:dyDescent="0.25">
      <c r="A774" s="8"/>
      <c r="B774" s="8">
        <v>21100</v>
      </c>
      <c r="C774" s="9" t="s">
        <v>136</v>
      </c>
      <c r="D774" s="8" t="s">
        <v>835</v>
      </c>
      <c r="E774" s="10" t="s">
        <v>0</v>
      </c>
      <c r="F774" s="11">
        <v>40603</v>
      </c>
      <c r="G774" s="12">
        <v>45597</v>
      </c>
      <c r="H774" s="13" t="s">
        <v>1</v>
      </c>
      <c r="I774" s="8" t="s">
        <v>2</v>
      </c>
      <c r="J774" s="14"/>
      <c r="K774" s="15" t="s">
        <v>482</v>
      </c>
      <c r="L774" t="s">
        <v>483</v>
      </c>
      <c r="M774" t="s">
        <v>15</v>
      </c>
      <c r="N774" t="str">
        <f t="shared" si="133"/>
        <v>https://api.bcb.gov.br/dados/serie/bcdata.sgs.21100/dados?formato=json</v>
      </c>
      <c r="O774">
        <v>6</v>
      </c>
      <c r="P774" t="s">
        <v>19</v>
      </c>
      <c r="Q774" t="s">
        <v>19</v>
      </c>
      <c r="R774" t="s">
        <v>886</v>
      </c>
      <c r="S774" t="s">
        <v>622</v>
      </c>
      <c r="T774" t="e">
        <f t="shared" si="136"/>
        <v>#VALUE!</v>
      </c>
      <c r="U774">
        <f t="shared" si="135"/>
        <v>20</v>
      </c>
    </row>
    <row r="775" spans="1:21" x14ac:dyDescent="0.25">
      <c r="A775" s="1"/>
      <c r="B775" s="1">
        <v>21101</v>
      </c>
      <c r="C775" s="2" t="s">
        <v>137</v>
      </c>
      <c r="D775" s="1" t="s">
        <v>835</v>
      </c>
      <c r="E775" s="3" t="s">
        <v>0</v>
      </c>
      <c r="F775" s="4">
        <v>40603</v>
      </c>
      <c r="G775" s="5">
        <v>45597</v>
      </c>
      <c r="H775" s="6" t="s">
        <v>1</v>
      </c>
      <c r="I775" s="1" t="s">
        <v>2</v>
      </c>
      <c r="J775" s="7"/>
      <c r="K775" s="15" t="s">
        <v>482</v>
      </c>
      <c r="L775" t="s">
        <v>483</v>
      </c>
      <c r="M775" t="s">
        <v>15</v>
      </c>
      <c r="N775" t="str">
        <f t="shared" si="133"/>
        <v>https://api.bcb.gov.br/dados/serie/bcdata.sgs.21101/dados?formato=json</v>
      </c>
      <c r="O775">
        <v>6</v>
      </c>
      <c r="P775" t="s">
        <v>19</v>
      </c>
      <c r="Q775" t="s">
        <v>19</v>
      </c>
      <c r="R775" t="s">
        <v>887</v>
      </c>
      <c r="S775" t="s">
        <v>622</v>
      </c>
      <c r="T775" t="e">
        <f t="shared" si="136"/>
        <v>#VALUE!</v>
      </c>
      <c r="U775">
        <f t="shared" si="135"/>
        <v>20</v>
      </c>
    </row>
    <row r="776" spans="1:21" x14ac:dyDescent="0.25">
      <c r="A776" s="8"/>
      <c r="B776" s="8">
        <v>21102</v>
      </c>
      <c r="C776" s="9" t="s">
        <v>138</v>
      </c>
      <c r="D776" s="8" t="s">
        <v>835</v>
      </c>
      <c r="E776" s="10" t="s">
        <v>0</v>
      </c>
      <c r="F776" s="11">
        <v>40603</v>
      </c>
      <c r="G776" s="12">
        <v>45597</v>
      </c>
      <c r="H776" s="13" t="s">
        <v>1</v>
      </c>
      <c r="I776" s="8" t="s">
        <v>2</v>
      </c>
      <c r="J776" s="14"/>
      <c r="K776" s="15" t="s">
        <v>482</v>
      </c>
      <c r="L776" t="s">
        <v>483</v>
      </c>
      <c r="M776" t="s">
        <v>15</v>
      </c>
      <c r="N776" t="str">
        <f t="shared" si="133"/>
        <v>https://api.bcb.gov.br/dados/serie/bcdata.sgs.21102/dados?formato=json</v>
      </c>
      <c r="O776">
        <v>6</v>
      </c>
      <c r="P776" t="s">
        <v>19</v>
      </c>
      <c r="Q776" t="s">
        <v>19</v>
      </c>
      <c r="R776" t="s">
        <v>888</v>
      </c>
      <c r="S776" t="s">
        <v>622</v>
      </c>
      <c r="T776" t="e">
        <f t="shared" si="136"/>
        <v>#VALUE!</v>
      </c>
      <c r="U776">
        <f t="shared" si="135"/>
        <v>20</v>
      </c>
    </row>
    <row r="777" spans="1:21" x14ac:dyDescent="0.25">
      <c r="A777" s="1"/>
      <c r="B777" s="1">
        <v>21103</v>
      </c>
      <c r="C777" s="2" t="s">
        <v>139</v>
      </c>
      <c r="D777" s="1" t="s">
        <v>835</v>
      </c>
      <c r="E777" s="3" t="s">
        <v>0</v>
      </c>
      <c r="F777" s="4">
        <v>40603</v>
      </c>
      <c r="G777" s="5">
        <v>45597</v>
      </c>
      <c r="H777" s="6" t="s">
        <v>1</v>
      </c>
      <c r="I777" s="1" t="s">
        <v>2</v>
      </c>
      <c r="J777" s="7"/>
      <c r="K777" s="15" t="s">
        <v>482</v>
      </c>
      <c r="L777" t="s">
        <v>483</v>
      </c>
      <c r="M777" t="s">
        <v>15</v>
      </c>
      <c r="N777" t="str">
        <f t="shared" si="133"/>
        <v>https://api.bcb.gov.br/dados/serie/bcdata.sgs.21103/dados?formato=json</v>
      </c>
      <c r="O777">
        <v>6</v>
      </c>
      <c r="P777" t="s">
        <v>19</v>
      </c>
      <c r="Q777" t="s">
        <v>19</v>
      </c>
      <c r="R777" t="s">
        <v>889</v>
      </c>
      <c r="S777" t="s">
        <v>622</v>
      </c>
      <c r="T777" t="e">
        <f t="shared" si="136"/>
        <v>#VALUE!</v>
      </c>
      <c r="U777">
        <f t="shared" si="135"/>
        <v>20</v>
      </c>
    </row>
    <row r="778" spans="1:21" x14ac:dyDescent="0.25">
      <c r="A778" s="8"/>
      <c r="B778" s="8">
        <v>21104</v>
      </c>
      <c r="C778" s="9" t="s">
        <v>140</v>
      </c>
      <c r="D778" s="8" t="s">
        <v>835</v>
      </c>
      <c r="E778" s="10" t="s">
        <v>0</v>
      </c>
      <c r="F778" s="11">
        <v>40603</v>
      </c>
      <c r="G778" s="12">
        <v>45597</v>
      </c>
      <c r="H778" s="13" t="s">
        <v>1</v>
      </c>
      <c r="I778" s="8" t="s">
        <v>2</v>
      </c>
      <c r="J778" s="14"/>
      <c r="K778" s="15" t="s">
        <v>482</v>
      </c>
      <c r="L778" t="s">
        <v>483</v>
      </c>
      <c r="M778" t="s">
        <v>15</v>
      </c>
      <c r="N778" t="str">
        <f t="shared" si="133"/>
        <v>https://api.bcb.gov.br/dados/serie/bcdata.sgs.21104/dados?formato=json</v>
      </c>
      <c r="O778">
        <v>6</v>
      </c>
      <c r="P778" t="s">
        <v>19</v>
      </c>
      <c r="Q778" t="s">
        <v>19</v>
      </c>
      <c r="R778" t="s">
        <v>890</v>
      </c>
      <c r="S778" t="s">
        <v>622</v>
      </c>
      <c r="T778" t="e">
        <f t="shared" si="136"/>
        <v>#VALUE!</v>
      </c>
      <c r="U778">
        <f t="shared" si="135"/>
        <v>20</v>
      </c>
    </row>
    <row r="779" spans="1:21" x14ac:dyDescent="0.25">
      <c r="A779" s="1"/>
      <c r="B779" s="1">
        <v>21105</v>
      </c>
      <c r="C779" s="2" t="s">
        <v>141</v>
      </c>
      <c r="D779" s="1" t="s">
        <v>835</v>
      </c>
      <c r="E779" s="3" t="s">
        <v>0</v>
      </c>
      <c r="F779" s="4">
        <v>40603</v>
      </c>
      <c r="G779" s="5">
        <v>45597</v>
      </c>
      <c r="H779" s="6" t="s">
        <v>1</v>
      </c>
      <c r="I779" s="1" t="s">
        <v>2</v>
      </c>
      <c r="J779" s="7"/>
      <c r="K779" s="15" t="s">
        <v>482</v>
      </c>
      <c r="L779" t="s">
        <v>483</v>
      </c>
      <c r="M779" t="s">
        <v>15</v>
      </c>
      <c r="N779" t="str">
        <f t="shared" si="133"/>
        <v>https://api.bcb.gov.br/dados/serie/bcdata.sgs.21105/dados?formato=json</v>
      </c>
      <c r="O779">
        <v>6</v>
      </c>
      <c r="P779" t="s">
        <v>19</v>
      </c>
      <c r="Q779" t="s">
        <v>19</v>
      </c>
      <c r="R779" t="s">
        <v>891</v>
      </c>
      <c r="S779" t="s">
        <v>622</v>
      </c>
      <c r="T779" t="e">
        <f t="shared" si="136"/>
        <v>#VALUE!</v>
      </c>
      <c r="U779">
        <f t="shared" si="135"/>
        <v>20</v>
      </c>
    </row>
    <row r="780" spans="1:21" x14ac:dyDescent="0.25">
      <c r="A780" s="8"/>
      <c r="B780" s="8">
        <v>21106</v>
      </c>
      <c r="C780" s="9" t="s">
        <v>143</v>
      </c>
      <c r="D780" s="8" t="s">
        <v>835</v>
      </c>
      <c r="E780" s="10" t="s">
        <v>0</v>
      </c>
      <c r="F780" s="11">
        <v>40603</v>
      </c>
      <c r="G780" s="12">
        <v>45597</v>
      </c>
      <c r="H780" s="13" t="s">
        <v>1</v>
      </c>
      <c r="I780" s="8" t="s">
        <v>2</v>
      </c>
      <c r="J780" s="14"/>
      <c r="K780" s="15" t="s">
        <v>482</v>
      </c>
      <c r="L780" t="s">
        <v>483</v>
      </c>
      <c r="M780" t="s">
        <v>15</v>
      </c>
      <c r="N780" t="str">
        <f t="shared" si="133"/>
        <v>https://api.bcb.gov.br/dados/serie/bcdata.sgs.21106/dados?formato=json</v>
      </c>
      <c r="O780">
        <v>6</v>
      </c>
      <c r="P780" t="s">
        <v>19</v>
      </c>
      <c r="Q780" t="s">
        <v>19</v>
      </c>
      <c r="R780" t="s">
        <v>893</v>
      </c>
      <c r="S780" t="s">
        <v>622</v>
      </c>
      <c r="T780" t="e">
        <f t="shared" si="136"/>
        <v>#VALUE!</v>
      </c>
      <c r="U780">
        <f t="shared" si="135"/>
        <v>20</v>
      </c>
    </row>
    <row r="781" spans="1:21" x14ac:dyDescent="0.25">
      <c r="A781" s="1"/>
      <c r="B781" s="1">
        <v>21107</v>
      </c>
      <c r="C781" s="2" t="s">
        <v>144</v>
      </c>
      <c r="D781" s="1" t="s">
        <v>835</v>
      </c>
      <c r="E781" s="3" t="s">
        <v>0</v>
      </c>
      <c r="F781" s="4">
        <v>40603</v>
      </c>
      <c r="G781" s="5">
        <v>45597</v>
      </c>
      <c r="H781" s="6" t="s">
        <v>1</v>
      </c>
      <c r="I781" s="1" t="s">
        <v>2</v>
      </c>
      <c r="J781" s="7"/>
      <c r="K781" s="15" t="s">
        <v>482</v>
      </c>
      <c r="L781" t="s">
        <v>483</v>
      </c>
      <c r="M781" t="s">
        <v>15</v>
      </c>
      <c r="N781" t="str">
        <f t="shared" si="133"/>
        <v>https://api.bcb.gov.br/dados/serie/bcdata.sgs.21107/dados?formato=json</v>
      </c>
      <c r="O781">
        <v>6</v>
      </c>
      <c r="P781" t="s">
        <v>19</v>
      </c>
      <c r="Q781" t="s">
        <v>19</v>
      </c>
      <c r="R781" t="s">
        <v>894</v>
      </c>
      <c r="S781" t="s">
        <v>622</v>
      </c>
      <c r="T781" t="e">
        <f t="shared" si="136"/>
        <v>#VALUE!</v>
      </c>
      <c r="U781">
        <f t="shared" si="135"/>
        <v>20</v>
      </c>
    </row>
    <row r="782" spans="1:21" x14ac:dyDescent="0.25">
      <c r="A782" s="8"/>
      <c r="B782" s="8">
        <v>21108</v>
      </c>
      <c r="C782" s="9" t="s">
        <v>145</v>
      </c>
      <c r="D782" s="8" t="s">
        <v>835</v>
      </c>
      <c r="E782" s="10" t="s">
        <v>0</v>
      </c>
      <c r="F782" s="11">
        <v>40603</v>
      </c>
      <c r="G782" s="12">
        <v>45597</v>
      </c>
      <c r="H782" s="13" t="s">
        <v>1</v>
      </c>
      <c r="I782" s="8" t="s">
        <v>2</v>
      </c>
      <c r="J782" s="14"/>
      <c r="K782" s="15" t="s">
        <v>482</v>
      </c>
      <c r="L782" t="s">
        <v>483</v>
      </c>
      <c r="M782" t="s">
        <v>15</v>
      </c>
      <c r="N782" t="str">
        <f t="shared" si="133"/>
        <v>https://api.bcb.gov.br/dados/serie/bcdata.sgs.21108/dados?formato=json</v>
      </c>
      <c r="O782">
        <v>6</v>
      </c>
      <c r="P782" t="s">
        <v>19</v>
      </c>
      <c r="Q782" t="s">
        <v>19</v>
      </c>
      <c r="R782" t="s">
        <v>895</v>
      </c>
      <c r="S782" t="s">
        <v>622</v>
      </c>
      <c r="T782" t="e">
        <f t="shared" si="136"/>
        <v>#VALUE!</v>
      </c>
      <c r="U782">
        <f t="shared" si="135"/>
        <v>20</v>
      </c>
    </row>
    <row r="783" spans="1:21" x14ac:dyDescent="0.25">
      <c r="A783" s="1"/>
      <c r="B783" s="1">
        <v>21109</v>
      </c>
      <c r="C783" s="2" t="s">
        <v>146</v>
      </c>
      <c r="D783" s="1" t="s">
        <v>835</v>
      </c>
      <c r="E783" s="3" t="s">
        <v>0</v>
      </c>
      <c r="F783" s="4">
        <v>40603</v>
      </c>
      <c r="G783" s="5">
        <v>45597</v>
      </c>
      <c r="H783" s="6" t="s">
        <v>1</v>
      </c>
      <c r="I783" s="1" t="s">
        <v>2</v>
      </c>
      <c r="J783" s="7"/>
      <c r="K783" s="15" t="s">
        <v>482</v>
      </c>
      <c r="L783" t="s">
        <v>483</v>
      </c>
      <c r="M783" t="s">
        <v>15</v>
      </c>
      <c r="N783" t="str">
        <f t="shared" si="133"/>
        <v>https://api.bcb.gov.br/dados/serie/bcdata.sgs.21109/dados?formato=json</v>
      </c>
      <c r="O783">
        <v>6</v>
      </c>
      <c r="P783" t="s">
        <v>19</v>
      </c>
      <c r="Q783" t="s">
        <v>19</v>
      </c>
      <c r="R783" t="s">
        <v>896</v>
      </c>
      <c r="S783" t="s">
        <v>622</v>
      </c>
      <c r="T783" t="e">
        <f t="shared" si="136"/>
        <v>#VALUE!</v>
      </c>
      <c r="U783">
        <f t="shared" si="135"/>
        <v>20</v>
      </c>
    </row>
    <row r="784" spans="1:21" x14ac:dyDescent="0.25">
      <c r="A784" s="8"/>
      <c r="B784" s="8">
        <v>21110</v>
      </c>
      <c r="C784" s="9" t="s">
        <v>147</v>
      </c>
      <c r="D784" s="8" t="s">
        <v>835</v>
      </c>
      <c r="E784" s="10" t="s">
        <v>0</v>
      </c>
      <c r="F784" s="11">
        <v>40603</v>
      </c>
      <c r="G784" s="12">
        <v>45597</v>
      </c>
      <c r="H784" s="13" t="s">
        <v>1</v>
      </c>
      <c r="I784" s="8" t="s">
        <v>2</v>
      </c>
      <c r="J784" s="14"/>
      <c r="K784" s="15" t="s">
        <v>482</v>
      </c>
      <c r="L784" t="s">
        <v>483</v>
      </c>
      <c r="M784" t="s">
        <v>15</v>
      </c>
      <c r="N784" t="str">
        <f t="shared" si="133"/>
        <v>https://api.bcb.gov.br/dados/serie/bcdata.sgs.21110/dados?formato=json</v>
      </c>
      <c r="O784">
        <v>6</v>
      </c>
      <c r="P784" t="s">
        <v>19</v>
      </c>
      <c r="Q784" t="s">
        <v>19</v>
      </c>
      <c r="R784" t="s">
        <v>897</v>
      </c>
      <c r="S784" t="s">
        <v>622</v>
      </c>
      <c r="T784" t="e">
        <f t="shared" si="136"/>
        <v>#VALUE!</v>
      </c>
      <c r="U784">
        <f t="shared" si="135"/>
        <v>20</v>
      </c>
    </row>
    <row r="785" spans="1:21" x14ac:dyDescent="0.25">
      <c r="A785" s="1"/>
      <c r="B785" s="1">
        <v>21111</v>
      </c>
      <c r="C785" s="2" t="s">
        <v>148</v>
      </c>
      <c r="D785" s="1" t="s">
        <v>835</v>
      </c>
      <c r="E785" s="3" t="s">
        <v>0</v>
      </c>
      <c r="F785" s="4">
        <v>40603</v>
      </c>
      <c r="G785" s="5">
        <v>45597</v>
      </c>
      <c r="H785" s="6" t="s">
        <v>1</v>
      </c>
      <c r="I785" s="1" t="s">
        <v>2</v>
      </c>
      <c r="J785" s="7"/>
      <c r="K785" s="15" t="s">
        <v>482</v>
      </c>
      <c r="L785" t="s">
        <v>483</v>
      </c>
      <c r="M785" t="s">
        <v>15</v>
      </c>
      <c r="N785" t="str">
        <f t="shared" si="133"/>
        <v>https://api.bcb.gov.br/dados/serie/bcdata.sgs.21111/dados?formato=json</v>
      </c>
      <c r="O785">
        <v>6</v>
      </c>
      <c r="P785" t="s">
        <v>19</v>
      </c>
      <c r="Q785" t="s">
        <v>19</v>
      </c>
      <c r="R785" t="s">
        <v>898</v>
      </c>
      <c r="S785" t="s">
        <v>622</v>
      </c>
      <c r="T785" t="e">
        <f t="shared" si="136"/>
        <v>#VALUE!</v>
      </c>
      <c r="U785">
        <f t="shared" si="135"/>
        <v>20</v>
      </c>
    </row>
    <row r="786" spans="1:21" x14ac:dyDescent="0.25">
      <c r="A786" s="8"/>
      <c r="B786" s="8">
        <v>21112</v>
      </c>
      <c r="C786" s="9" t="s">
        <v>120</v>
      </c>
      <c r="D786" s="8" t="s">
        <v>835</v>
      </c>
      <c r="E786" s="10" t="s">
        <v>0</v>
      </c>
      <c r="F786" s="11">
        <v>40603</v>
      </c>
      <c r="G786" s="12">
        <v>45597</v>
      </c>
      <c r="H786" s="13" t="s">
        <v>1</v>
      </c>
      <c r="I786" s="8" t="s">
        <v>2</v>
      </c>
      <c r="J786" s="14"/>
      <c r="K786" s="15" t="s">
        <v>482</v>
      </c>
      <c r="L786" t="s">
        <v>483</v>
      </c>
      <c r="M786" t="s">
        <v>15</v>
      </c>
      <c r="N786" t="str">
        <f t="shared" si="133"/>
        <v>https://api.bcb.gov.br/dados/serie/bcdata.sgs.21112/dados?formato=json</v>
      </c>
      <c r="O786">
        <v>6</v>
      </c>
      <c r="P786" t="s">
        <v>19</v>
      </c>
      <c r="Q786" t="s">
        <v>19</v>
      </c>
      <c r="R786" t="s">
        <v>118</v>
      </c>
      <c r="S786" t="s">
        <v>621</v>
      </c>
      <c r="T786" t="e">
        <f t="shared" si="136"/>
        <v>#VALUE!</v>
      </c>
      <c r="U786">
        <f t="shared" ref="U786:U805" si="137">LEN("Pessoas físicas - ")</f>
        <v>18</v>
      </c>
    </row>
    <row r="787" spans="1:21" x14ac:dyDescent="0.25">
      <c r="A787" s="1"/>
      <c r="B787" s="1">
        <v>21113</v>
      </c>
      <c r="C787" s="2" t="s">
        <v>151</v>
      </c>
      <c r="D787" s="1" t="s">
        <v>835</v>
      </c>
      <c r="E787" s="3" t="s">
        <v>0</v>
      </c>
      <c r="F787" s="4">
        <v>40603</v>
      </c>
      <c r="G787" s="5">
        <v>45597</v>
      </c>
      <c r="H787" s="6" t="s">
        <v>1</v>
      </c>
      <c r="I787" s="1" t="s">
        <v>2</v>
      </c>
      <c r="J787" s="7"/>
      <c r="K787" s="15" t="s">
        <v>482</v>
      </c>
      <c r="L787" t="s">
        <v>483</v>
      </c>
      <c r="M787" t="s">
        <v>15</v>
      </c>
      <c r="N787" t="str">
        <f t="shared" si="133"/>
        <v>https://api.bcb.gov.br/dados/serie/bcdata.sgs.21113/dados?formato=json</v>
      </c>
      <c r="O787">
        <v>6</v>
      </c>
      <c r="P787" t="s">
        <v>19</v>
      </c>
      <c r="Q787" t="s">
        <v>19</v>
      </c>
      <c r="R787" t="s">
        <v>881</v>
      </c>
      <c r="S787" t="s">
        <v>621</v>
      </c>
      <c r="T787" t="e">
        <f t="shared" ref="T787:T805" si="138">RIGHT(S787,LEN(S787)-U787)</f>
        <v>#VALUE!</v>
      </c>
      <c r="U787">
        <f t="shared" si="137"/>
        <v>18</v>
      </c>
    </row>
    <row r="788" spans="1:21" x14ac:dyDescent="0.25">
      <c r="A788" s="8"/>
      <c r="B788" s="8">
        <v>21114</v>
      </c>
      <c r="C788" s="9" t="s">
        <v>152</v>
      </c>
      <c r="D788" s="8" t="s">
        <v>835</v>
      </c>
      <c r="E788" s="10" t="s">
        <v>0</v>
      </c>
      <c r="F788" s="11">
        <v>40603</v>
      </c>
      <c r="G788" s="12">
        <v>45597</v>
      </c>
      <c r="H788" s="13" t="s">
        <v>1</v>
      </c>
      <c r="I788" s="8" t="s">
        <v>2</v>
      </c>
      <c r="J788" s="14"/>
      <c r="K788" s="15" t="s">
        <v>482</v>
      </c>
      <c r="L788" t="s">
        <v>483</v>
      </c>
      <c r="M788" t="s">
        <v>15</v>
      </c>
      <c r="N788" t="str">
        <f t="shared" si="133"/>
        <v>https://api.bcb.gov.br/dados/serie/bcdata.sgs.21114/dados?formato=json</v>
      </c>
      <c r="O788">
        <v>6</v>
      </c>
      <c r="P788" t="s">
        <v>19</v>
      </c>
      <c r="Q788" t="s">
        <v>19</v>
      </c>
      <c r="R788" t="s">
        <v>899</v>
      </c>
      <c r="S788" t="s">
        <v>621</v>
      </c>
      <c r="T788" t="e">
        <f t="shared" si="138"/>
        <v>#VALUE!</v>
      </c>
      <c r="U788">
        <f t="shared" si="137"/>
        <v>18</v>
      </c>
    </row>
    <row r="789" spans="1:21" x14ac:dyDescent="0.25">
      <c r="A789" s="1"/>
      <c r="B789" s="1">
        <v>21115</v>
      </c>
      <c r="C789" s="2" t="s">
        <v>153</v>
      </c>
      <c r="D789" s="1" t="s">
        <v>835</v>
      </c>
      <c r="E789" s="3" t="s">
        <v>0</v>
      </c>
      <c r="F789" s="4">
        <v>40603</v>
      </c>
      <c r="G789" s="5">
        <v>45597</v>
      </c>
      <c r="H789" s="6" t="s">
        <v>1</v>
      </c>
      <c r="I789" s="1" t="s">
        <v>2</v>
      </c>
      <c r="J789" s="7"/>
      <c r="K789" s="15" t="s">
        <v>482</v>
      </c>
      <c r="L789" t="s">
        <v>483</v>
      </c>
      <c r="M789" t="s">
        <v>15</v>
      </c>
      <c r="N789" t="str">
        <f t="shared" si="133"/>
        <v>https://api.bcb.gov.br/dados/serie/bcdata.sgs.21115/dados?formato=json</v>
      </c>
      <c r="O789">
        <v>6</v>
      </c>
      <c r="P789" t="s">
        <v>19</v>
      </c>
      <c r="Q789" t="s">
        <v>19</v>
      </c>
      <c r="R789" t="s">
        <v>900</v>
      </c>
      <c r="S789" t="s">
        <v>621</v>
      </c>
      <c r="T789" t="e">
        <f t="shared" si="138"/>
        <v>#VALUE!</v>
      </c>
      <c r="U789">
        <f t="shared" si="137"/>
        <v>18</v>
      </c>
    </row>
    <row r="790" spans="1:21" x14ac:dyDescent="0.25">
      <c r="A790" s="8"/>
      <c r="B790" s="8">
        <v>21116</v>
      </c>
      <c r="C790" s="9" t="s">
        <v>154</v>
      </c>
      <c r="D790" s="8" t="s">
        <v>835</v>
      </c>
      <c r="E790" s="10" t="s">
        <v>0</v>
      </c>
      <c r="F790" s="11">
        <v>40603</v>
      </c>
      <c r="G790" s="12">
        <v>45597</v>
      </c>
      <c r="H790" s="13" t="s">
        <v>1</v>
      </c>
      <c r="I790" s="8" t="s">
        <v>2</v>
      </c>
      <c r="J790" s="14"/>
      <c r="K790" s="15" t="s">
        <v>482</v>
      </c>
      <c r="L790" t="s">
        <v>483</v>
      </c>
      <c r="M790" t="s">
        <v>15</v>
      </c>
      <c r="N790" t="str">
        <f t="shared" si="133"/>
        <v>https://api.bcb.gov.br/dados/serie/bcdata.sgs.21116/dados?formato=json</v>
      </c>
      <c r="O790">
        <v>6</v>
      </c>
      <c r="P790" t="s">
        <v>19</v>
      </c>
      <c r="Q790" t="s">
        <v>19</v>
      </c>
      <c r="R790" t="s">
        <v>901</v>
      </c>
      <c r="S790" t="s">
        <v>621</v>
      </c>
      <c r="T790" t="e">
        <f t="shared" si="138"/>
        <v>#VALUE!</v>
      </c>
      <c r="U790">
        <f t="shared" si="137"/>
        <v>18</v>
      </c>
    </row>
    <row r="791" spans="1:21" x14ac:dyDescent="0.25">
      <c r="A791" s="1"/>
      <c r="B791" s="1">
        <v>21117</v>
      </c>
      <c r="C791" s="2" t="s">
        <v>155</v>
      </c>
      <c r="D791" s="1" t="s">
        <v>835</v>
      </c>
      <c r="E791" s="3" t="s">
        <v>0</v>
      </c>
      <c r="F791" s="4">
        <v>40603</v>
      </c>
      <c r="G791" s="5">
        <v>45597</v>
      </c>
      <c r="H791" s="6" t="s">
        <v>1</v>
      </c>
      <c r="I791" s="1" t="s">
        <v>2</v>
      </c>
      <c r="J791" s="7"/>
      <c r="K791" s="15" t="s">
        <v>482</v>
      </c>
      <c r="L791" t="s">
        <v>483</v>
      </c>
      <c r="M791" t="s">
        <v>15</v>
      </c>
      <c r="N791" t="str">
        <f t="shared" si="133"/>
        <v>https://api.bcb.gov.br/dados/serie/bcdata.sgs.21117/dados?formato=json</v>
      </c>
      <c r="O791">
        <v>6</v>
      </c>
      <c r="P791" t="s">
        <v>19</v>
      </c>
      <c r="Q791" t="s">
        <v>19</v>
      </c>
      <c r="R791" t="s">
        <v>902</v>
      </c>
      <c r="S791" t="s">
        <v>621</v>
      </c>
      <c r="T791" t="e">
        <f t="shared" si="138"/>
        <v>#VALUE!</v>
      </c>
      <c r="U791">
        <f t="shared" si="137"/>
        <v>18</v>
      </c>
    </row>
    <row r="792" spans="1:21" x14ac:dyDescent="0.25">
      <c r="A792" s="8"/>
      <c r="B792" s="8">
        <v>21118</v>
      </c>
      <c r="C792" s="9" t="s">
        <v>156</v>
      </c>
      <c r="D792" s="8" t="s">
        <v>835</v>
      </c>
      <c r="E792" s="10" t="s">
        <v>0</v>
      </c>
      <c r="F792" s="11">
        <v>40603</v>
      </c>
      <c r="G792" s="12">
        <v>45597</v>
      </c>
      <c r="H792" s="13" t="s">
        <v>1</v>
      </c>
      <c r="I792" s="8" t="s">
        <v>2</v>
      </c>
      <c r="J792" s="14"/>
      <c r="K792" s="15" t="s">
        <v>482</v>
      </c>
      <c r="L792" t="s">
        <v>483</v>
      </c>
      <c r="M792" t="s">
        <v>15</v>
      </c>
      <c r="N792" t="str">
        <f t="shared" si="133"/>
        <v>https://api.bcb.gov.br/dados/serie/bcdata.sgs.21118/dados?formato=json</v>
      </c>
      <c r="O792">
        <v>6</v>
      </c>
      <c r="P792" t="s">
        <v>19</v>
      </c>
      <c r="Q792" t="s">
        <v>19</v>
      </c>
      <c r="R792" t="s">
        <v>903</v>
      </c>
      <c r="S792" t="s">
        <v>621</v>
      </c>
      <c r="T792" t="e">
        <f t="shared" si="138"/>
        <v>#VALUE!</v>
      </c>
      <c r="U792">
        <f t="shared" si="137"/>
        <v>18</v>
      </c>
    </row>
    <row r="793" spans="1:21" x14ac:dyDescent="0.25">
      <c r="A793" s="1"/>
      <c r="B793" s="1">
        <v>21119</v>
      </c>
      <c r="C793" s="2" t="s">
        <v>157</v>
      </c>
      <c r="D793" s="1" t="s">
        <v>835</v>
      </c>
      <c r="E793" s="3" t="s">
        <v>0</v>
      </c>
      <c r="F793" s="4">
        <v>40603</v>
      </c>
      <c r="G793" s="5">
        <v>45597</v>
      </c>
      <c r="H793" s="6" t="s">
        <v>1</v>
      </c>
      <c r="I793" s="1" t="s">
        <v>2</v>
      </c>
      <c r="J793" s="7"/>
      <c r="K793" s="15" t="s">
        <v>482</v>
      </c>
      <c r="L793" t="s">
        <v>483</v>
      </c>
      <c r="M793" t="s">
        <v>15</v>
      </c>
      <c r="N793" t="str">
        <f t="shared" si="133"/>
        <v>https://api.bcb.gov.br/dados/serie/bcdata.sgs.21119/dados?formato=json</v>
      </c>
      <c r="O793">
        <v>6</v>
      </c>
      <c r="P793" t="s">
        <v>19</v>
      </c>
      <c r="Q793" t="s">
        <v>19</v>
      </c>
      <c r="R793" t="s">
        <v>904</v>
      </c>
      <c r="S793" t="s">
        <v>621</v>
      </c>
      <c r="T793" t="e">
        <f t="shared" si="138"/>
        <v>#VALUE!</v>
      </c>
      <c r="U793">
        <f t="shared" si="137"/>
        <v>18</v>
      </c>
    </row>
    <row r="794" spans="1:21" x14ac:dyDescent="0.25">
      <c r="A794" s="8"/>
      <c r="B794" s="8">
        <v>21120</v>
      </c>
      <c r="C794" s="9" t="s">
        <v>158</v>
      </c>
      <c r="D794" s="8" t="s">
        <v>835</v>
      </c>
      <c r="E794" s="10" t="s">
        <v>0</v>
      </c>
      <c r="F794" s="11">
        <v>40603</v>
      </c>
      <c r="G794" s="12">
        <v>45597</v>
      </c>
      <c r="H794" s="13" t="s">
        <v>1</v>
      </c>
      <c r="I794" s="8" t="s">
        <v>2</v>
      </c>
      <c r="J794" s="14"/>
      <c r="K794" s="15" t="s">
        <v>482</v>
      </c>
      <c r="L794" t="s">
        <v>483</v>
      </c>
      <c r="M794" t="s">
        <v>15</v>
      </c>
      <c r="N794" t="str">
        <f t="shared" si="133"/>
        <v>https://api.bcb.gov.br/dados/serie/bcdata.sgs.21120/dados?formato=json</v>
      </c>
      <c r="O794">
        <v>6</v>
      </c>
      <c r="P794" t="s">
        <v>19</v>
      </c>
      <c r="Q794" t="s">
        <v>19</v>
      </c>
      <c r="R794" t="s">
        <v>905</v>
      </c>
      <c r="S794" t="s">
        <v>621</v>
      </c>
      <c r="T794" t="e">
        <f t="shared" si="138"/>
        <v>#VALUE!</v>
      </c>
      <c r="U794">
        <f t="shared" si="137"/>
        <v>18</v>
      </c>
    </row>
    <row r="795" spans="1:21" x14ac:dyDescent="0.25">
      <c r="A795" s="1"/>
      <c r="B795" s="1">
        <v>21121</v>
      </c>
      <c r="C795" s="2" t="s">
        <v>159</v>
      </c>
      <c r="D795" s="1" t="s">
        <v>835</v>
      </c>
      <c r="E795" s="3" t="s">
        <v>0</v>
      </c>
      <c r="F795" s="4">
        <v>40603</v>
      </c>
      <c r="G795" s="5">
        <v>45597</v>
      </c>
      <c r="H795" s="6" t="s">
        <v>1</v>
      </c>
      <c r="I795" s="1" t="s">
        <v>2</v>
      </c>
      <c r="J795" s="7"/>
      <c r="K795" s="15" t="s">
        <v>482</v>
      </c>
      <c r="L795" t="s">
        <v>483</v>
      </c>
      <c r="M795" t="s">
        <v>15</v>
      </c>
      <c r="N795" t="str">
        <f t="shared" si="133"/>
        <v>https://api.bcb.gov.br/dados/serie/bcdata.sgs.21121/dados?formato=json</v>
      </c>
      <c r="O795">
        <v>6</v>
      </c>
      <c r="P795" t="s">
        <v>19</v>
      </c>
      <c r="Q795" t="s">
        <v>19</v>
      </c>
      <c r="R795" t="s">
        <v>882</v>
      </c>
      <c r="S795" t="s">
        <v>621</v>
      </c>
      <c r="T795" t="e">
        <f t="shared" si="138"/>
        <v>#VALUE!</v>
      </c>
      <c r="U795">
        <f t="shared" si="137"/>
        <v>18</v>
      </c>
    </row>
    <row r="796" spans="1:21" x14ac:dyDescent="0.25">
      <c r="A796" s="8"/>
      <c r="B796" s="8">
        <v>21122</v>
      </c>
      <c r="C796" s="9" t="s">
        <v>160</v>
      </c>
      <c r="D796" s="8" t="s">
        <v>835</v>
      </c>
      <c r="E796" s="10" t="s">
        <v>0</v>
      </c>
      <c r="F796" s="11">
        <v>40603</v>
      </c>
      <c r="G796" s="12">
        <v>45597</v>
      </c>
      <c r="H796" s="13" t="s">
        <v>1</v>
      </c>
      <c r="I796" s="8" t="s">
        <v>2</v>
      </c>
      <c r="J796" s="14"/>
      <c r="K796" s="15" t="s">
        <v>482</v>
      </c>
      <c r="L796" t="s">
        <v>483</v>
      </c>
      <c r="M796" t="s">
        <v>15</v>
      </c>
      <c r="N796" t="str">
        <f t="shared" si="133"/>
        <v>https://api.bcb.gov.br/dados/serie/bcdata.sgs.21122/dados?formato=json</v>
      </c>
      <c r="O796">
        <v>6</v>
      </c>
      <c r="P796" t="s">
        <v>19</v>
      </c>
      <c r="Q796" t="s">
        <v>19</v>
      </c>
      <c r="R796" t="s">
        <v>883</v>
      </c>
      <c r="S796" t="s">
        <v>621</v>
      </c>
      <c r="T796" t="e">
        <f t="shared" si="138"/>
        <v>#VALUE!</v>
      </c>
      <c r="U796">
        <f t="shared" si="137"/>
        <v>18</v>
      </c>
    </row>
    <row r="797" spans="1:21" x14ac:dyDescent="0.25">
      <c r="A797" s="1"/>
      <c r="B797" s="1">
        <v>21123</v>
      </c>
      <c r="C797" s="2" t="s">
        <v>161</v>
      </c>
      <c r="D797" s="1" t="s">
        <v>835</v>
      </c>
      <c r="E797" s="3" t="s">
        <v>0</v>
      </c>
      <c r="F797" s="4">
        <v>40603</v>
      </c>
      <c r="G797" s="5">
        <v>45597</v>
      </c>
      <c r="H797" s="6" t="s">
        <v>1</v>
      </c>
      <c r="I797" s="1" t="s">
        <v>2</v>
      </c>
      <c r="J797" s="7"/>
      <c r="K797" s="15" t="s">
        <v>482</v>
      </c>
      <c r="L797" t="s">
        <v>483</v>
      </c>
      <c r="M797" t="s">
        <v>15</v>
      </c>
      <c r="N797" t="str">
        <f t="shared" si="133"/>
        <v>https://api.bcb.gov.br/dados/serie/bcdata.sgs.21123/dados?formato=json</v>
      </c>
      <c r="O797">
        <v>6</v>
      </c>
      <c r="P797" t="s">
        <v>19</v>
      </c>
      <c r="Q797" t="s">
        <v>19</v>
      </c>
      <c r="R797" t="s">
        <v>884</v>
      </c>
      <c r="S797" t="s">
        <v>621</v>
      </c>
      <c r="T797" t="e">
        <f t="shared" si="138"/>
        <v>#VALUE!</v>
      </c>
      <c r="U797">
        <f t="shared" si="137"/>
        <v>18</v>
      </c>
    </row>
    <row r="798" spans="1:21" x14ac:dyDescent="0.25">
      <c r="A798" s="8"/>
      <c r="B798" s="8">
        <v>21124</v>
      </c>
      <c r="C798" s="9" t="s">
        <v>162</v>
      </c>
      <c r="D798" s="8" t="s">
        <v>835</v>
      </c>
      <c r="E798" s="10" t="s">
        <v>0</v>
      </c>
      <c r="F798" s="11">
        <v>40603</v>
      </c>
      <c r="G798" s="12">
        <v>45597</v>
      </c>
      <c r="H798" s="13" t="s">
        <v>1</v>
      </c>
      <c r="I798" s="8" t="s">
        <v>2</v>
      </c>
      <c r="J798" s="14"/>
      <c r="K798" s="15" t="s">
        <v>482</v>
      </c>
      <c r="L798" t="s">
        <v>483</v>
      </c>
      <c r="M798" t="s">
        <v>15</v>
      </c>
      <c r="N798" t="str">
        <f t="shared" si="133"/>
        <v>https://api.bcb.gov.br/dados/serie/bcdata.sgs.21124/dados?formato=json</v>
      </c>
      <c r="O798">
        <v>6</v>
      </c>
      <c r="P798" t="s">
        <v>19</v>
      </c>
      <c r="Q798" t="s">
        <v>19</v>
      </c>
      <c r="R798" t="s">
        <v>885</v>
      </c>
      <c r="S798" t="s">
        <v>621</v>
      </c>
      <c r="T798" t="e">
        <f t="shared" si="138"/>
        <v>#VALUE!</v>
      </c>
      <c r="U798">
        <f t="shared" si="137"/>
        <v>18</v>
      </c>
    </row>
    <row r="799" spans="1:21" x14ac:dyDescent="0.25">
      <c r="A799" s="1"/>
      <c r="B799" s="1">
        <v>21125</v>
      </c>
      <c r="C799" s="2" t="s">
        <v>163</v>
      </c>
      <c r="D799" s="1" t="s">
        <v>835</v>
      </c>
      <c r="E799" s="3" t="s">
        <v>0</v>
      </c>
      <c r="F799" s="4">
        <v>40603</v>
      </c>
      <c r="G799" s="5">
        <v>45597</v>
      </c>
      <c r="H799" s="6" t="s">
        <v>1</v>
      </c>
      <c r="I799" s="1" t="s">
        <v>2</v>
      </c>
      <c r="J799" s="7"/>
      <c r="K799" s="15" t="s">
        <v>482</v>
      </c>
      <c r="L799" t="s">
        <v>483</v>
      </c>
      <c r="M799" t="s">
        <v>15</v>
      </c>
      <c r="N799" t="str">
        <f t="shared" si="133"/>
        <v>https://api.bcb.gov.br/dados/serie/bcdata.sgs.21125/dados?formato=json</v>
      </c>
      <c r="O799">
        <v>6</v>
      </c>
      <c r="P799" t="s">
        <v>19</v>
      </c>
      <c r="Q799" t="s">
        <v>19</v>
      </c>
      <c r="R799" t="s">
        <v>886</v>
      </c>
      <c r="S799" t="s">
        <v>621</v>
      </c>
      <c r="T799" t="e">
        <f t="shared" si="138"/>
        <v>#VALUE!</v>
      </c>
      <c r="U799">
        <f t="shared" si="137"/>
        <v>18</v>
      </c>
    </row>
    <row r="800" spans="1:21" x14ac:dyDescent="0.25">
      <c r="A800" s="8"/>
      <c r="B800" s="8">
        <v>21126</v>
      </c>
      <c r="C800" s="9" t="s">
        <v>164</v>
      </c>
      <c r="D800" s="8" t="s">
        <v>835</v>
      </c>
      <c r="E800" s="10" t="s">
        <v>0</v>
      </c>
      <c r="F800" s="11">
        <v>40603</v>
      </c>
      <c r="G800" s="12">
        <v>45597</v>
      </c>
      <c r="H800" s="13" t="s">
        <v>1</v>
      </c>
      <c r="I800" s="8" t="s">
        <v>2</v>
      </c>
      <c r="J800" s="14"/>
      <c r="K800" s="15" t="s">
        <v>482</v>
      </c>
      <c r="L800" t="s">
        <v>483</v>
      </c>
      <c r="M800" t="s">
        <v>15</v>
      </c>
      <c r="N800" t="str">
        <f t="shared" si="133"/>
        <v>https://api.bcb.gov.br/dados/serie/bcdata.sgs.21126/dados?formato=json</v>
      </c>
      <c r="O800">
        <v>6</v>
      </c>
      <c r="P800" t="s">
        <v>19</v>
      </c>
      <c r="Q800" t="s">
        <v>19</v>
      </c>
      <c r="R800" t="s">
        <v>887</v>
      </c>
      <c r="S800" t="s">
        <v>621</v>
      </c>
      <c r="T800" t="e">
        <f t="shared" si="138"/>
        <v>#VALUE!</v>
      </c>
      <c r="U800">
        <f t="shared" si="137"/>
        <v>18</v>
      </c>
    </row>
    <row r="801" spans="1:21" x14ac:dyDescent="0.25">
      <c r="A801" s="1"/>
      <c r="B801" s="1">
        <v>21127</v>
      </c>
      <c r="C801" s="2" t="s">
        <v>165</v>
      </c>
      <c r="D801" s="1" t="s">
        <v>835</v>
      </c>
      <c r="E801" s="3" t="s">
        <v>0</v>
      </c>
      <c r="F801" s="4">
        <v>40603</v>
      </c>
      <c r="G801" s="5">
        <v>45597</v>
      </c>
      <c r="H801" s="6" t="s">
        <v>1</v>
      </c>
      <c r="I801" s="1" t="s">
        <v>2</v>
      </c>
      <c r="J801" s="7"/>
      <c r="K801" s="15" t="s">
        <v>482</v>
      </c>
      <c r="L801" t="s">
        <v>483</v>
      </c>
      <c r="M801" t="s">
        <v>15</v>
      </c>
      <c r="N801" t="str">
        <f t="shared" si="133"/>
        <v>https://api.bcb.gov.br/dados/serie/bcdata.sgs.21127/dados?formato=json</v>
      </c>
      <c r="O801">
        <v>6</v>
      </c>
      <c r="P801" t="s">
        <v>19</v>
      </c>
      <c r="Q801" t="s">
        <v>19</v>
      </c>
      <c r="R801" t="s">
        <v>890</v>
      </c>
      <c r="S801" t="s">
        <v>621</v>
      </c>
      <c r="T801" t="e">
        <f t="shared" si="138"/>
        <v>#VALUE!</v>
      </c>
      <c r="U801">
        <f t="shared" si="137"/>
        <v>18</v>
      </c>
    </row>
    <row r="802" spans="1:21" x14ac:dyDescent="0.25">
      <c r="A802" s="8"/>
      <c r="B802" s="8">
        <v>21128</v>
      </c>
      <c r="C802" s="9" t="s">
        <v>166</v>
      </c>
      <c r="D802" s="8" t="s">
        <v>835</v>
      </c>
      <c r="E802" s="10" t="s">
        <v>0</v>
      </c>
      <c r="F802" s="11">
        <v>40603</v>
      </c>
      <c r="G802" s="12">
        <v>45597</v>
      </c>
      <c r="H802" s="13" t="s">
        <v>1</v>
      </c>
      <c r="I802" s="8" t="s">
        <v>2</v>
      </c>
      <c r="J802" s="14"/>
      <c r="K802" s="15" t="s">
        <v>482</v>
      </c>
      <c r="L802" t="s">
        <v>483</v>
      </c>
      <c r="M802" t="s">
        <v>15</v>
      </c>
      <c r="N802" t="str">
        <f t="shared" si="133"/>
        <v>https://api.bcb.gov.br/dados/serie/bcdata.sgs.21128/dados?formato=json</v>
      </c>
      <c r="O802">
        <v>6</v>
      </c>
      <c r="P802" t="s">
        <v>19</v>
      </c>
      <c r="Q802" t="s">
        <v>19</v>
      </c>
      <c r="R802" t="s">
        <v>891</v>
      </c>
      <c r="S802" t="s">
        <v>621</v>
      </c>
      <c r="T802" t="e">
        <f t="shared" si="138"/>
        <v>#VALUE!</v>
      </c>
      <c r="U802">
        <f t="shared" si="137"/>
        <v>18</v>
      </c>
    </row>
    <row r="803" spans="1:21" x14ac:dyDescent="0.25">
      <c r="A803" s="1"/>
      <c r="B803" s="1">
        <v>21129</v>
      </c>
      <c r="C803" s="2" t="s">
        <v>168</v>
      </c>
      <c r="D803" s="1" t="s">
        <v>835</v>
      </c>
      <c r="E803" s="3" t="s">
        <v>0</v>
      </c>
      <c r="F803" s="4">
        <v>40603</v>
      </c>
      <c r="G803" s="5">
        <v>45597</v>
      </c>
      <c r="H803" s="6" t="s">
        <v>1</v>
      </c>
      <c r="I803" s="1" t="s">
        <v>2</v>
      </c>
      <c r="J803" s="7"/>
      <c r="K803" s="15" t="s">
        <v>482</v>
      </c>
      <c r="L803" t="s">
        <v>483</v>
      </c>
      <c r="M803" t="s">
        <v>15</v>
      </c>
      <c r="N803" t="str">
        <f t="shared" si="133"/>
        <v>https://api.bcb.gov.br/dados/serie/bcdata.sgs.21129/dados?formato=json</v>
      </c>
      <c r="O803">
        <v>6</v>
      </c>
      <c r="P803" t="s">
        <v>19</v>
      </c>
      <c r="Q803" t="s">
        <v>19</v>
      </c>
      <c r="R803" t="s">
        <v>893</v>
      </c>
      <c r="S803" t="s">
        <v>621</v>
      </c>
      <c r="T803" t="e">
        <f t="shared" si="138"/>
        <v>#VALUE!</v>
      </c>
      <c r="U803">
        <f t="shared" si="137"/>
        <v>18</v>
      </c>
    </row>
    <row r="804" spans="1:21" x14ac:dyDescent="0.25">
      <c r="A804" s="8"/>
      <c r="B804" s="8">
        <v>21130</v>
      </c>
      <c r="C804" s="9" t="s">
        <v>169</v>
      </c>
      <c r="D804" s="8" t="s">
        <v>835</v>
      </c>
      <c r="E804" s="10" t="s">
        <v>0</v>
      </c>
      <c r="F804" s="11">
        <v>40603</v>
      </c>
      <c r="G804" s="12">
        <v>45597</v>
      </c>
      <c r="H804" s="13" t="s">
        <v>1</v>
      </c>
      <c r="I804" s="8" t="s">
        <v>2</v>
      </c>
      <c r="J804" s="14"/>
      <c r="K804" s="15" t="s">
        <v>482</v>
      </c>
      <c r="L804" t="s">
        <v>483</v>
      </c>
      <c r="M804" t="s">
        <v>15</v>
      </c>
      <c r="N804" t="str">
        <f t="shared" si="133"/>
        <v>https://api.bcb.gov.br/dados/serie/bcdata.sgs.21130/dados?formato=json</v>
      </c>
      <c r="O804">
        <v>6</v>
      </c>
      <c r="P804" t="s">
        <v>19</v>
      </c>
      <c r="Q804" t="s">
        <v>19</v>
      </c>
      <c r="R804" t="s">
        <v>874</v>
      </c>
      <c r="S804" t="s">
        <v>621</v>
      </c>
      <c r="T804" t="e">
        <f t="shared" si="138"/>
        <v>#VALUE!</v>
      </c>
      <c r="U804">
        <f t="shared" si="137"/>
        <v>18</v>
      </c>
    </row>
    <row r="805" spans="1:21" x14ac:dyDescent="0.25">
      <c r="A805" s="1"/>
      <c r="B805" s="1">
        <v>21131</v>
      </c>
      <c r="C805" s="2" t="s">
        <v>170</v>
      </c>
      <c r="D805" s="1" t="s">
        <v>835</v>
      </c>
      <c r="E805" s="3" t="s">
        <v>0</v>
      </c>
      <c r="F805" s="4">
        <v>40603</v>
      </c>
      <c r="G805" s="5">
        <v>45597</v>
      </c>
      <c r="H805" s="6" t="s">
        <v>1</v>
      </c>
      <c r="I805" s="1" t="s">
        <v>2</v>
      </c>
      <c r="J805" s="7"/>
      <c r="K805" s="15" t="s">
        <v>482</v>
      </c>
      <c r="L805" t="s">
        <v>483</v>
      </c>
      <c r="M805" t="s">
        <v>15</v>
      </c>
      <c r="N805" t="str">
        <f t="shared" si="133"/>
        <v>https://api.bcb.gov.br/dados/serie/bcdata.sgs.21131/dados?formato=json</v>
      </c>
      <c r="O805">
        <v>6</v>
      </c>
      <c r="P805" t="s">
        <v>19</v>
      </c>
      <c r="Q805" t="s">
        <v>19</v>
      </c>
      <c r="R805" t="s">
        <v>898</v>
      </c>
      <c r="S805" t="s">
        <v>621</v>
      </c>
      <c r="T805" t="e">
        <f t="shared" si="138"/>
        <v>#VALUE!</v>
      </c>
      <c r="U805">
        <f t="shared" si="137"/>
        <v>18</v>
      </c>
    </row>
    <row r="806" spans="1:21" x14ac:dyDescent="0.25">
      <c r="A806" s="1"/>
      <c r="B806" s="1">
        <v>21132</v>
      </c>
      <c r="C806" s="2" t="s">
        <v>118</v>
      </c>
      <c r="D806" s="1" t="s">
        <v>835</v>
      </c>
      <c r="E806" s="3" t="s">
        <v>0</v>
      </c>
      <c r="F806" s="4">
        <v>40603</v>
      </c>
      <c r="G806" s="5">
        <v>45597</v>
      </c>
      <c r="H806" s="6" t="s">
        <v>1</v>
      </c>
      <c r="I806" s="1" t="s">
        <v>2</v>
      </c>
      <c r="J806" s="7"/>
      <c r="K806" s="15" t="s">
        <v>484</v>
      </c>
      <c r="L806" t="s">
        <v>485</v>
      </c>
      <c r="M806" t="s">
        <v>15</v>
      </c>
      <c r="N806" t="str">
        <f t="shared" ref="N806:N833" si="139">_xlfn.CONCAT("https://api.bcb.gov.br/dados/serie/bcdata.sgs.",B806,"/dados?formato=json")</f>
        <v>https://api.bcb.gov.br/dados/serie/bcdata.sgs.21132/dados?formato=json</v>
      </c>
      <c r="O806">
        <v>6</v>
      </c>
      <c r="P806" t="s">
        <v>19</v>
      </c>
      <c r="Q806" t="s">
        <v>19</v>
      </c>
      <c r="R806" t="s">
        <v>118</v>
      </c>
      <c r="S806" t="s">
        <v>118</v>
      </c>
    </row>
    <row r="807" spans="1:21" x14ac:dyDescent="0.25">
      <c r="A807" s="8"/>
      <c r="B807" s="8">
        <v>21133</v>
      </c>
      <c r="C807" s="9" t="s">
        <v>119</v>
      </c>
      <c r="D807" s="8" t="s">
        <v>835</v>
      </c>
      <c r="E807" s="10" t="s">
        <v>0</v>
      </c>
      <c r="F807" s="11">
        <v>40603</v>
      </c>
      <c r="G807" s="12">
        <v>45597</v>
      </c>
      <c r="H807" s="13" t="s">
        <v>1</v>
      </c>
      <c r="I807" s="8" t="s">
        <v>2</v>
      </c>
      <c r="J807" s="14"/>
      <c r="K807" s="15" t="s">
        <v>484</v>
      </c>
      <c r="L807" t="s">
        <v>485</v>
      </c>
      <c r="M807" t="s">
        <v>15</v>
      </c>
      <c r="N807" t="str">
        <f t="shared" si="139"/>
        <v>https://api.bcb.gov.br/dados/serie/bcdata.sgs.21133/dados?formato=json</v>
      </c>
      <c r="O807">
        <v>6</v>
      </c>
      <c r="P807" t="s">
        <v>19</v>
      </c>
      <c r="Q807" t="s">
        <v>19</v>
      </c>
      <c r="R807" t="s">
        <v>118</v>
      </c>
      <c r="S807" t="s">
        <v>622</v>
      </c>
      <c r="T807" t="e">
        <f t="shared" ref="T807" si="140">RIGHT(S807,LEN(S807)-U807)</f>
        <v>#VALUE!</v>
      </c>
      <c r="U807">
        <f t="shared" ref="U807:U818" si="141">LEN("Setor de serviços - ")</f>
        <v>20</v>
      </c>
    </row>
    <row r="808" spans="1:21" x14ac:dyDescent="0.25">
      <c r="A808" s="1"/>
      <c r="B808" s="1">
        <v>21134</v>
      </c>
      <c r="C808" s="2" t="s">
        <v>171</v>
      </c>
      <c r="D808" s="1" t="s">
        <v>835</v>
      </c>
      <c r="E808" s="3" t="s">
        <v>0</v>
      </c>
      <c r="F808" s="4">
        <v>40603</v>
      </c>
      <c r="G808" s="5">
        <v>45597</v>
      </c>
      <c r="H808" s="6" t="s">
        <v>1</v>
      </c>
      <c r="I808" s="1" t="s">
        <v>2</v>
      </c>
      <c r="J808" s="7"/>
      <c r="K808" s="15" t="s">
        <v>484</v>
      </c>
      <c r="L808" t="s">
        <v>485</v>
      </c>
      <c r="M808" t="s">
        <v>15</v>
      </c>
      <c r="N808" t="str">
        <f t="shared" si="139"/>
        <v>https://api.bcb.gov.br/dados/serie/bcdata.sgs.21134/dados?formato=json</v>
      </c>
      <c r="O808">
        <v>6</v>
      </c>
      <c r="P808" t="s">
        <v>19</v>
      </c>
      <c r="Q808" t="s">
        <v>19</v>
      </c>
      <c r="R808" t="s">
        <v>906</v>
      </c>
      <c r="S808" t="s">
        <v>622</v>
      </c>
      <c r="T808" t="e">
        <f t="shared" ref="T808:T819" si="142">RIGHT(S808,LEN(S808)-U808)</f>
        <v>#VALUE!</v>
      </c>
      <c r="U808">
        <f t="shared" si="141"/>
        <v>20</v>
      </c>
    </row>
    <row r="809" spans="1:21" x14ac:dyDescent="0.25">
      <c r="A809" s="8"/>
      <c r="B809" s="8">
        <v>21135</v>
      </c>
      <c r="C809" s="9" t="s">
        <v>172</v>
      </c>
      <c r="D809" s="8" t="s">
        <v>835</v>
      </c>
      <c r="E809" s="10" t="s">
        <v>0</v>
      </c>
      <c r="F809" s="11">
        <v>40603</v>
      </c>
      <c r="G809" s="12">
        <v>45597</v>
      </c>
      <c r="H809" s="13" t="s">
        <v>1</v>
      </c>
      <c r="I809" s="8" t="s">
        <v>2</v>
      </c>
      <c r="J809" s="14"/>
      <c r="K809" s="15" t="s">
        <v>484</v>
      </c>
      <c r="L809" t="s">
        <v>485</v>
      </c>
      <c r="M809" t="s">
        <v>15</v>
      </c>
      <c r="N809" t="str">
        <f t="shared" si="139"/>
        <v>https://api.bcb.gov.br/dados/serie/bcdata.sgs.21135/dados?formato=json</v>
      </c>
      <c r="O809">
        <v>6</v>
      </c>
      <c r="P809" t="s">
        <v>19</v>
      </c>
      <c r="Q809" t="s">
        <v>19</v>
      </c>
      <c r="R809" t="s">
        <v>907</v>
      </c>
      <c r="S809" t="s">
        <v>622</v>
      </c>
      <c r="T809" t="e">
        <f t="shared" si="142"/>
        <v>#VALUE!</v>
      </c>
      <c r="U809">
        <f t="shared" si="141"/>
        <v>20</v>
      </c>
    </row>
    <row r="810" spans="1:21" x14ac:dyDescent="0.25">
      <c r="A810" s="1"/>
      <c r="B810" s="1">
        <v>21136</v>
      </c>
      <c r="C810" s="2" t="s">
        <v>173</v>
      </c>
      <c r="D810" s="1" t="s">
        <v>835</v>
      </c>
      <c r="E810" s="3" t="s">
        <v>0</v>
      </c>
      <c r="F810" s="4">
        <v>40603</v>
      </c>
      <c r="G810" s="5">
        <v>45597</v>
      </c>
      <c r="H810" s="6" t="s">
        <v>1</v>
      </c>
      <c r="I810" s="1" t="s">
        <v>2</v>
      </c>
      <c r="J810" s="7"/>
      <c r="K810" s="15" t="s">
        <v>484</v>
      </c>
      <c r="L810" t="s">
        <v>485</v>
      </c>
      <c r="M810" t="s">
        <v>15</v>
      </c>
      <c r="N810" t="str">
        <f t="shared" si="139"/>
        <v>https://api.bcb.gov.br/dados/serie/bcdata.sgs.21136/dados?formato=json</v>
      </c>
      <c r="O810">
        <v>6</v>
      </c>
      <c r="P810" t="s">
        <v>19</v>
      </c>
      <c r="Q810" t="s">
        <v>19</v>
      </c>
      <c r="R810" t="s">
        <v>908</v>
      </c>
      <c r="S810" t="s">
        <v>622</v>
      </c>
      <c r="T810" t="e">
        <f t="shared" si="142"/>
        <v>#VALUE!</v>
      </c>
      <c r="U810">
        <f t="shared" si="141"/>
        <v>20</v>
      </c>
    </row>
    <row r="811" spans="1:21" x14ac:dyDescent="0.25">
      <c r="A811" s="8"/>
      <c r="B811" s="8">
        <v>21137</v>
      </c>
      <c r="C811" s="9" t="s">
        <v>174</v>
      </c>
      <c r="D811" s="8" t="s">
        <v>835</v>
      </c>
      <c r="E811" s="10" t="s">
        <v>0</v>
      </c>
      <c r="F811" s="11">
        <v>40603</v>
      </c>
      <c r="G811" s="12">
        <v>45597</v>
      </c>
      <c r="H811" s="13" t="s">
        <v>1</v>
      </c>
      <c r="I811" s="8" t="s">
        <v>2</v>
      </c>
      <c r="J811" s="14"/>
      <c r="K811" s="15" t="s">
        <v>484</v>
      </c>
      <c r="L811" t="s">
        <v>485</v>
      </c>
      <c r="M811" t="s">
        <v>15</v>
      </c>
      <c r="N811" t="str">
        <f t="shared" si="139"/>
        <v>https://api.bcb.gov.br/dados/serie/bcdata.sgs.21137/dados?formato=json</v>
      </c>
      <c r="O811">
        <v>6</v>
      </c>
      <c r="P811" t="s">
        <v>19</v>
      </c>
      <c r="Q811" t="s">
        <v>19</v>
      </c>
      <c r="R811" t="s">
        <v>909</v>
      </c>
      <c r="S811" t="s">
        <v>622</v>
      </c>
      <c r="T811" t="e">
        <f t="shared" si="142"/>
        <v>#VALUE!</v>
      </c>
      <c r="U811">
        <f t="shared" si="141"/>
        <v>20</v>
      </c>
    </row>
    <row r="812" spans="1:21" x14ac:dyDescent="0.25">
      <c r="A812" s="1"/>
      <c r="B812" s="1">
        <v>21138</v>
      </c>
      <c r="C812" s="2" t="s">
        <v>175</v>
      </c>
      <c r="D812" s="1" t="s">
        <v>835</v>
      </c>
      <c r="E812" s="3" t="s">
        <v>0</v>
      </c>
      <c r="F812" s="4">
        <v>40603</v>
      </c>
      <c r="G812" s="5">
        <v>45597</v>
      </c>
      <c r="H812" s="6" t="s">
        <v>1</v>
      </c>
      <c r="I812" s="1" t="s">
        <v>2</v>
      </c>
      <c r="J812" s="7"/>
      <c r="K812" s="15" t="s">
        <v>484</v>
      </c>
      <c r="L812" t="s">
        <v>485</v>
      </c>
      <c r="M812" t="s">
        <v>15</v>
      </c>
      <c r="N812" t="str">
        <f t="shared" si="139"/>
        <v>https://api.bcb.gov.br/dados/serie/bcdata.sgs.21138/dados?formato=json</v>
      </c>
      <c r="O812">
        <v>6</v>
      </c>
      <c r="P812" t="s">
        <v>19</v>
      </c>
      <c r="Q812" t="s">
        <v>19</v>
      </c>
      <c r="R812" t="s">
        <v>910</v>
      </c>
      <c r="S812" t="s">
        <v>622</v>
      </c>
      <c r="T812" t="e">
        <f t="shared" si="142"/>
        <v>#VALUE!</v>
      </c>
      <c r="U812">
        <f t="shared" si="141"/>
        <v>20</v>
      </c>
    </row>
    <row r="813" spans="1:21" x14ac:dyDescent="0.25">
      <c r="A813" s="8"/>
      <c r="B813" s="8">
        <v>21139</v>
      </c>
      <c r="C813" s="9" t="s">
        <v>176</v>
      </c>
      <c r="D813" s="8" t="s">
        <v>835</v>
      </c>
      <c r="E813" s="10" t="s">
        <v>0</v>
      </c>
      <c r="F813" s="11">
        <v>40603</v>
      </c>
      <c r="G813" s="12">
        <v>45597</v>
      </c>
      <c r="H813" s="13" t="s">
        <v>1</v>
      </c>
      <c r="I813" s="8" t="s">
        <v>2</v>
      </c>
      <c r="J813" s="14"/>
      <c r="K813" s="15" t="s">
        <v>484</v>
      </c>
      <c r="L813" t="s">
        <v>485</v>
      </c>
      <c r="M813" t="s">
        <v>15</v>
      </c>
      <c r="N813" t="str">
        <f t="shared" si="139"/>
        <v>https://api.bcb.gov.br/dados/serie/bcdata.sgs.21139/dados?formato=json</v>
      </c>
      <c r="O813">
        <v>6</v>
      </c>
      <c r="P813" t="s">
        <v>19</v>
      </c>
      <c r="Q813" t="s">
        <v>19</v>
      </c>
      <c r="R813" t="s">
        <v>911</v>
      </c>
      <c r="S813" t="s">
        <v>622</v>
      </c>
      <c r="T813" t="e">
        <f t="shared" si="142"/>
        <v>#VALUE!</v>
      </c>
      <c r="U813">
        <f t="shared" si="141"/>
        <v>20</v>
      </c>
    </row>
    <row r="814" spans="1:21" x14ac:dyDescent="0.25">
      <c r="A814" s="1"/>
      <c r="B814" s="1">
        <v>21140</v>
      </c>
      <c r="C814" s="2" t="s">
        <v>177</v>
      </c>
      <c r="D814" s="1" t="s">
        <v>835</v>
      </c>
      <c r="E814" s="3" t="s">
        <v>0</v>
      </c>
      <c r="F814" s="4">
        <v>40603</v>
      </c>
      <c r="G814" s="5">
        <v>45597</v>
      </c>
      <c r="H814" s="6" t="s">
        <v>1</v>
      </c>
      <c r="I814" s="1" t="s">
        <v>2</v>
      </c>
      <c r="J814" s="7"/>
      <c r="K814" s="15" t="s">
        <v>484</v>
      </c>
      <c r="L814" t="s">
        <v>485</v>
      </c>
      <c r="M814" t="s">
        <v>15</v>
      </c>
      <c r="N814" t="str">
        <f t="shared" si="139"/>
        <v>https://api.bcb.gov.br/dados/serie/bcdata.sgs.21140/dados?formato=json</v>
      </c>
      <c r="O814">
        <v>6</v>
      </c>
      <c r="P814" t="s">
        <v>19</v>
      </c>
      <c r="Q814" t="s">
        <v>19</v>
      </c>
      <c r="R814" t="s">
        <v>912</v>
      </c>
      <c r="S814" t="s">
        <v>622</v>
      </c>
      <c r="T814" t="e">
        <f t="shared" si="142"/>
        <v>#VALUE!</v>
      </c>
      <c r="U814">
        <f t="shared" si="141"/>
        <v>20</v>
      </c>
    </row>
    <row r="815" spans="1:21" x14ac:dyDescent="0.25">
      <c r="A815" s="8"/>
      <c r="B815" s="8">
        <v>21141</v>
      </c>
      <c r="C815" s="9" t="s">
        <v>178</v>
      </c>
      <c r="D815" s="8" t="s">
        <v>835</v>
      </c>
      <c r="E815" s="10" t="s">
        <v>0</v>
      </c>
      <c r="F815" s="11">
        <v>40603</v>
      </c>
      <c r="G815" s="12">
        <v>45597</v>
      </c>
      <c r="H815" s="13" t="s">
        <v>1</v>
      </c>
      <c r="I815" s="8" t="s">
        <v>2</v>
      </c>
      <c r="J815" s="14"/>
      <c r="K815" s="15" t="s">
        <v>484</v>
      </c>
      <c r="L815" t="s">
        <v>485</v>
      </c>
      <c r="M815" t="s">
        <v>15</v>
      </c>
      <c r="N815" t="str">
        <f t="shared" si="139"/>
        <v>https://api.bcb.gov.br/dados/serie/bcdata.sgs.21141/dados?formato=json</v>
      </c>
      <c r="O815">
        <v>6</v>
      </c>
      <c r="P815" t="s">
        <v>19</v>
      </c>
      <c r="Q815" t="s">
        <v>19</v>
      </c>
      <c r="R815" t="s">
        <v>913</v>
      </c>
      <c r="S815" t="s">
        <v>622</v>
      </c>
      <c r="T815" t="e">
        <f t="shared" si="142"/>
        <v>#VALUE!</v>
      </c>
      <c r="U815">
        <f t="shared" si="141"/>
        <v>20</v>
      </c>
    </row>
    <row r="816" spans="1:21" x14ac:dyDescent="0.25">
      <c r="A816" s="1"/>
      <c r="B816" s="1">
        <v>21142</v>
      </c>
      <c r="C816" s="2" t="s">
        <v>179</v>
      </c>
      <c r="D816" s="1" t="s">
        <v>835</v>
      </c>
      <c r="E816" s="3" t="s">
        <v>0</v>
      </c>
      <c r="F816" s="4">
        <v>40603</v>
      </c>
      <c r="G816" s="5">
        <v>45597</v>
      </c>
      <c r="H816" s="6" t="s">
        <v>1</v>
      </c>
      <c r="I816" s="1" t="s">
        <v>2</v>
      </c>
      <c r="J816" s="7"/>
      <c r="K816" s="15" t="s">
        <v>484</v>
      </c>
      <c r="L816" t="s">
        <v>485</v>
      </c>
      <c r="M816" t="s">
        <v>15</v>
      </c>
      <c r="N816" t="str">
        <f t="shared" si="139"/>
        <v>https://api.bcb.gov.br/dados/serie/bcdata.sgs.21142/dados?formato=json</v>
      </c>
      <c r="O816">
        <v>6</v>
      </c>
      <c r="P816" t="s">
        <v>19</v>
      </c>
      <c r="Q816" t="s">
        <v>19</v>
      </c>
      <c r="R816" t="s">
        <v>914</v>
      </c>
      <c r="S816" t="s">
        <v>622</v>
      </c>
      <c r="T816" t="e">
        <f t="shared" si="142"/>
        <v>#VALUE!</v>
      </c>
      <c r="U816">
        <f t="shared" si="141"/>
        <v>20</v>
      </c>
    </row>
    <row r="817" spans="1:21" x14ac:dyDescent="0.25">
      <c r="A817" s="8"/>
      <c r="B817" s="8">
        <v>21143</v>
      </c>
      <c r="C817" s="9" t="s">
        <v>180</v>
      </c>
      <c r="D817" s="8" t="s">
        <v>835</v>
      </c>
      <c r="E817" s="10" t="s">
        <v>0</v>
      </c>
      <c r="F817" s="11">
        <v>40603</v>
      </c>
      <c r="G817" s="12">
        <v>45597</v>
      </c>
      <c r="H817" s="13" t="s">
        <v>1</v>
      </c>
      <c r="I817" s="8" t="s">
        <v>2</v>
      </c>
      <c r="J817" s="14"/>
      <c r="K817" s="15" t="s">
        <v>484</v>
      </c>
      <c r="L817" t="s">
        <v>485</v>
      </c>
      <c r="M817" t="s">
        <v>15</v>
      </c>
      <c r="N817" t="str">
        <f t="shared" si="139"/>
        <v>https://api.bcb.gov.br/dados/serie/bcdata.sgs.21143/dados?formato=json</v>
      </c>
      <c r="O817">
        <v>6</v>
      </c>
      <c r="P817" t="s">
        <v>19</v>
      </c>
      <c r="Q817" t="s">
        <v>19</v>
      </c>
      <c r="R817" t="s">
        <v>915</v>
      </c>
      <c r="S817" t="s">
        <v>622</v>
      </c>
      <c r="T817" t="e">
        <f t="shared" si="142"/>
        <v>#VALUE!</v>
      </c>
      <c r="U817">
        <f t="shared" si="141"/>
        <v>20</v>
      </c>
    </row>
    <row r="818" spans="1:21" x14ac:dyDescent="0.25">
      <c r="A818" s="1"/>
      <c r="B818" s="1">
        <v>21144</v>
      </c>
      <c r="C818" s="2" t="s">
        <v>181</v>
      </c>
      <c r="D818" s="1" t="s">
        <v>835</v>
      </c>
      <c r="E818" s="3" t="s">
        <v>0</v>
      </c>
      <c r="F818" s="4">
        <v>40603</v>
      </c>
      <c r="G818" s="5">
        <v>45597</v>
      </c>
      <c r="H818" s="6" t="s">
        <v>1</v>
      </c>
      <c r="I818" s="1" t="s">
        <v>2</v>
      </c>
      <c r="J818" s="7"/>
      <c r="K818" s="15" t="s">
        <v>484</v>
      </c>
      <c r="L818" t="s">
        <v>485</v>
      </c>
      <c r="M818" t="s">
        <v>15</v>
      </c>
      <c r="N818" t="str">
        <f t="shared" si="139"/>
        <v>https://api.bcb.gov.br/dados/serie/bcdata.sgs.21144/dados?formato=json</v>
      </c>
      <c r="O818">
        <v>6</v>
      </c>
      <c r="P818" t="s">
        <v>19</v>
      </c>
      <c r="Q818" t="s">
        <v>19</v>
      </c>
      <c r="R818" t="s">
        <v>916</v>
      </c>
      <c r="S818" t="s">
        <v>622</v>
      </c>
      <c r="T818" t="e">
        <f t="shared" si="142"/>
        <v>#VALUE!</v>
      </c>
      <c r="U818">
        <f t="shared" si="141"/>
        <v>20</v>
      </c>
    </row>
    <row r="819" spans="1:21" x14ac:dyDescent="0.25">
      <c r="A819" s="8"/>
      <c r="B819" s="8">
        <v>21145</v>
      </c>
      <c r="C819" s="9" t="s">
        <v>120</v>
      </c>
      <c r="D819" s="8" t="s">
        <v>835</v>
      </c>
      <c r="E819" s="10" t="s">
        <v>0</v>
      </c>
      <c r="F819" s="11">
        <v>40603</v>
      </c>
      <c r="G819" s="12">
        <v>45597</v>
      </c>
      <c r="H819" s="13" t="s">
        <v>1</v>
      </c>
      <c r="I819" s="8" t="s">
        <v>2</v>
      </c>
      <c r="J819" s="14"/>
      <c r="K819" s="15" t="s">
        <v>484</v>
      </c>
      <c r="L819" t="s">
        <v>485</v>
      </c>
      <c r="M819" t="s">
        <v>15</v>
      </c>
      <c r="N819" t="str">
        <f t="shared" si="139"/>
        <v>https://api.bcb.gov.br/dados/serie/bcdata.sgs.21145/dados?formato=json</v>
      </c>
      <c r="O819">
        <v>6</v>
      </c>
      <c r="P819" t="s">
        <v>19</v>
      </c>
      <c r="Q819" t="s">
        <v>19</v>
      </c>
      <c r="R819" t="s">
        <v>118</v>
      </c>
      <c r="S819" t="s">
        <v>621</v>
      </c>
      <c r="T819" t="e">
        <f t="shared" si="142"/>
        <v>#VALUE!</v>
      </c>
      <c r="U819">
        <f t="shared" ref="U819:U833" si="143">LEN("Pessoas físicas - ")</f>
        <v>18</v>
      </c>
    </row>
    <row r="820" spans="1:21" x14ac:dyDescent="0.25">
      <c r="A820" s="1"/>
      <c r="B820" s="1">
        <v>21146</v>
      </c>
      <c r="C820" s="2" t="s">
        <v>182</v>
      </c>
      <c r="D820" s="1" t="s">
        <v>835</v>
      </c>
      <c r="E820" s="3" t="s">
        <v>0</v>
      </c>
      <c r="F820" s="4">
        <v>40603</v>
      </c>
      <c r="G820" s="5">
        <v>45597</v>
      </c>
      <c r="H820" s="6" t="s">
        <v>1</v>
      </c>
      <c r="I820" s="1" t="s">
        <v>2</v>
      </c>
      <c r="J820" s="7"/>
      <c r="K820" s="15" t="s">
        <v>484</v>
      </c>
      <c r="L820" t="s">
        <v>485</v>
      </c>
      <c r="M820" t="s">
        <v>15</v>
      </c>
      <c r="N820" t="str">
        <f t="shared" si="139"/>
        <v>https://api.bcb.gov.br/dados/serie/bcdata.sgs.21146/dados?formato=json</v>
      </c>
      <c r="O820">
        <v>6</v>
      </c>
      <c r="P820" t="s">
        <v>19</v>
      </c>
      <c r="Q820" t="s">
        <v>19</v>
      </c>
      <c r="R820" t="s">
        <v>906</v>
      </c>
      <c r="S820" t="s">
        <v>621</v>
      </c>
      <c r="T820" t="e">
        <f t="shared" ref="T820:T833" si="144">RIGHT(S820,LEN(S820)-U820)</f>
        <v>#VALUE!</v>
      </c>
      <c r="U820">
        <f t="shared" si="143"/>
        <v>18</v>
      </c>
    </row>
    <row r="821" spans="1:21" x14ac:dyDescent="0.25">
      <c r="A821" s="8"/>
      <c r="B821" s="8">
        <v>21147</v>
      </c>
      <c r="C821" s="9" t="s">
        <v>183</v>
      </c>
      <c r="D821" s="8" t="s">
        <v>835</v>
      </c>
      <c r="E821" s="10" t="s">
        <v>0</v>
      </c>
      <c r="F821" s="11">
        <v>40603</v>
      </c>
      <c r="G821" s="12">
        <v>45597</v>
      </c>
      <c r="H821" s="13" t="s">
        <v>1</v>
      </c>
      <c r="I821" s="8" t="s">
        <v>2</v>
      </c>
      <c r="J821" s="14"/>
      <c r="K821" s="15" t="s">
        <v>484</v>
      </c>
      <c r="L821" t="s">
        <v>485</v>
      </c>
      <c r="M821" t="s">
        <v>15</v>
      </c>
      <c r="N821" t="str">
        <f t="shared" si="139"/>
        <v>https://api.bcb.gov.br/dados/serie/bcdata.sgs.21147/dados?formato=json</v>
      </c>
      <c r="O821">
        <v>6</v>
      </c>
      <c r="P821" t="s">
        <v>19</v>
      </c>
      <c r="Q821" t="s">
        <v>19</v>
      </c>
      <c r="R821" t="s">
        <v>907</v>
      </c>
      <c r="S821" t="s">
        <v>621</v>
      </c>
      <c r="T821" t="e">
        <f t="shared" si="144"/>
        <v>#VALUE!</v>
      </c>
      <c r="U821">
        <f t="shared" si="143"/>
        <v>18</v>
      </c>
    </row>
    <row r="822" spans="1:21" x14ac:dyDescent="0.25">
      <c r="A822" s="1"/>
      <c r="B822" s="1">
        <v>21148</v>
      </c>
      <c r="C822" s="2" t="s">
        <v>184</v>
      </c>
      <c r="D822" s="1" t="s">
        <v>835</v>
      </c>
      <c r="E822" s="3" t="s">
        <v>0</v>
      </c>
      <c r="F822" s="4">
        <v>40603</v>
      </c>
      <c r="G822" s="5">
        <v>45597</v>
      </c>
      <c r="H822" s="6" t="s">
        <v>1</v>
      </c>
      <c r="I822" s="1" t="s">
        <v>2</v>
      </c>
      <c r="J822" s="7"/>
      <c r="K822" s="15" t="s">
        <v>484</v>
      </c>
      <c r="L822" t="s">
        <v>485</v>
      </c>
      <c r="M822" t="s">
        <v>15</v>
      </c>
      <c r="N822" t="str">
        <f t="shared" si="139"/>
        <v>https://api.bcb.gov.br/dados/serie/bcdata.sgs.21148/dados?formato=json</v>
      </c>
      <c r="O822">
        <v>6</v>
      </c>
      <c r="P822" t="s">
        <v>19</v>
      </c>
      <c r="Q822" t="s">
        <v>19</v>
      </c>
      <c r="R822" t="s">
        <v>908</v>
      </c>
      <c r="S822" t="s">
        <v>621</v>
      </c>
      <c r="T822" t="e">
        <f t="shared" si="144"/>
        <v>#VALUE!</v>
      </c>
      <c r="U822">
        <f t="shared" si="143"/>
        <v>18</v>
      </c>
    </row>
    <row r="823" spans="1:21" x14ac:dyDescent="0.25">
      <c r="A823" s="8"/>
      <c r="B823" s="8">
        <v>21149</v>
      </c>
      <c r="C823" s="9" t="s">
        <v>185</v>
      </c>
      <c r="D823" s="8" t="s">
        <v>835</v>
      </c>
      <c r="E823" s="10" t="s">
        <v>0</v>
      </c>
      <c r="F823" s="11">
        <v>40603</v>
      </c>
      <c r="G823" s="12">
        <v>45597</v>
      </c>
      <c r="H823" s="13" t="s">
        <v>1</v>
      </c>
      <c r="I823" s="8" t="s">
        <v>2</v>
      </c>
      <c r="J823" s="14"/>
      <c r="K823" s="15" t="s">
        <v>484</v>
      </c>
      <c r="L823" t="s">
        <v>485</v>
      </c>
      <c r="M823" t="s">
        <v>15</v>
      </c>
      <c r="N823" t="str">
        <f t="shared" si="139"/>
        <v>https://api.bcb.gov.br/dados/serie/bcdata.sgs.21149/dados?formato=json</v>
      </c>
      <c r="O823">
        <v>6</v>
      </c>
      <c r="P823" t="s">
        <v>19</v>
      </c>
      <c r="Q823" t="s">
        <v>19</v>
      </c>
      <c r="R823" t="s">
        <v>909</v>
      </c>
      <c r="S823" t="s">
        <v>621</v>
      </c>
      <c r="T823" t="e">
        <f t="shared" si="144"/>
        <v>#VALUE!</v>
      </c>
      <c r="U823">
        <f t="shared" si="143"/>
        <v>18</v>
      </c>
    </row>
    <row r="824" spans="1:21" x14ac:dyDescent="0.25">
      <c r="A824" s="1"/>
      <c r="B824" s="1">
        <v>21150</v>
      </c>
      <c r="C824" s="2" t="s">
        <v>186</v>
      </c>
      <c r="D824" s="1" t="s">
        <v>835</v>
      </c>
      <c r="E824" s="3" t="s">
        <v>0</v>
      </c>
      <c r="F824" s="4">
        <v>40603</v>
      </c>
      <c r="G824" s="5">
        <v>45597</v>
      </c>
      <c r="H824" s="6" t="s">
        <v>1</v>
      </c>
      <c r="I824" s="1" t="s">
        <v>2</v>
      </c>
      <c r="J824" s="7"/>
      <c r="K824" s="15" t="s">
        <v>484</v>
      </c>
      <c r="L824" t="s">
        <v>485</v>
      </c>
      <c r="M824" t="s">
        <v>15</v>
      </c>
      <c r="N824" t="str">
        <f t="shared" si="139"/>
        <v>https://api.bcb.gov.br/dados/serie/bcdata.sgs.21150/dados?formato=json</v>
      </c>
      <c r="O824">
        <v>6</v>
      </c>
      <c r="P824" t="s">
        <v>19</v>
      </c>
      <c r="Q824" t="s">
        <v>19</v>
      </c>
      <c r="R824" t="s">
        <v>910</v>
      </c>
      <c r="S824" t="s">
        <v>621</v>
      </c>
      <c r="T824" t="e">
        <f t="shared" si="144"/>
        <v>#VALUE!</v>
      </c>
      <c r="U824">
        <f t="shared" si="143"/>
        <v>18</v>
      </c>
    </row>
    <row r="825" spans="1:21" x14ac:dyDescent="0.25">
      <c r="A825" s="8"/>
      <c r="B825" s="8">
        <v>21151</v>
      </c>
      <c r="C825" s="9" t="s">
        <v>187</v>
      </c>
      <c r="D825" s="8" t="s">
        <v>835</v>
      </c>
      <c r="E825" s="10" t="s">
        <v>0</v>
      </c>
      <c r="F825" s="11">
        <v>40603</v>
      </c>
      <c r="G825" s="12">
        <v>45597</v>
      </c>
      <c r="H825" s="13" t="s">
        <v>1</v>
      </c>
      <c r="I825" s="8" t="s">
        <v>2</v>
      </c>
      <c r="J825" s="14"/>
      <c r="K825" s="15" t="s">
        <v>484</v>
      </c>
      <c r="L825" t="s">
        <v>485</v>
      </c>
      <c r="M825" t="s">
        <v>15</v>
      </c>
      <c r="N825" t="str">
        <f t="shared" si="139"/>
        <v>https://api.bcb.gov.br/dados/serie/bcdata.sgs.21151/dados?formato=json</v>
      </c>
      <c r="O825">
        <v>6</v>
      </c>
      <c r="P825" t="s">
        <v>19</v>
      </c>
      <c r="Q825" t="s">
        <v>19</v>
      </c>
      <c r="R825" t="s">
        <v>911</v>
      </c>
      <c r="S825" t="s">
        <v>621</v>
      </c>
      <c r="T825" t="e">
        <f t="shared" si="144"/>
        <v>#VALUE!</v>
      </c>
      <c r="U825">
        <f t="shared" si="143"/>
        <v>18</v>
      </c>
    </row>
    <row r="826" spans="1:21" x14ac:dyDescent="0.25">
      <c r="A826" s="1"/>
      <c r="B826" s="1">
        <v>21152</v>
      </c>
      <c r="C826" s="2" t="s">
        <v>188</v>
      </c>
      <c r="D826" s="1" t="s">
        <v>835</v>
      </c>
      <c r="E826" s="3" t="s">
        <v>0</v>
      </c>
      <c r="F826" s="4">
        <v>40603</v>
      </c>
      <c r="G826" s="5">
        <v>45597</v>
      </c>
      <c r="H826" s="6" t="s">
        <v>1</v>
      </c>
      <c r="I826" s="1" t="s">
        <v>2</v>
      </c>
      <c r="J826" s="7"/>
      <c r="K826" s="15" t="s">
        <v>484</v>
      </c>
      <c r="L826" t="s">
        <v>485</v>
      </c>
      <c r="M826" t="s">
        <v>15</v>
      </c>
      <c r="N826" t="str">
        <f t="shared" si="139"/>
        <v>https://api.bcb.gov.br/dados/serie/bcdata.sgs.21152/dados?formato=json</v>
      </c>
      <c r="O826">
        <v>6</v>
      </c>
      <c r="P826" t="s">
        <v>19</v>
      </c>
      <c r="Q826" t="s">
        <v>19</v>
      </c>
      <c r="R826" t="s">
        <v>912</v>
      </c>
      <c r="S826" t="s">
        <v>621</v>
      </c>
      <c r="T826" t="e">
        <f t="shared" si="144"/>
        <v>#VALUE!</v>
      </c>
      <c r="U826">
        <f t="shared" si="143"/>
        <v>18</v>
      </c>
    </row>
    <row r="827" spans="1:21" x14ac:dyDescent="0.25">
      <c r="A827" s="8"/>
      <c r="B827" s="8">
        <v>21153</v>
      </c>
      <c r="C827" s="9" t="s">
        <v>189</v>
      </c>
      <c r="D827" s="8" t="s">
        <v>835</v>
      </c>
      <c r="E827" s="10" t="s">
        <v>0</v>
      </c>
      <c r="F827" s="11">
        <v>40603</v>
      </c>
      <c r="G827" s="12">
        <v>45597</v>
      </c>
      <c r="H827" s="13" t="s">
        <v>1</v>
      </c>
      <c r="I827" s="8" t="s">
        <v>2</v>
      </c>
      <c r="J827" s="14"/>
      <c r="K827" s="15" t="s">
        <v>484</v>
      </c>
      <c r="L827" t="s">
        <v>485</v>
      </c>
      <c r="M827" t="s">
        <v>15</v>
      </c>
      <c r="N827" t="str">
        <f t="shared" si="139"/>
        <v>https://api.bcb.gov.br/dados/serie/bcdata.sgs.21153/dados?formato=json</v>
      </c>
      <c r="O827">
        <v>6</v>
      </c>
      <c r="P827" t="s">
        <v>19</v>
      </c>
      <c r="Q827" t="s">
        <v>19</v>
      </c>
      <c r="R827" t="s">
        <v>913</v>
      </c>
      <c r="S827" t="s">
        <v>621</v>
      </c>
      <c r="T827" t="e">
        <f t="shared" si="144"/>
        <v>#VALUE!</v>
      </c>
      <c r="U827">
        <f t="shared" si="143"/>
        <v>18</v>
      </c>
    </row>
    <row r="828" spans="1:21" x14ac:dyDescent="0.25">
      <c r="A828" s="1"/>
      <c r="B828" s="1">
        <v>21154</v>
      </c>
      <c r="C828" s="2" t="s">
        <v>190</v>
      </c>
      <c r="D828" s="1" t="s">
        <v>835</v>
      </c>
      <c r="E828" s="3" t="s">
        <v>0</v>
      </c>
      <c r="F828" s="4">
        <v>40603</v>
      </c>
      <c r="G828" s="5">
        <v>45597</v>
      </c>
      <c r="H828" s="6" t="s">
        <v>1</v>
      </c>
      <c r="I828" s="1" t="s">
        <v>2</v>
      </c>
      <c r="J828" s="7"/>
      <c r="K828" s="15" t="s">
        <v>484</v>
      </c>
      <c r="L828" t="s">
        <v>485</v>
      </c>
      <c r="M828" t="s">
        <v>15</v>
      </c>
      <c r="N828" t="str">
        <f t="shared" si="139"/>
        <v>https://api.bcb.gov.br/dados/serie/bcdata.sgs.21154/dados?formato=json</v>
      </c>
      <c r="O828">
        <v>6</v>
      </c>
      <c r="P828" t="s">
        <v>19</v>
      </c>
      <c r="Q828" t="s">
        <v>19</v>
      </c>
      <c r="R828" t="s">
        <v>914</v>
      </c>
      <c r="S828" t="s">
        <v>621</v>
      </c>
      <c r="T828" t="e">
        <f t="shared" si="144"/>
        <v>#VALUE!</v>
      </c>
      <c r="U828">
        <f t="shared" si="143"/>
        <v>18</v>
      </c>
    </row>
    <row r="829" spans="1:21" x14ac:dyDescent="0.25">
      <c r="A829" s="8"/>
      <c r="B829" s="8">
        <v>21155</v>
      </c>
      <c r="C829" s="9" t="s">
        <v>191</v>
      </c>
      <c r="D829" s="8" t="s">
        <v>835</v>
      </c>
      <c r="E829" s="10" t="s">
        <v>0</v>
      </c>
      <c r="F829" s="11">
        <v>40603</v>
      </c>
      <c r="G829" s="12">
        <v>45597</v>
      </c>
      <c r="H829" s="13" t="s">
        <v>1</v>
      </c>
      <c r="I829" s="8" t="s">
        <v>2</v>
      </c>
      <c r="J829" s="14"/>
      <c r="K829" s="15" t="s">
        <v>484</v>
      </c>
      <c r="L829" t="s">
        <v>485</v>
      </c>
      <c r="M829" t="s">
        <v>15</v>
      </c>
      <c r="N829" t="str">
        <f t="shared" si="139"/>
        <v>https://api.bcb.gov.br/dados/serie/bcdata.sgs.21155/dados?formato=json</v>
      </c>
      <c r="O829">
        <v>6</v>
      </c>
      <c r="P829" t="s">
        <v>19</v>
      </c>
      <c r="Q829" t="s">
        <v>19</v>
      </c>
      <c r="R829" t="s">
        <v>915</v>
      </c>
      <c r="S829" t="s">
        <v>621</v>
      </c>
      <c r="T829" t="e">
        <f t="shared" si="144"/>
        <v>#VALUE!</v>
      </c>
      <c r="U829">
        <f t="shared" si="143"/>
        <v>18</v>
      </c>
    </row>
    <row r="830" spans="1:21" x14ac:dyDescent="0.25">
      <c r="A830" s="1"/>
      <c r="B830" s="1">
        <v>21156</v>
      </c>
      <c r="C830" s="2" t="s">
        <v>192</v>
      </c>
      <c r="D830" s="1" t="s">
        <v>835</v>
      </c>
      <c r="E830" s="3" t="s">
        <v>0</v>
      </c>
      <c r="F830" s="4">
        <v>40603</v>
      </c>
      <c r="G830" s="5">
        <v>45597</v>
      </c>
      <c r="H830" s="6" t="s">
        <v>1</v>
      </c>
      <c r="I830" s="1" t="s">
        <v>2</v>
      </c>
      <c r="J830" s="7"/>
      <c r="K830" s="15" t="s">
        <v>484</v>
      </c>
      <c r="L830" t="s">
        <v>485</v>
      </c>
      <c r="M830" t="s">
        <v>15</v>
      </c>
      <c r="N830" t="str">
        <f t="shared" si="139"/>
        <v>https://api.bcb.gov.br/dados/serie/bcdata.sgs.21156/dados?formato=json</v>
      </c>
      <c r="O830">
        <v>6</v>
      </c>
      <c r="P830" t="s">
        <v>19</v>
      </c>
      <c r="Q830" t="s">
        <v>19</v>
      </c>
      <c r="R830" t="s">
        <v>917</v>
      </c>
      <c r="S830" t="s">
        <v>621</v>
      </c>
      <c r="T830" t="e">
        <f t="shared" si="144"/>
        <v>#VALUE!</v>
      </c>
      <c r="U830">
        <f t="shared" si="143"/>
        <v>18</v>
      </c>
    </row>
    <row r="831" spans="1:21" x14ac:dyDescent="0.25">
      <c r="A831" s="8"/>
      <c r="B831" s="8">
        <v>21157</v>
      </c>
      <c r="C831" s="9" t="s">
        <v>193</v>
      </c>
      <c r="D831" s="8" t="s">
        <v>835</v>
      </c>
      <c r="E831" s="10" t="s">
        <v>0</v>
      </c>
      <c r="F831" s="11">
        <v>40603</v>
      </c>
      <c r="G831" s="12">
        <v>45597</v>
      </c>
      <c r="H831" s="13" t="s">
        <v>1</v>
      </c>
      <c r="I831" s="8" t="s">
        <v>2</v>
      </c>
      <c r="J831" s="14"/>
      <c r="K831" s="15" t="s">
        <v>484</v>
      </c>
      <c r="L831" t="s">
        <v>485</v>
      </c>
      <c r="M831" t="s">
        <v>15</v>
      </c>
      <c r="N831" t="str">
        <f t="shared" si="139"/>
        <v>https://api.bcb.gov.br/dados/serie/bcdata.sgs.21157/dados?formato=json</v>
      </c>
      <c r="O831">
        <v>6</v>
      </c>
      <c r="P831" t="s">
        <v>19</v>
      </c>
      <c r="Q831" t="s">
        <v>19</v>
      </c>
      <c r="R831" t="s">
        <v>918</v>
      </c>
      <c r="S831" t="s">
        <v>621</v>
      </c>
      <c r="T831" t="e">
        <f t="shared" si="144"/>
        <v>#VALUE!</v>
      </c>
      <c r="U831">
        <f t="shared" si="143"/>
        <v>18</v>
      </c>
    </row>
    <row r="832" spans="1:21" x14ac:dyDescent="0.25">
      <c r="A832" s="1"/>
      <c r="B832" s="1">
        <v>21159</v>
      </c>
      <c r="C832" s="2" t="s">
        <v>194</v>
      </c>
      <c r="D832" s="1" t="s">
        <v>835</v>
      </c>
      <c r="E832" s="3" t="s">
        <v>0</v>
      </c>
      <c r="F832" s="4">
        <v>40603</v>
      </c>
      <c r="G832" s="5">
        <v>45597</v>
      </c>
      <c r="H832" s="6" t="s">
        <v>1</v>
      </c>
      <c r="I832" s="1" t="s">
        <v>2</v>
      </c>
      <c r="J832" s="7"/>
      <c r="K832" s="15" t="s">
        <v>484</v>
      </c>
      <c r="L832" t="s">
        <v>485</v>
      </c>
      <c r="M832" t="s">
        <v>15</v>
      </c>
      <c r="N832" t="str">
        <f t="shared" si="139"/>
        <v>https://api.bcb.gov.br/dados/serie/bcdata.sgs.21159/dados?formato=json</v>
      </c>
      <c r="O832">
        <v>6</v>
      </c>
      <c r="P832" t="s">
        <v>19</v>
      </c>
      <c r="Q832" t="s">
        <v>19</v>
      </c>
      <c r="R832" t="s">
        <v>919</v>
      </c>
      <c r="S832" t="s">
        <v>621</v>
      </c>
      <c r="T832" t="e">
        <f t="shared" si="144"/>
        <v>#VALUE!</v>
      </c>
      <c r="U832">
        <f t="shared" si="143"/>
        <v>18</v>
      </c>
    </row>
    <row r="833" spans="1:21" x14ac:dyDescent="0.25">
      <c r="A833" s="8"/>
      <c r="B833" s="8">
        <v>21160</v>
      </c>
      <c r="C833" s="9" t="s">
        <v>195</v>
      </c>
      <c r="D833" s="8" t="s">
        <v>835</v>
      </c>
      <c r="E833" s="10" t="s">
        <v>0</v>
      </c>
      <c r="F833" s="11">
        <v>40603</v>
      </c>
      <c r="G833" s="12">
        <v>45597</v>
      </c>
      <c r="H833" s="13" t="s">
        <v>1</v>
      </c>
      <c r="I833" s="8" t="s">
        <v>2</v>
      </c>
      <c r="J833" s="14"/>
      <c r="K833" s="15" t="s">
        <v>484</v>
      </c>
      <c r="L833" t="s">
        <v>485</v>
      </c>
      <c r="M833" t="s">
        <v>15</v>
      </c>
      <c r="N833" t="str">
        <f t="shared" si="139"/>
        <v>https://api.bcb.gov.br/dados/serie/bcdata.sgs.21160/dados?formato=json</v>
      </c>
      <c r="O833">
        <v>6</v>
      </c>
      <c r="P833" t="s">
        <v>19</v>
      </c>
      <c r="Q833" t="s">
        <v>19</v>
      </c>
      <c r="R833" t="s">
        <v>916</v>
      </c>
      <c r="S833" t="s">
        <v>621</v>
      </c>
      <c r="T833" t="e">
        <f t="shared" si="144"/>
        <v>#VALUE!</v>
      </c>
      <c r="U833">
        <f t="shared" si="143"/>
        <v>18</v>
      </c>
    </row>
    <row r="834" spans="1:21" x14ac:dyDescent="0.25">
      <c r="A834" s="1"/>
      <c r="B834" s="1">
        <v>27704</v>
      </c>
      <c r="C834" s="2" t="s">
        <v>486</v>
      </c>
      <c r="D834" s="1" t="s">
        <v>835</v>
      </c>
      <c r="E834" s="3" t="s">
        <v>0</v>
      </c>
      <c r="F834" s="4">
        <v>40909</v>
      </c>
      <c r="G834" s="5">
        <v>45597</v>
      </c>
      <c r="H834" s="6" t="s">
        <v>1</v>
      </c>
      <c r="I834" s="1" t="s">
        <v>2</v>
      </c>
      <c r="J834" s="7"/>
      <c r="K834" s="15" t="s">
        <v>491</v>
      </c>
      <c r="L834" t="s">
        <v>492</v>
      </c>
      <c r="M834" t="s">
        <v>15</v>
      </c>
      <c r="N834" t="str">
        <f t="shared" ref="N834:N838" si="145">_xlfn.CONCAT("https://api.bcb.gov.br/dados/serie/bcdata.sgs.",B834,"/dados?formato=json")</f>
        <v>https://api.bcb.gov.br/dados/serie/bcdata.sgs.27704/dados?formato=json</v>
      </c>
      <c r="O834">
        <v>6</v>
      </c>
      <c r="P834" t="s">
        <v>19</v>
      </c>
      <c r="Q834" t="s">
        <v>19</v>
      </c>
      <c r="R834" t="s">
        <v>986</v>
      </c>
      <c r="S834" t="s">
        <v>984</v>
      </c>
    </row>
    <row r="835" spans="1:21" x14ac:dyDescent="0.25">
      <c r="A835" s="8"/>
      <c r="B835" s="8">
        <v>27703</v>
      </c>
      <c r="C835" s="9" t="s">
        <v>487</v>
      </c>
      <c r="D835" s="8" t="s">
        <v>835</v>
      </c>
      <c r="E835" s="10" t="s">
        <v>0</v>
      </c>
      <c r="F835" s="11">
        <v>40909</v>
      </c>
      <c r="G835" s="12">
        <v>45597</v>
      </c>
      <c r="H835" s="13" t="s">
        <v>1</v>
      </c>
      <c r="I835" s="8" t="s">
        <v>2</v>
      </c>
      <c r="J835" s="14"/>
      <c r="K835" s="15" t="s">
        <v>491</v>
      </c>
      <c r="L835" t="s">
        <v>492</v>
      </c>
      <c r="M835" t="s">
        <v>15</v>
      </c>
      <c r="N835" t="str">
        <f t="shared" si="145"/>
        <v>https://api.bcb.gov.br/dados/serie/bcdata.sgs.27703/dados?formato=json</v>
      </c>
      <c r="O835">
        <v>6</v>
      </c>
      <c r="P835" t="s">
        <v>19</v>
      </c>
      <c r="Q835" t="s">
        <v>19</v>
      </c>
      <c r="R835" t="s">
        <v>987</v>
      </c>
      <c r="S835" t="s">
        <v>984</v>
      </c>
    </row>
    <row r="836" spans="1:21" x14ac:dyDescent="0.25">
      <c r="A836" s="1"/>
      <c r="B836" s="1">
        <v>27705</v>
      </c>
      <c r="C836" s="2" t="s">
        <v>488</v>
      </c>
      <c r="D836" s="1" t="s">
        <v>835</v>
      </c>
      <c r="E836" s="3" t="s">
        <v>0</v>
      </c>
      <c r="F836" s="4">
        <v>40909</v>
      </c>
      <c r="G836" s="5">
        <v>45597</v>
      </c>
      <c r="H836" s="6" t="s">
        <v>1</v>
      </c>
      <c r="I836" s="1" t="s">
        <v>2</v>
      </c>
      <c r="J836" s="7"/>
      <c r="K836" s="15" t="s">
        <v>491</v>
      </c>
      <c r="L836" t="s">
        <v>493</v>
      </c>
      <c r="M836" t="s">
        <v>15</v>
      </c>
      <c r="N836" t="str">
        <f t="shared" si="145"/>
        <v>https://api.bcb.gov.br/dados/serie/bcdata.sgs.27705/dados?formato=json</v>
      </c>
      <c r="O836">
        <v>6</v>
      </c>
      <c r="P836" t="s">
        <v>19</v>
      </c>
      <c r="Q836" t="s">
        <v>19</v>
      </c>
      <c r="R836" t="s">
        <v>119</v>
      </c>
      <c r="S836" t="s">
        <v>985</v>
      </c>
    </row>
    <row r="837" spans="1:21" x14ac:dyDescent="0.25">
      <c r="A837" s="8"/>
      <c r="B837" s="8">
        <v>27707</v>
      </c>
      <c r="C837" s="9" t="s">
        <v>489</v>
      </c>
      <c r="D837" s="8" t="s">
        <v>835</v>
      </c>
      <c r="E837" s="10" t="s">
        <v>0</v>
      </c>
      <c r="F837" s="11">
        <v>40910</v>
      </c>
      <c r="G837" s="12">
        <v>45597</v>
      </c>
      <c r="H837" s="13" t="s">
        <v>1</v>
      </c>
      <c r="I837" s="8" t="s">
        <v>2</v>
      </c>
      <c r="J837" s="14"/>
      <c r="K837" s="15" t="s">
        <v>491</v>
      </c>
      <c r="L837" t="s">
        <v>493</v>
      </c>
      <c r="M837" t="s">
        <v>15</v>
      </c>
      <c r="N837" t="str">
        <f t="shared" si="145"/>
        <v>https://api.bcb.gov.br/dados/serie/bcdata.sgs.27707/dados?formato=json</v>
      </c>
      <c r="O837">
        <v>6</v>
      </c>
      <c r="P837" t="s">
        <v>19</v>
      </c>
      <c r="Q837" t="s">
        <v>19</v>
      </c>
      <c r="R837" t="s">
        <v>986</v>
      </c>
      <c r="S837" t="s">
        <v>985</v>
      </c>
    </row>
    <row r="838" spans="1:21" x14ac:dyDescent="0.25">
      <c r="A838" s="1"/>
      <c r="B838" s="1">
        <v>27706</v>
      </c>
      <c r="C838" s="2" t="s">
        <v>490</v>
      </c>
      <c r="D838" s="1" t="s">
        <v>835</v>
      </c>
      <c r="E838" s="3" t="s">
        <v>0</v>
      </c>
      <c r="F838" s="4">
        <v>40909</v>
      </c>
      <c r="G838" s="5">
        <v>45597</v>
      </c>
      <c r="H838" s="6" t="s">
        <v>1</v>
      </c>
      <c r="I838" s="1" t="s">
        <v>2</v>
      </c>
      <c r="J838" s="7"/>
      <c r="K838" s="15" t="s">
        <v>491</v>
      </c>
      <c r="L838" t="s">
        <v>493</v>
      </c>
      <c r="M838" t="s">
        <v>15</v>
      </c>
      <c r="N838" t="str">
        <f t="shared" si="145"/>
        <v>https://api.bcb.gov.br/dados/serie/bcdata.sgs.27706/dados?formato=json</v>
      </c>
      <c r="O838">
        <v>6</v>
      </c>
      <c r="P838" t="s">
        <v>19</v>
      </c>
      <c r="Q838" t="s">
        <v>19</v>
      </c>
      <c r="R838" t="s">
        <v>987</v>
      </c>
      <c r="S838" t="s">
        <v>985</v>
      </c>
    </row>
    <row r="839" spans="1:21" x14ac:dyDescent="0.25">
      <c r="A839" s="1"/>
      <c r="B839" s="1">
        <v>13667</v>
      </c>
      <c r="C839" s="2" t="s">
        <v>494</v>
      </c>
      <c r="D839" s="1" t="s">
        <v>835</v>
      </c>
      <c r="E839" s="3" t="s">
        <v>0</v>
      </c>
      <c r="F839" s="4">
        <v>36586</v>
      </c>
      <c r="G839" s="5">
        <v>45597</v>
      </c>
      <c r="H839" s="6" t="s">
        <v>1</v>
      </c>
      <c r="I839" s="1" t="s">
        <v>2</v>
      </c>
      <c r="J839" s="7"/>
      <c r="K839" s="15" t="s">
        <v>498</v>
      </c>
      <c r="L839" t="s">
        <v>499</v>
      </c>
      <c r="M839" t="s">
        <v>15</v>
      </c>
      <c r="N839" t="str">
        <f t="shared" ref="N839:N842" si="146">_xlfn.CONCAT("https://api.bcb.gov.br/dados/serie/bcdata.sgs.",B839,"/dados?formato=json")</f>
        <v>https://api.bcb.gov.br/dados/serie/bcdata.sgs.13667/dados?formato=json</v>
      </c>
      <c r="O839">
        <v>6</v>
      </c>
      <c r="P839" t="s">
        <v>19</v>
      </c>
      <c r="Q839" t="s">
        <v>19</v>
      </c>
      <c r="R839" t="s">
        <v>118</v>
      </c>
      <c r="S839" t="s">
        <v>962</v>
      </c>
    </row>
    <row r="840" spans="1:21" x14ac:dyDescent="0.25">
      <c r="A840" s="8"/>
      <c r="B840" s="8">
        <v>13673</v>
      </c>
      <c r="C840" s="9" t="s">
        <v>495</v>
      </c>
      <c r="D840" s="8" t="s">
        <v>835</v>
      </c>
      <c r="E840" s="10" t="s">
        <v>0</v>
      </c>
      <c r="F840" s="11">
        <v>36586</v>
      </c>
      <c r="G840" s="12">
        <v>45597</v>
      </c>
      <c r="H840" s="13" t="s">
        <v>1</v>
      </c>
      <c r="I840" s="8" t="s">
        <v>2</v>
      </c>
      <c r="J840" s="14"/>
      <c r="K840" s="15" t="s">
        <v>498</v>
      </c>
      <c r="L840" t="s">
        <v>500</v>
      </c>
      <c r="M840" t="s">
        <v>15</v>
      </c>
      <c r="N840" t="str">
        <f t="shared" si="146"/>
        <v>https://api.bcb.gov.br/dados/serie/bcdata.sgs.13673/dados?formato=json</v>
      </c>
      <c r="O840">
        <v>6</v>
      </c>
      <c r="P840" t="s">
        <v>19</v>
      </c>
      <c r="Q840" t="s">
        <v>19</v>
      </c>
      <c r="R840" t="s">
        <v>966</v>
      </c>
      <c r="S840" t="s">
        <v>963</v>
      </c>
    </row>
    <row r="841" spans="1:21" x14ac:dyDescent="0.25">
      <c r="A841" s="1"/>
      <c r="B841" s="1">
        <v>13679</v>
      </c>
      <c r="C841" s="2" t="s">
        <v>496</v>
      </c>
      <c r="D841" s="1" t="s">
        <v>835</v>
      </c>
      <c r="E841" s="3" t="s">
        <v>0</v>
      </c>
      <c r="F841" s="4">
        <v>36586</v>
      </c>
      <c r="G841" s="5">
        <v>45597</v>
      </c>
      <c r="H841" s="6" t="s">
        <v>1</v>
      </c>
      <c r="I841" s="1" t="s">
        <v>2</v>
      </c>
      <c r="J841" s="7"/>
      <c r="K841" s="15" t="s">
        <v>498</v>
      </c>
      <c r="L841" t="s">
        <v>501</v>
      </c>
      <c r="M841" t="s">
        <v>15</v>
      </c>
      <c r="N841" t="str">
        <f t="shared" si="146"/>
        <v>https://api.bcb.gov.br/dados/serie/bcdata.sgs.13679/dados?formato=json</v>
      </c>
      <c r="O841">
        <v>6</v>
      </c>
      <c r="P841" t="s">
        <v>19</v>
      </c>
      <c r="Q841" t="s">
        <v>19</v>
      </c>
      <c r="R841" t="s">
        <v>118</v>
      </c>
      <c r="S841" t="s">
        <v>964</v>
      </c>
    </row>
    <row r="842" spans="1:21" x14ac:dyDescent="0.25">
      <c r="A842" s="8"/>
      <c r="B842" s="8">
        <v>13685</v>
      </c>
      <c r="C842" s="9" t="s">
        <v>497</v>
      </c>
      <c r="D842" s="8" t="s">
        <v>835</v>
      </c>
      <c r="E842" s="10" t="s">
        <v>0</v>
      </c>
      <c r="F842" s="11">
        <v>36586</v>
      </c>
      <c r="G842" s="12">
        <v>45597</v>
      </c>
      <c r="H842" s="13" t="s">
        <v>1</v>
      </c>
      <c r="I842" s="8" t="s">
        <v>2</v>
      </c>
      <c r="J842" s="14"/>
      <c r="K842" s="15" t="s">
        <v>498</v>
      </c>
      <c r="L842" t="s">
        <v>502</v>
      </c>
      <c r="M842" t="s">
        <v>15</v>
      </c>
      <c r="N842" t="str">
        <f t="shared" si="146"/>
        <v>https://api.bcb.gov.br/dados/serie/bcdata.sgs.13685/dados?formato=json</v>
      </c>
      <c r="O842">
        <v>6</v>
      </c>
      <c r="P842" t="s">
        <v>19</v>
      </c>
      <c r="Q842" t="s">
        <v>19</v>
      </c>
      <c r="R842" t="s">
        <v>118</v>
      </c>
      <c r="S842" t="s">
        <v>963</v>
      </c>
    </row>
    <row r="843" spans="1:21" x14ac:dyDescent="0.25">
      <c r="A843" s="1"/>
      <c r="B843" s="1">
        <v>13645</v>
      </c>
      <c r="C843" s="2" t="s">
        <v>503</v>
      </c>
      <c r="D843" s="1" t="s">
        <v>835</v>
      </c>
      <c r="E843" s="3" t="s">
        <v>0</v>
      </c>
      <c r="F843" s="4">
        <v>32295</v>
      </c>
      <c r="G843" s="5">
        <v>45597</v>
      </c>
      <c r="H843" s="6" t="s">
        <v>1</v>
      </c>
      <c r="I843" s="1" t="s">
        <v>2</v>
      </c>
      <c r="J843" s="7"/>
      <c r="K843" s="15" t="s">
        <v>988</v>
      </c>
      <c r="L843" t="s">
        <v>508</v>
      </c>
      <c r="M843" t="s">
        <v>15</v>
      </c>
      <c r="N843" t="str">
        <f t="shared" ref="N843:N847" si="147">_xlfn.CONCAT("https://api.bcb.gov.br/dados/serie/bcdata.sgs.",B843,"/dados?formato=json")</f>
        <v>https://api.bcb.gov.br/dados/serie/bcdata.sgs.13645/dados?formato=json</v>
      </c>
      <c r="O843">
        <v>6</v>
      </c>
      <c r="P843" t="s">
        <v>19</v>
      </c>
      <c r="Q843" t="s">
        <v>19</v>
      </c>
      <c r="R843" t="s">
        <v>118</v>
      </c>
      <c r="S843" t="s">
        <v>118</v>
      </c>
    </row>
    <row r="844" spans="1:21" x14ac:dyDescent="0.25">
      <c r="A844" s="8"/>
      <c r="B844" s="8">
        <v>13666</v>
      </c>
      <c r="C844" s="9" t="s">
        <v>504</v>
      </c>
      <c r="D844" s="8" t="s">
        <v>835</v>
      </c>
      <c r="E844" s="10" t="s">
        <v>0</v>
      </c>
      <c r="F844" s="11">
        <v>32295</v>
      </c>
      <c r="G844" s="12">
        <v>45597</v>
      </c>
      <c r="H844" s="13" t="s">
        <v>1</v>
      </c>
      <c r="I844" s="8" t="s">
        <v>2</v>
      </c>
      <c r="J844" s="14"/>
      <c r="K844" s="15" t="s">
        <v>988</v>
      </c>
      <c r="L844" t="s">
        <v>508</v>
      </c>
      <c r="M844" t="s">
        <v>15</v>
      </c>
      <c r="N844" t="str">
        <f t="shared" si="147"/>
        <v>https://api.bcb.gov.br/dados/serie/bcdata.sgs.13666/dados?formato=json</v>
      </c>
      <c r="O844">
        <v>6</v>
      </c>
      <c r="P844" t="s">
        <v>19</v>
      </c>
      <c r="Q844" t="s">
        <v>19</v>
      </c>
      <c r="R844" t="s">
        <v>118</v>
      </c>
      <c r="S844" t="s">
        <v>962</v>
      </c>
    </row>
    <row r="845" spans="1:21" x14ac:dyDescent="0.25">
      <c r="A845" s="1"/>
      <c r="B845" s="1">
        <v>13684</v>
      </c>
      <c r="C845" s="2" t="s">
        <v>505</v>
      </c>
      <c r="D845" s="1" t="s">
        <v>835</v>
      </c>
      <c r="E845" s="3" t="s">
        <v>0</v>
      </c>
      <c r="F845" s="4">
        <v>32295</v>
      </c>
      <c r="G845" s="5">
        <v>45597</v>
      </c>
      <c r="H845" s="6" t="s">
        <v>1</v>
      </c>
      <c r="I845" s="1" t="s">
        <v>2</v>
      </c>
      <c r="J845" s="7"/>
      <c r="K845" s="15" t="s">
        <v>988</v>
      </c>
      <c r="L845" t="s">
        <v>508</v>
      </c>
      <c r="M845" t="s">
        <v>15</v>
      </c>
      <c r="N845" t="str">
        <f t="shared" si="147"/>
        <v>https://api.bcb.gov.br/dados/serie/bcdata.sgs.13684/dados?formato=json</v>
      </c>
      <c r="O845">
        <v>6</v>
      </c>
      <c r="P845" t="s">
        <v>19</v>
      </c>
      <c r="Q845" t="s">
        <v>19</v>
      </c>
      <c r="R845" t="s">
        <v>118</v>
      </c>
      <c r="S845" t="s">
        <v>963</v>
      </c>
    </row>
    <row r="846" spans="1:21" x14ac:dyDescent="0.25">
      <c r="A846" s="8"/>
      <c r="B846" s="8">
        <v>13672</v>
      </c>
      <c r="C846" s="9" t="s">
        <v>506</v>
      </c>
      <c r="D846" s="8" t="s">
        <v>835</v>
      </c>
      <c r="E846" s="10" t="s">
        <v>0</v>
      </c>
      <c r="F846" s="11">
        <v>36586</v>
      </c>
      <c r="G846" s="12">
        <v>45597</v>
      </c>
      <c r="H846" s="13" t="s">
        <v>1</v>
      </c>
      <c r="I846" s="8" t="s">
        <v>2</v>
      </c>
      <c r="J846" s="14"/>
      <c r="K846" s="15" t="s">
        <v>988</v>
      </c>
      <c r="L846" t="s">
        <v>508</v>
      </c>
      <c r="M846" t="s">
        <v>15</v>
      </c>
      <c r="N846" t="str">
        <f t="shared" si="147"/>
        <v>https://api.bcb.gov.br/dados/serie/bcdata.sgs.13672/dados?formato=json</v>
      </c>
      <c r="O846">
        <v>6</v>
      </c>
      <c r="P846" t="s">
        <v>19</v>
      </c>
      <c r="Q846" t="s">
        <v>19</v>
      </c>
      <c r="R846" t="s">
        <v>966</v>
      </c>
      <c r="S846" t="s">
        <v>963</v>
      </c>
    </row>
    <row r="847" spans="1:21" x14ac:dyDescent="0.25">
      <c r="A847" s="1"/>
      <c r="B847" s="1">
        <v>13678</v>
      </c>
      <c r="C847" s="2" t="s">
        <v>507</v>
      </c>
      <c r="D847" s="1" t="s">
        <v>835</v>
      </c>
      <c r="E847" s="3" t="s">
        <v>0</v>
      </c>
      <c r="F847" s="4">
        <v>36586</v>
      </c>
      <c r="G847" s="5">
        <v>45597</v>
      </c>
      <c r="H847" s="6" t="s">
        <v>1</v>
      </c>
      <c r="I847" s="1" t="s">
        <v>2</v>
      </c>
      <c r="J847" s="7"/>
      <c r="K847" s="15" t="s">
        <v>988</v>
      </c>
      <c r="L847" t="s">
        <v>508</v>
      </c>
      <c r="M847" t="s">
        <v>15</v>
      </c>
      <c r="N847" t="str">
        <f t="shared" si="147"/>
        <v>https://api.bcb.gov.br/dados/serie/bcdata.sgs.13678/dados?formato=json</v>
      </c>
      <c r="O847">
        <v>6</v>
      </c>
      <c r="P847" t="s">
        <v>19</v>
      </c>
      <c r="Q847" t="s">
        <v>19</v>
      </c>
      <c r="R847" t="s">
        <v>118</v>
      </c>
      <c r="S847" t="s">
        <v>964</v>
      </c>
    </row>
    <row r="848" spans="1:21" x14ac:dyDescent="0.25">
      <c r="A848" s="1"/>
      <c r="B848" s="1">
        <v>29037</v>
      </c>
      <c r="C848" s="2" t="s">
        <v>509</v>
      </c>
      <c r="D848" s="1" t="s">
        <v>836</v>
      </c>
      <c r="E848" s="3" t="s">
        <v>0</v>
      </c>
      <c r="F848" s="4">
        <v>38353</v>
      </c>
      <c r="G848" s="5">
        <v>45566</v>
      </c>
      <c r="H848" s="6" t="s">
        <v>1</v>
      </c>
      <c r="I848" s="1" t="s">
        <v>2</v>
      </c>
      <c r="J848" s="7"/>
      <c r="K848" s="15" t="s">
        <v>519</v>
      </c>
      <c r="L848" t="s">
        <v>521</v>
      </c>
      <c r="M848" t="s">
        <v>15</v>
      </c>
      <c r="N848" t="str">
        <f t="shared" ref="N848:N857" si="148">_xlfn.CONCAT("https://api.bcb.gov.br/dados/serie/bcdata.sgs.",B848,"/dados?formato=json")</f>
        <v>https://api.bcb.gov.br/dados/serie/bcdata.sgs.29037/dados?formato=json</v>
      </c>
      <c r="O848">
        <v>6</v>
      </c>
      <c r="P848" t="s">
        <v>19</v>
      </c>
      <c r="Q848" t="s">
        <v>19</v>
      </c>
      <c r="R848" t="s">
        <v>118</v>
      </c>
      <c r="S848" t="s">
        <v>118</v>
      </c>
    </row>
    <row r="849" spans="1:19" x14ac:dyDescent="0.25">
      <c r="A849" s="8"/>
      <c r="B849" s="8">
        <v>29038</v>
      </c>
      <c r="C849" s="9" t="s">
        <v>510</v>
      </c>
      <c r="D849" s="8" t="s">
        <v>836</v>
      </c>
      <c r="E849" s="10" t="s">
        <v>0</v>
      </c>
      <c r="F849" s="11">
        <v>38353</v>
      </c>
      <c r="G849" s="12">
        <v>45566</v>
      </c>
      <c r="H849" s="13" t="s">
        <v>1</v>
      </c>
      <c r="I849" s="8" t="s">
        <v>2</v>
      </c>
      <c r="J849" s="14"/>
      <c r="K849" s="15" t="s">
        <v>519</v>
      </c>
      <c r="L849" t="s">
        <v>521</v>
      </c>
      <c r="M849" t="s">
        <v>15</v>
      </c>
      <c r="N849" t="str">
        <f t="shared" si="148"/>
        <v>https://api.bcb.gov.br/dados/serie/bcdata.sgs.29038/dados?formato=json</v>
      </c>
      <c r="O849">
        <v>6</v>
      </c>
      <c r="P849" t="s">
        <v>19</v>
      </c>
      <c r="Q849" t="s">
        <v>19</v>
      </c>
      <c r="R849" t="s">
        <v>118</v>
      </c>
      <c r="S849" t="s">
        <v>990</v>
      </c>
    </row>
    <row r="850" spans="1:19" x14ac:dyDescent="0.25">
      <c r="A850" s="1"/>
      <c r="B850" s="1">
        <v>29036</v>
      </c>
      <c r="C850" s="2" t="s">
        <v>511</v>
      </c>
      <c r="D850" s="1" t="s">
        <v>836</v>
      </c>
      <c r="E850" s="3" t="s">
        <v>0</v>
      </c>
      <c r="F850" s="4">
        <v>38412</v>
      </c>
      <c r="G850" s="5">
        <v>45566</v>
      </c>
      <c r="H850" s="6" t="s">
        <v>1</v>
      </c>
      <c r="I850" s="1" t="s">
        <v>2</v>
      </c>
      <c r="J850" s="7"/>
      <c r="K850" s="15" t="s">
        <v>989</v>
      </c>
      <c r="L850" t="s">
        <v>521</v>
      </c>
      <c r="M850" t="s">
        <v>15</v>
      </c>
      <c r="N850" t="str">
        <f t="shared" si="148"/>
        <v>https://api.bcb.gov.br/dados/serie/bcdata.sgs.29036/dados?formato=json</v>
      </c>
      <c r="O850">
        <v>6</v>
      </c>
      <c r="P850" t="s">
        <v>19</v>
      </c>
      <c r="Q850" t="s">
        <v>19</v>
      </c>
      <c r="R850" t="s">
        <v>991</v>
      </c>
      <c r="S850" t="s">
        <v>992</v>
      </c>
    </row>
    <row r="851" spans="1:19" x14ac:dyDescent="0.25">
      <c r="A851" s="8"/>
      <c r="B851" s="8">
        <v>29033</v>
      </c>
      <c r="C851" s="9" t="s">
        <v>512</v>
      </c>
      <c r="D851" s="8" t="s">
        <v>836</v>
      </c>
      <c r="E851" s="10" t="s">
        <v>0</v>
      </c>
      <c r="F851" s="11">
        <v>38412</v>
      </c>
      <c r="G851" s="12">
        <v>45566</v>
      </c>
      <c r="H851" s="13" t="s">
        <v>1</v>
      </c>
      <c r="I851" s="8" t="s">
        <v>2</v>
      </c>
      <c r="J851" s="14"/>
      <c r="K851" s="15" t="s">
        <v>989</v>
      </c>
      <c r="L851" t="s">
        <v>520</v>
      </c>
      <c r="M851" t="s">
        <v>15</v>
      </c>
      <c r="N851" t="str">
        <f t="shared" si="148"/>
        <v>https://api.bcb.gov.br/dados/serie/bcdata.sgs.29033/dados?formato=json</v>
      </c>
      <c r="O851">
        <v>6</v>
      </c>
      <c r="P851" t="s">
        <v>19</v>
      </c>
      <c r="Q851" t="s">
        <v>19</v>
      </c>
      <c r="R851" t="s">
        <v>991</v>
      </c>
      <c r="S851" t="s">
        <v>993</v>
      </c>
    </row>
    <row r="852" spans="1:19" x14ac:dyDescent="0.25">
      <c r="A852" s="1"/>
      <c r="B852" s="1">
        <v>29034</v>
      </c>
      <c r="C852" s="2" t="s">
        <v>513</v>
      </c>
      <c r="D852" s="1" t="s">
        <v>836</v>
      </c>
      <c r="E852" s="3" t="s">
        <v>0</v>
      </c>
      <c r="F852" s="4">
        <v>38412</v>
      </c>
      <c r="G852" s="5">
        <v>45566</v>
      </c>
      <c r="H852" s="6" t="s">
        <v>1</v>
      </c>
      <c r="I852" s="1" t="s">
        <v>2</v>
      </c>
      <c r="J852" s="7"/>
      <c r="K852" s="15" t="s">
        <v>989</v>
      </c>
      <c r="L852" t="s">
        <v>520</v>
      </c>
      <c r="M852" t="s">
        <v>15</v>
      </c>
      <c r="N852" t="str">
        <f t="shared" si="148"/>
        <v>https://api.bcb.gov.br/dados/serie/bcdata.sgs.29034/dados?formato=json</v>
      </c>
      <c r="O852">
        <v>6</v>
      </c>
      <c r="P852" t="s">
        <v>19</v>
      </c>
      <c r="Q852" t="s">
        <v>19</v>
      </c>
      <c r="R852" t="s">
        <v>991</v>
      </c>
      <c r="S852" t="s">
        <v>994</v>
      </c>
    </row>
    <row r="853" spans="1:19" x14ac:dyDescent="0.25">
      <c r="A853" s="8"/>
      <c r="B853" s="8">
        <v>29035</v>
      </c>
      <c r="C853" s="9" t="s">
        <v>514</v>
      </c>
      <c r="D853" s="8" t="s">
        <v>836</v>
      </c>
      <c r="E853" s="10" t="s">
        <v>0</v>
      </c>
      <c r="F853" s="11">
        <v>38412</v>
      </c>
      <c r="G853" s="12">
        <v>45566</v>
      </c>
      <c r="H853" s="13" t="s">
        <v>1</v>
      </c>
      <c r="I853" s="8" t="s">
        <v>2</v>
      </c>
      <c r="J853" s="14"/>
      <c r="K853" s="15" t="s">
        <v>989</v>
      </c>
      <c r="L853" t="s">
        <v>520</v>
      </c>
      <c r="M853" t="s">
        <v>15</v>
      </c>
      <c r="N853" t="str">
        <f t="shared" si="148"/>
        <v>https://api.bcb.gov.br/dados/serie/bcdata.sgs.29035/dados?formato=json</v>
      </c>
      <c r="O853">
        <v>6</v>
      </c>
      <c r="P853" t="s">
        <v>19</v>
      </c>
      <c r="Q853" t="s">
        <v>19</v>
      </c>
      <c r="R853" t="s">
        <v>991</v>
      </c>
      <c r="S853" t="s">
        <v>995</v>
      </c>
    </row>
    <row r="854" spans="1:19" x14ac:dyDescent="0.25">
      <c r="A854" s="1"/>
      <c r="B854" s="1">
        <v>29263</v>
      </c>
      <c r="C854" s="2" t="s">
        <v>515</v>
      </c>
      <c r="D854" s="1" t="s">
        <v>836</v>
      </c>
      <c r="E854" s="3" t="s">
        <v>0</v>
      </c>
      <c r="F854" s="4">
        <v>38412</v>
      </c>
      <c r="G854" s="5">
        <v>45566</v>
      </c>
      <c r="H854" s="6" t="s">
        <v>1</v>
      </c>
      <c r="I854" s="1" t="s">
        <v>2</v>
      </c>
      <c r="J854" s="7"/>
      <c r="K854" s="15" t="s">
        <v>989</v>
      </c>
      <c r="L854" t="s">
        <v>520</v>
      </c>
      <c r="M854" t="s">
        <v>15</v>
      </c>
      <c r="N854" t="str">
        <f t="shared" si="148"/>
        <v>https://api.bcb.gov.br/dados/serie/bcdata.sgs.29263/dados?formato=json</v>
      </c>
      <c r="O854">
        <v>6</v>
      </c>
      <c r="P854" t="s">
        <v>19</v>
      </c>
      <c r="Q854" t="s">
        <v>19</v>
      </c>
      <c r="R854" t="s">
        <v>996</v>
      </c>
      <c r="S854" t="s">
        <v>992</v>
      </c>
    </row>
    <row r="855" spans="1:19" x14ac:dyDescent="0.25">
      <c r="A855" s="8"/>
      <c r="B855" s="8">
        <v>29264</v>
      </c>
      <c r="C855" s="9" t="s">
        <v>516</v>
      </c>
      <c r="D855" s="8" t="s">
        <v>836</v>
      </c>
      <c r="E855" s="10" t="s">
        <v>0</v>
      </c>
      <c r="F855" s="11">
        <v>38412</v>
      </c>
      <c r="G855" s="12">
        <v>45566</v>
      </c>
      <c r="H855" s="13" t="s">
        <v>1</v>
      </c>
      <c r="I855" s="8" t="s">
        <v>2</v>
      </c>
      <c r="J855" s="14"/>
      <c r="K855" s="15" t="s">
        <v>989</v>
      </c>
      <c r="L855" t="s">
        <v>520</v>
      </c>
      <c r="M855" t="s">
        <v>15</v>
      </c>
      <c r="N855" t="str">
        <f t="shared" si="148"/>
        <v>https://api.bcb.gov.br/dados/serie/bcdata.sgs.29264/dados?formato=json</v>
      </c>
      <c r="O855">
        <v>6</v>
      </c>
      <c r="P855" t="s">
        <v>19</v>
      </c>
      <c r="Q855" t="s">
        <v>19</v>
      </c>
      <c r="R855" t="s">
        <v>996</v>
      </c>
      <c r="S855" t="s">
        <v>993</v>
      </c>
    </row>
    <row r="856" spans="1:19" x14ac:dyDescent="0.25">
      <c r="A856" s="1"/>
      <c r="B856" s="1">
        <v>29265</v>
      </c>
      <c r="C856" s="2" t="s">
        <v>517</v>
      </c>
      <c r="D856" s="1" t="s">
        <v>836</v>
      </c>
      <c r="E856" s="3" t="s">
        <v>0</v>
      </c>
      <c r="F856" s="4">
        <v>38412</v>
      </c>
      <c r="G856" s="5">
        <v>45566</v>
      </c>
      <c r="H856" s="6" t="s">
        <v>1</v>
      </c>
      <c r="I856" s="1" t="s">
        <v>2</v>
      </c>
      <c r="J856" s="7"/>
      <c r="K856" s="15" t="s">
        <v>989</v>
      </c>
      <c r="L856" t="s">
        <v>520</v>
      </c>
      <c r="M856" t="s">
        <v>15</v>
      </c>
      <c r="N856" t="str">
        <f t="shared" si="148"/>
        <v>https://api.bcb.gov.br/dados/serie/bcdata.sgs.29265/dados?formato=json</v>
      </c>
      <c r="O856">
        <v>6</v>
      </c>
      <c r="P856" t="s">
        <v>19</v>
      </c>
      <c r="Q856" t="s">
        <v>19</v>
      </c>
      <c r="R856" t="s">
        <v>996</v>
      </c>
      <c r="S856" t="s">
        <v>994</v>
      </c>
    </row>
    <row r="857" spans="1:19" x14ac:dyDescent="0.25">
      <c r="A857" s="8"/>
      <c r="B857" s="8">
        <v>29266</v>
      </c>
      <c r="C857" s="9" t="s">
        <v>518</v>
      </c>
      <c r="D857" s="8" t="s">
        <v>836</v>
      </c>
      <c r="E857" s="10" t="s">
        <v>0</v>
      </c>
      <c r="F857" s="11">
        <v>38412</v>
      </c>
      <c r="G857" s="12">
        <v>45566</v>
      </c>
      <c r="H857" s="13" t="s">
        <v>1</v>
      </c>
      <c r="I857" s="8" t="s">
        <v>2</v>
      </c>
      <c r="J857" s="14"/>
      <c r="K857" s="15" t="s">
        <v>989</v>
      </c>
      <c r="L857" t="s">
        <v>520</v>
      </c>
      <c r="M857" t="s">
        <v>15</v>
      </c>
      <c r="N857" t="str">
        <f t="shared" si="148"/>
        <v>https://api.bcb.gov.br/dados/serie/bcdata.sgs.29266/dados?formato=json</v>
      </c>
      <c r="O857">
        <v>6</v>
      </c>
      <c r="P857" t="s">
        <v>19</v>
      </c>
      <c r="Q857" t="s">
        <v>19</v>
      </c>
      <c r="R857" t="s">
        <v>996</v>
      </c>
      <c r="S857" t="s">
        <v>995</v>
      </c>
    </row>
    <row r="858" spans="1:19" x14ac:dyDescent="0.25">
      <c r="A858" s="1"/>
      <c r="B858" s="1">
        <v>21380</v>
      </c>
      <c r="C858" s="2" t="s">
        <v>522</v>
      </c>
      <c r="D858" s="1" t="s">
        <v>523</v>
      </c>
      <c r="E858" s="3" t="s">
        <v>524</v>
      </c>
      <c r="F858" s="4">
        <v>40603</v>
      </c>
      <c r="G858" s="1" t="s">
        <v>525</v>
      </c>
      <c r="H858" s="6" t="s">
        <v>526</v>
      </c>
      <c r="I858" s="1" t="s">
        <v>2</v>
      </c>
      <c r="J858" s="7"/>
      <c r="K858" s="15" t="s">
        <v>534</v>
      </c>
      <c r="L858" t="s">
        <v>535</v>
      </c>
      <c r="M858" t="s">
        <v>15</v>
      </c>
      <c r="N858" t="str">
        <f t="shared" ref="N858:N865" si="149">_xlfn.CONCAT("https://api.bcb.gov.br/dados/serie/bcdata.sgs.",B858,"/dados?formato=json")</f>
        <v>https://api.bcb.gov.br/dados/serie/bcdata.sgs.21380/dados?formato=json</v>
      </c>
      <c r="O858">
        <v>6</v>
      </c>
      <c r="P858" t="s">
        <v>19</v>
      </c>
      <c r="Q858" t="s">
        <v>19</v>
      </c>
      <c r="R858" t="s">
        <v>997</v>
      </c>
      <c r="S858" t="s">
        <v>998</v>
      </c>
    </row>
    <row r="859" spans="1:19" x14ac:dyDescent="0.25">
      <c r="A859" s="8"/>
      <c r="B859" s="8">
        <v>21381</v>
      </c>
      <c r="C859" s="9" t="s">
        <v>527</v>
      </c>
      <c r="D859" s="8" t="s">
        <v>523</v>
      </c>
      <c r="E859" s="10" t="s">
        <v>524</v>
      </c>
      <c r="F859" s="11">
        <v>40603</v>
      </c>
      <c r="G859" s="8" t="s">
        <v>525</v>
      </c>
      <c r="H859" s="13" t="s">
        <v>526</v>
      </c>
      <c r="I859" s="8" t="s">
        <v>2</v>
      </c>
      <c r="J859" s="14"/>
      <c r="K859" s="15" t="s">
        <v>534</v>
      </c>
      <c r="L859" t="s">
        <v>535</v>
      </c>
      <c r="M859" t="s">
        <v>15</v>
      </c>
      <c r="N859" t="str">
        <f t="shared" si="149"/>
        <v>https://api.bcb.gov.br/dados/serie/bcdata.sgs.21381/dados?formato=json</v>
      </c>
      <c r="O859">
        <v>6</v>
      </c>
      <c r="P859" t="s">
        <v>19</v>
      </c>
      <c r="Q859" t="s">
        <v>19</v>
      </c>
      <c r="R859" t="s">
        <v>999</v>
      </c>
      <c r="S859" t="s">
        <v>998</v>
      </c>
    </row>
    <row r="860" spans="1:19" x14ac:dyDescent="0.25">
      <c r="A860" s="1"/>
      <c r="B860" s="1">
        <v>21382</v>
      </c>
      <c r="C860" s="2" t="s">
        <v>528</v>
      </c>
      <c r="D860" s="1" t="s">
        <v>523</v>
      </c>
      <c r="E860" s="3" t="s">
        <v>524</v>
      </c>
      <c r="F860" s="4">
        <v>40603</v>
      </c>
      <c r="G860" s="1" t="s">
        <v>525</v>
      </c>
      <c r="H860" s="6" t="s">
        <v>526</v>
      </c>
      <c r="I860" s="1" t="s">
        <v>2</v>
      </c>
      <c r="J860" s="7"/>
      <c r="K860" s="15" t="s">
        <v>534</v>
      </c>
      <c r="L860" t="s">
        <v>535</v>
      </c>
      <c r="M860" t="s">
        <v>15</v>
      </c>
      <c r="N860" t="str">
        <f t="shared" si="149"/>
        <v>https://api.bcb.gov.br/dados/serie/bcdata.sgs.21382/dados?formato=json</v>
      </c>
      <c r="O860">
        <v>6</v>
      </c>
      <c r="P860" t="s">
        <v>19</v>
      </c>
      <c r="Q860" t="s">
        <v>19</v>
      </c>
      <c r="R860" t="s">
        <v>997</v>
      </c>
      <c r="S860" t="s">
        <v>1000</v>
      </c>
    </row>
    <row r="861" spans="1:19" x14ac:dyDescent="0.25">
      <c r="A861" s="8"/>
      <c r="B861" s="8">
        <v>21383</v>
      </c>
      <c r="C861" s="9" t="s">
        <v>529</v>
      </c>
      <c r="D861" s="8" t="s">
        <v>523</v>
      </c>
      <c r="E861" s="10" t="s">
        <v>524</v>
      </c>
      <c r="F861" s="11">
        <v>40603</v>
      </c>
      <c r="G861" s="8" t="s">
        <v>525</v>
      </c>
      <c r="H861" s="13" t="s">
        <v>526</v>
      </c>
      <c r="I861" s="8" t="s">
        <v>2</v>
      </c>
      <c r="J861" s="14"/>
      <c r="K861" s="15" t="s">
        <v>534</v>
      </c>
      <c r="L861" t="s">
        <v>535</v>
      </c>
      <c r="M861" t="s">
        <v>15</v>
      </c>
      <c r="N861" t="str">
        <f t="shared" si="149"/>
        <v>https://api.bcb.gov.br/dados/serie/bcdata.sgs.21383/dados?formato=json</v>
      </c>
      <c r="O861">
        <v>6</v>
      </c>
      <c r="P861" t="s">
        <v>19</v>
      </c>
      <c r="Q861" t="s">
        <v>19</v>
      </c>
      <c r="R861" t="s">
        <v>999</v>
      </c>
      <c r="S861" t="s">
        <v>1000</v>
      </c>
    </row>
    <row r="862" spans="1:19" x14ac:dyDescent="0.25">
      <c r="A862" s="1"/>
      <c r="B862" s="1">
        <v>21384</v>
      </c>
      <c r="C862" s="2" t="s">
        <v>530</v>
      </c>
      <c r="D862" s="1" t="s">
        <v>523</v>
      </c>
      <c r="E862" s="3" t="s">
        <v>524</v>
      </c>
      <c r="F862" s="4">
        <v>40603</v>
      </c>
      <c r="G862" s="1" t="s">
        <v>525</v>
      </c>
      <c r="H862" s="6" t="s">
        <v>526</v>
      </c>
      <c r="I862" s="1" t="s">
        <v>2</v>
      </c>
      <c r="J862" s="7"/>
      <c r="K862" s="15" t="s">
        <v>534</v>
      </c>
      <c r="L862" t="s">
        <v>535</v>
      </c>
      <c r="M862" t="s">
        <v>15</v>
      </c>
      <c r="N862" t="str">
        <f t="shared" si="149"/>
        <v>https://api.bcb.gov.br/dados/serie/bcdata.sgs.21384/dados?formato=json</v>
      </c>
      <c r="O862">
        <v>6</v>
      </c>
      <c r="P862" t="s">
        <v>19</v>
      </c>
      <c r="Q862" t="s">
        <v>19</v>
      </c>
      <c r="R862" t="s">
        <v>997</v>
      </c>
      <c r="S862" t="s">
        <v>1001</v>
      </c>
    </row>
    <row r="863" spans="1:19" x14ac:dyDescent="0.25">
      <c r="A863" s="8"/>
      <c r="B863" s="8">
        <v>21385</v>
      </c>
      <c r="C863" s="9" t="s">
        <v>531</v>
      </c>
      <c r="D863" s="8" t="s">
        <v>523</v>
      </c>
      <c r="E863" s="10" t="s">
        <v>524</v>
      </c>
      <c r="F863" s="11">
        <v>40603</v>
      </c>
      <c r="G863" s="8" t="s">
        <v>525</v>
      </c>
      <c r="H863" s="13" t="s">
        <v>526</v>
      </c>
      <c r="I863" s="8" t="s">
        <v>2</v>
      </c>
      <c r="J863" s="14"/>
      <c r="K863" s="15" t="s">
        <v>534</v>
      </c>
      <c r="L863" t="s">
        <v>535</v>
      </c>
      <c r="M863" t="s">
        <v>15</v>
      </c>
      <c r="N863" t="str">
        <f t="shared" si="149"/>
        <v>https://api.bcb.gov.br/dados/serie/bcdata.sgs.21385/dados?formato=json</v>
      </c>
      <c r="O863">
        <v>6</v>
      </c>
      <c r="P863" t="s">
        <v>19</v>
      </c>
      <c r="Q863" t="s">
        <v>19</v>
      </c>
      <c r="R863" t="s">
        <v>999</v>
      </c>
      <c r="S863" t="s">
        <v>1001</v>
      </c>
    </row>
    <row r="864" spans="1:19" x14ac:dyDescent="0.25">
      <c r="A864" s="1"/>
      <c r="B864" s="1">
        <v>21386</v>
      </c>
      <c r="C864" s="2" t="s">
        <v>532</v>
      </c>
      <c r="D864" s="1" t="s">
        <v>523</v>
      </c>
      <c r="E864" s="3" t="s">
        <v>524</v>
      </c>
      <c r="F864" s="4">
        <v>40603</v>
      </c>
      <c r="G864" s="1" t="s">
        <v>525</v>
      </c>
      <c r="H864" s="6" t="s">
        <v>526</v>
      </c>
      <c r="I864" s="1" t="s">
        <v>2</v>
      </c>
      <c r="J864" s="7"/>
      <c r="K864" s="15" t="s">
        <v>534</v>
      </c>
      <c r="L864" t="s">
        <v>535</v>
      </c>
      <c r="M864" t="s">
        <v>15</v>
      </c>
      <c r="N864" t="str">
        <f t="shared" si="149"/>
        <v>https://api.bcb.gov.br/dados/serie/bcdata.sgs.21386/dados?formato=json</v>
      </c>
      <c r="O864">
        <v>6</v>
      </c>
      <c r="P864" t="s">
        <v>19</v>
      </c>
      <c r="Q864" t="s">
        <v>19</v>
      </c>
      <c r="R864" t="s">
        <v>997</v>
      </c>
      <c r="S864" t="s">
        <v>1002</v>
      </c>
    </row>
    <row r="865" spans="1:19" x14ac:dyDescent="0.25">
      <c r="A865" s="8"/>
      <c r="B865" s="8">
        <v>21387</v>
      </c>
      <c r="C865" s="9" t="s">
        <v>533</v>
      </c>
      <c r="D865" s="8" t="s">
        <v>523</v>
      </c>
      <c r="E865" s="10" t="s">
        <v>524</v>
      </c>
      <c r="F865" s="11">
        <v>40603</v>
      </c>
      <c r="G865" s="8" t="s">
        <v>525</v>
      </c>
      <c r="H865" s="13" t="s">
        <v>526</v>
      </c>
      <c r="I865" s="8" t="s">
        <v>2</v>
      </c>
      <c r="J865" s="14"/>
      <c r="K865" s="15" t="s">
        <v>534</v>
      </c>
      <c r="L865" t="s">
        <v>535</v>
      </c>
      <c r="M865" t="s">
        <v>15</v>
      </c>
      <c r="N865" t="str">
        <f t="shared" si="149"/>
        <v>https://api.bcb.gov.br/dados/serie/bcdata.sgs.21387/dados?formato=json</v>
      </c>
      <c r="O865">
        <v>6</v>
      </c>
      <c r="P865" t="s">
        <v>19</v>
      </c>
      <c r="Q865" t="s">
        <v>19</v>
      </c>
      <c r="R865" t="s">
        <v>999</v>
      </c>
      <c r="S865" t="s">
        <v>1002</v>
      </c>
    </row>
    <row r="866" spans="1:19" x14ac:dyDescent="0.25">
      <c r="A866" s="1"/>
      <c r="B866" s="1">
        <v>21388</v>
      </c>
      <c r="C866" s="2" t="s">
        <v>536</v>
      </c>
      <c r="D866" s="1" t="s">
        <v>523</v>
      </c>
      <c r="E866" s="3" t="s">
        <v>524</v>
      </c>
      <c r="F866" s="4">
        <v>40603</v>
      </c>
      <c r="G866" s="1" t="s">
        <v>525</v>
      </c>
      <c r="H866" s="6" t="s">
        <v>526</v>
      </c>
      <c r="I866" s="1" t="s">
        <v>2</v>
      </c>
      <c r="J866" s="7"/>
      <c r="K866" s="15" t="s">
        <v>545</v>
      </c>
      <c r="L866" t="s">
        <v>544</v>
      </c>
      <c r="M866" t="s">
        <v>15</v>
      </c>
      <c r="N866" t="str">
        <f t="shared" ref="N866:N873" si="150">_xlfn.CONCAT("https://api.bcb.gov.br/dados/serie/bcdata.sgs.",B866,"/dados?formato=json")</f>
        <v>https://api.bcb.gov.br/dados/serie/bcdata.sgs.21388/dados?formato=json</v>
      </c>
      <c r="O866">
        <v>6</v>
      </c>
      <c r="P866" t="s">
        <v>19</v>
      </c>
      <c r="Q866" t="s">
        <v>19</v>
      </c>
      <c r="R866" t="s">
        <v>1003</v>
      </c>
      <c r="S866" t="s">
        <v>998</v>
      </c>
    </row>
    <row r="867" spans="1:19" x14ac:dyDescent="0.25">
      <c r="A867" s="8"/>
      <c r="B867" s="8">
        <v>21389</v>
      </c>
      <c r="C867" s="9" t="s">
        <v>537</v>
      </c>
      <c r="D867" s="8" t="s">
        <v>523</v>
      </c>
      <c r="E867" s="10" t="s">
        <v>524</v>
      </c>
      <c r="F867" s="11">
        <v>40603</v>
      </c>
      <c r="G867" s="8" t="s">
        <v>525</v>
      </c>
      <c r="H867" s="13" t="s">
        <v>526</v>
      </c>
      <c r="I867" s="8" t="s">
        <v>2</v>
      </c>
      <c r="J867" s="14"/>
      <c r="K867" s="15" t="s">
        <v>545</v>
      </c>
      <c r="L867" t="s">
        <v>544</v>
      </c>
      <c r="M867" t="s">
        <v>15</v>
      </c>
      <c r="N867" t="str">
        <f t="shared" si="150"/>
        <v>https://api.bcb.gov.br/dados/serie/bcdata.sgs.21389/dados?formato=json</v>
      </c>
      <c r="O867">
        <v>6</v>
      </c>
      <c r="P867" t="s">
        <v>19</v>
      </c>
      <c r="Q867" t="s">
        <v>19</v>
      </c>
      <c r="R867" t="s">
        <v>1004</v>
      </c>
      <c r="S867" t="s">
        <v>998</v>
      </c>
    </row>
    <row r="868" spans="1:19" x14ac:dyDescent="0.25">
      <c r="A868" s="1"/>
      <c r="B868" s="1">
        <v>21390</v>
      </c>
      <c r="C868" s="2" t="s">
        <v>538</v>
      </c>
      <c r="D868" s="1" t="s">
        <v>523</v>
      </c>
      <c r="E868" s="3" t="s">
        <v>524</v>
      </c>
      <c r="F868" s="4">
        <v>40603</v>
      </c>
      <c r="G868" s="1" t="s">
        <v>525</v>
      </c>
      <c r="H868" s="6" t="s">
        <v>526</v>
      </c>
      <c r="I868" s="1" t="s">
        <v>2</v>
      </c>
      <c r="J868" s="7"/>
      <c r="K868" s="15" t="s">
        <v>545</v>
      </c>
      <c r="L868" t="s">
        <v>544</v>
      </c>
      <c r="M868" t="s">
        <v>15</v>
      </c>
      <c r="N868" t="str">
        <f t="shared" si="150"/>
        <v>https://api.bcb.gov.br/dados/serie/bcdata.sgs.21390/dados?formato=json</v>
      </c>
      <c r="O868">
        <v>6</v>
      </c>
      <c r="P868" t="s">
        <v>19</v>
      </c>
      <c r="Q868" t="s">
        <v>19</v>
      </c>
      <c r="R868" t="s">
        <v>1003</v>
      </c>
      <c r="S868" t="s">
        <v>1000</v>
      </c>
    </row>
    <row r="869" spans="1:19" x14ac:dyDescent="0.25">
      <c r="A869" s="8"/>
      <c r="B869" s="8">
        <v>21391</v>
      </c>
      <c r="C869" s="9" t="s">
        <v>539</v>
      </c>
      <c r="D869" s="8" t="s">
        <v>523</v>
      </c>
      <c r="E869" s="10" t="s">
        <v>524</v>
      </c>
      <c r="F869" s="11">
        <v>40603</v>
      </c>
      <c r="G869" s="8" t="s">
        <v>525</v>
      </c>
      <c r="H869" s="13" t="s">
        <v>526</v>
      </c>
      <c r="I869" s="8" t="s">
        <v>2</v>
      </c>
      <c r="J869" s="14"/>
      <c r="K869" s="15" t="s">
        <v>545</v>
      </c>
      <c r="L869" t="s">
        <v>544</v>
      </c>
      <c r="M869" t="s">
        <v>15</v>
      </c>
      <c r="N869" t="str">
        <f t="shared" si="150"/>
        <v>https://api.bcb.gov.br/dados/serie/bcdata.sgs.21391/dados?formato=json</v>
      </c>
      <c r="O869">
        <v>6</v>
      </c>
      <c r="P869" t="s">
        <v>19</v>
      </c>
      <c r="Q869" t="s">
        <v>19</v>
      </c>
      <c r="R869" t="s">
        <v>1004</v>
      </c>
      <c r="S869" t="s">
        <v>1000</v>
      </c>
    </row>
    <row r="870" spans="1:19" x14ac:dyDescent="0.25">
      <c r="A870" s="1"/>
      <c r="B870" s="1">
        <v>21392</v>
      </c>
      <c r="C870" s="2" t="s">
        <v>540</v>
      </c>
      <c r="D870" s="1" t="s">
        <v>523</v>
      </c>
      <c r="E870" s="3" t="s">
        <v>524</v>
      </c>
      <c r="F870" s="4">
        <v>40603</v>
      </c>
      <c r="G870" s="1" t="s">
        <v>525</v>
      </c>
      <c r="H870" s="6" t="s">
        <v>526</v>
      </c>
      <c r="I870" s="1" t="s">
        <v>2</v>
      </c>
      <c r="J870" s="7"/>
      <c r="K870" s="15" t="s">
        <v>545</v>
      </c>
      <c r="L870" t="s">
        <v>544</v>
      </c>
      <c r="M870" t="s">
        <v>15</v>
      </c>
      <c r="N870" t="str">
        <f t="shared" si="150"/>
        <v>https://api.bcb.gov.br/dados/serie/bcdata.sgs.21392/dados?formato=json</v>
      </c>
      <c r="O870">
        <v>6</v>
      </c>
      <c r="P870" t="s">
        <v>19</v>
      </c>
      <c r="Q870" t="s">
        <v>19</v>
      </c>
      <c r="R870" t="s">
        <v>1003</v>
      </c>
      <c r="S870" t="s">
        <v>1001</v>
      </c>
    </row>
    <row r="871" spans="1:19" x14ac:dyDescent="0.25">
      <c r="A871" s="8"/>
      <c r="B871" s="8">
        <v>21393</v>
      </c>
      <c r="C871" s="9" t="s">
        <v>541</v>
      </c>
      <c r="D871" s="8" t="s">
        <v>523</v>
      </c>
      <c r="E871" s="10" t="s">
        <v>524</v>
      </c>
      <c r="F871" s="11">
        <v>40603</v>
      </c>
      <c r="G871" s="8" t="s">
        <v>525</v>
      </c>
      <c r="H871" s="13" t="s">
        <v>526</v>
      </c>
      <c r="I871" s="8" t="s">
        <v>2</v>
      </c>
      <c r="J871" s="14"/>
      <c r="K871" s="15" t="s">
        <v>545</v>
      </c>
      <c r="L871" t="s">
        <v>544</v>
      </c>
      <c r="M871" t="s">
        <v>15</v>
      </c>
      <c r="N871" t="str">
        <f t="shared" si="150"/>
        <v>https://api.bcb.gov.br/dados/serie/bcdata.sgs.21393/dados?formato=json</v>
      </c>
      <c r="O871">
        <v>6</v>
      </c>
      <c r="P871" t="s">
        <v>19</v>
      </c>
      <c r="Q871" t="s">
        <v>19</v>
      </c>
      <c r="R871" t="s">
        <v>1004</v>
      </c>
      <c r="S871" t="s">
        <v>1001</v>
      </c>
    </row>
    <row r="872" spans="1:19" x14ac:dyDescent="0.25">
      <c r="A872" s="1"/>
      <c r="B872" s="1">
        <v>21394</v>
      </c>
      <c r="C872" s="2" t="s">
        <v>542</v>
      </c>
      <c r="D872" s="1" t="s">
        <v>523</v>
      </c>
      <c r="E872" s="3" t="s">
        <v>524</v>
      </c>
      <c r="F872" s="4">
        <v>40603</v>
      </c>
      <c r="G872" s="1" t="s">
        <v>525</v>
      </c>
      <c r="H872" s="6" t="s">
        <v>526</v>
      </c>
      <c r="I872" s="1" t="s">
        <v>2</v>
      </c>
      <c r="J872" s="7"/>
      <c r="K872" s="15" t="s">
        <v>545</v>
      </c>
      <c r="L872" t="s">
        <v>544</v>
      </c>
      <c r="M872" t="s">
        <v>15</v>
      </c>
      <c r="N872" t="str">
        <f t="shared" si="150"/>
        <v>https://api.bcb.gov.br/dados/serie/bcdata.sgs.21394/dados?formato=json</v>
      </c>
      <c r="O872">
        <v>6</v>
      </c>
      <c r="P872" t="s">
        <v>19</v>
      </c>
      <c r="Q872" t="s">
        <v>19</v>
      </c>
      <c r="R872" t="s">
        <v>1003</v>
      </c>
      <c r="S872" t="s">
        <v>1002</v>
      </c>
    </row>
    <row r="873" spans="1:19" x14ac:dyDescent="0.25">
      <c r="A873" s="8"/>
      <c r="B873" s="8">
        <v>21395</v>
      </c>
      <c r="C873" s="9" t="s">
        <v>543</v>
      </c>
      <c r="D873" s="8" t="s">
        <v>523</v>
      </c>
      <c r="E873" s="10" t="s">
        <v>524</v>
      </c>
      <c r="F873" s="11">
        <v>40603</v>
      </c>
      <c r="G873" s="8" t="s">
        <v>525</v>
      </c>
      <c r="H873" s="13" t="s">
        <v>526</v>
      </c>
      <c r="I873" s="8" t="s">
        <v>2</v>
      </c>
      <c r="J873" s="14"/>
      <c r="K873" s="15" t="s">
        <v>545</v>
      </c>
      <c r="L873" t="s">
        <v>544</v>
      </c>
      <c r="M873" t="s">
        <v>15</v>
      </c>
      <c r="N873" t="str">
        <f t="shared" si="150"/>
        <v>https://api.bcb.gov.br/dados/serie/bcdata.sgs.21395/dados?formato=json</v>
      </c>
      <c r="O873">
        <v>6</v>
      </c>
      <c r="P873" t="s">
        <v>19</v>
      </c>
      <c r="Q873" t="s">
        <v>19</v>
      </c>
      <c r="R873" t="s">
        <v>1004</v>
      </c>
      <c r="S873" t="s">
        <v>1002</v>
      </c>
    </row>
    <row r="874" spans="1:19" x14ac:dyDescent="0.25">
      <c r="A874" s="1"/>
      <c r="B874" s="1">
        <v>28633</v>
      </c>
      <c r="C874" s="2" t="s">
        <v>580</v>
      </c>
      <c r="D874" s="1" t="s">
        <v>546</v>
      </c>
      <c r="E874" s="3" t="s">
        <v>0</v>
      </c>
      <c r="F874" s="4">
        <v>41791</v>
      </c>
      <c r="G874" s="5">
        <v>45566</v>
      </c>
      <c r="H874" s="6" t="s">
        <v>547</v>
      </c>
      <c r="I874" s="1" t="s">
        <v>2</v>
      </c>
      <c r="J874" s="7"/>
      <c r="K874" s="15" t="s">
        <v>549</v>
      </c>
      <c r="L874" t="s">
        <v>550</v>
      </c>
      <c r="M874" t="s">
        <v>15</v>
      </c>
      <c r="N874" t="str">
        <f t="shared" ref="N874:N903" si="151">_xlfn.CONCAT("https://api.bcb.gov.br/dados/serie/bcdata.sgs.",B874,"/dados?formato=json")</f>
        <v>https://api.bcb.gov.br/dados/serie/bcdata.sgs.28633/dados?formato=json</v>
      </c>
      <c r="O874">
        <v>6</v>
      </c>
      <c r="P874" t="s">
        <v>19</v>
      </c>
      <c r="Q874" t="s">
        <v>19</v>
      </c>
      <c r="R874" t="s">
        <v>1006</v>
      </c>
      <c r="S874" t="s">
        <v>1005</v>
      </c>
    </row>
    <row r="875" spans="1:19" x14ac:dyDescent="0.25">
      <c r="A875" s="8"/>
      <c r="B875" s="8">
        <v>28634</v>
      </c>
      <c r="C875" s="9" t="s">
        <v>581</v>
      </c>
      <c r="D875" s="8" t="s">
        <v>548</v>
      </c>
      <c r="E875" s="10" t="s">
        <v>0</v>
      </c>
      <c r="F875" s="11">
        <v>41791</v>
      </c>
      <c r="G875" s="12">
        <v>45566</v>
      </c>
      <c r="H875" s="13" t="s">
        <v>547</v>
      </c>
      <c r="I875" s="8" t="s">
        <v>2</v>
      </c>
      <c r="J875" s="14"/>
      <c r="K875" s="15" t="s">
        <v>549</v>
      </c>
      <c r="L875" t="s">
        <v>551</v>
      </c>
      <c r="M875" t="s">
        <v>15</v>
      </c>
      <c r="N875" t="str">
        <f t="shared" si="151"/>
        <v>https://api.bcb.gov.br/dados/serie/bcdata.sgs.28634/dados?formato=json</v>
      </c>
      <c r="O875">
        <v>6</v>
      </c>
      <c r="P875" t="s">
        <v>19</v>
      </c>
      <c r="Q875" t="s">
        <v>19</v>
      </c>
      <c r="R875" t="s">
        <v>1007</v>
      </c>
      <c r="S875" t="s">
        <v>1005</v>
      </c>
    </row>
    <row r="876" spans="1:19" x14ac:dyDescent="0.25">
      <c r="A876" s="1"/>
      <c r="B876" s="1">
        <v>28632</v>
      </c>
      <c r="C876" s="2" t="s">
        <v>582</v>
      </c>
      <c r="D876" s="1" t="s">
        <v>546</v>
      </c>
      <c r="E876" s="3" t="s">
        <v>0</v>
      </c>
      <c r="F876" s="4">
        <v>41791</v>
      </c>
      <c r="G876" s="5">
        <v>45566</v>
      </c>
      <c r="H876" s="6" t="s">
        <v>547</v>
      </c>
      <c r="I876" s="1" t="s">
        <v>2</v>
      </c>
      <c r="J876" s="7"/>
      <c r="K876" s="15" t="s">
        <v>549</v>
      </c>
      <c r="L876" t="s">
        <v>552</v>
      </c>
      <c r="M876" t="s">
        <v>15</v>
      </c>
      <c r="N876" t="str">
        <f t="shared" si="151"/>
        <v>https://api.bcb.gov.br/dados/serie/bcdata.sgs.28632/dados?formato=json</v>
      </c>
      <c r="O876">
        <v>6</v>
      </c>
      <c r="P876" t="s">
        <v>19</v>
      </c>
      <c r="Q876" t="s">
        <v>19</v>
      </c>
      <c r="R876" t="s">
        <v>1008</v>
      </c>
      <c r="S876" t="s">
        <v>1005</v>
      </c>
    </row>
    <row r="877" spans="1:19" x14ac:dyDescent="0.25">
      <c r="A877" s="8"/>
      <c r="B877" s="8">
        <v>28639</v>
      </c>
      <c r="C877" s="9" t="s">
        <v>583</v>
      </c>
      <c r="D877" s="8" t="s">
        <v>546</v>
      </c>
      <c r="E877" s="10" t="s">
        <v>0</v>
      </c>
      <c r="F877" s="11">
        <v>41791</v>
      </c>
      <c r="G877" s="12">
        <v>45566</v>
      </c>
      <c r="H877" s="13" t="s">
        <v>547</v>
      </c>
      <c r="I877" s="8" t="s">
        <v>2</v>
      </c>
      <c r="J877" s="14"/>
      <c r="K877" s="15" t="s">
        <v>549</v>
      </c>
      <c r="L877" t="s">
        <v>553</v>
      </c>
      <c r="M877" t="s">
        <v>15</v>
      </c>
      <c r="N877" t="str">
        <f t="shared" si="151"/>
        <v>https://api.bcb.gov.br/dados/serie/bcdata.sgs.28639/dados?formato=json</v>
      </c>
      <c r="O877">
        <v>6</v>
      </c>
      <c r="P877" t="s">
        <v>19</v>
      </c>
      <c r="Q877" t="s">
        <v>19</v>
      </c>
      <c r="R877" t="s">
        <v>1006</v>
      </c>
      <c r="S877" t="s">
        <v>883</v>
      </c>
    </row>
    <row r="878" spans="1:19" x14ac:dyDescent="0.25">
      <c r="A878" s="1"/>
      <c r="B878" s="1">
        <v>28640</v>
      </c>
      <c r="C878" s="2" t="s">
        <v>584</v>
      </c>
      <c r="D878" s="1" t="s">
        <v>548</v>
      </c>
      <c r="E878" s="3" t="s">
        <v>0</v>
      </c>
      <c r="F878" s="4">
        <v>41791</v>
      </c>
      <c r="G878" s="5">
        <v>45566</v>
      </c>
      <c r="H878" s="6" t="s">
        <v>547</v>
      </c>
      <c r="I878" s="1" t="s">
        <v>2</v>
      </c>
      <c r="J878" s="7"/>
      <c r="K878" s="15" t="s">
        <v>549</v>
      </c>
      <c r="L878" t="s">
        <v>554</v>
      </c>
      <c r="M878" t="s">
        <v>15</v>
      </c>
      <c r="N878" t="str">
        <f t="shared" si="151"/>
        <v>https://api.bcb.gov.br/dados/serie/bcdata.sgs.28640/dados?formato=json</v>
      </c>
      <c r="O878">
        <v>6</v>
      </c>
      <c r="P878" t="s">
        <v>19</v>
      </c>
      <c r="Q878" t="s">
        <v>19</v>
      </c>
      <c r="R878" t="s">
        <v>1007</v>
      </c>
      <c r="S878" t="s">
        <v>883</v>
      </c>
    </row>
    <row r="879" spans="1:19" x14ac:dyDescent="0.25">
      <c r="A879" s="8"/>
      <c r="B879" s="8">
        <v>28638</v>
      </c>
      <c r="C879" s="9" t="s">
        <v>585</v>
      </c>
      <c r="D879" s="8" t="s">
        <v>546</v>
      </c>
      <c r="E879" s="10" t="s">
        <v>0</v>
      </c>
      <c r="F879" s="11">
        <v>41791</v>
      </c>
      <c r="G879" s="12">
        <v>45566</v>
      </c>
      <c r="H879" s="13" t="s">
        <v>547</v>
      </c>
      <c r="I879" s="8" t="s">
        <v>2</v>
      </c>
      <c r="J879" s="14"/>
      <c r="K879" s="15" t="s">
        <v>549</v>
      </c>
      <c r="L879" t="s">
        <v>555</v>
      </c>
      <c r="M879" t="s">
        <v>15</v>
      </c>
      <c r="N879" t="str">
        <f t="shared" si="151"/>
        <v>https://api.bcb.gov.br/dados/serie/bcdata.sgs.28638/dados?formato=json</v>
      </c>
      <c r="O879">
        <v>6</v>
      </c>
      <c r="P879" t="s">
        <v>19</v>
      </c>
      <c r="Q879" t="s">
        <v>19</v>
      </c>
      <c r="R879" t="s">
        <v>1008</v>
      </c>
      <c r="S879" t="s">
        <v>883</v>
      </c>
    </row>
    <row r="880" spans="1:19" x14ac:dyDescent="0.25">
      <c r="A880" s="1"/>
      <c r="B880" s="1">
        <v>28636</v>
      </c>
      <c r="C880" s="2" t="s">
        <v>586</v>
      </c>
      <c r="D880" s="1" t="s">
        <v>546</v>
      </c>
      <c r="E880" s="3" t="s">
        <v>0</v>
      </c>
      <c r="F880" s="4">
        <v>41791</v>
      </c>
      <c r="G880" s="5">
        <v>45566</v>
      </c>
      <c r="H880" s="6" t="s">
        <v>547</v>
      </c>
      <c r="I880" s="1" t="s">
        <v>2</v>
      </c>
      <c r="J880" s="7"/>
      <c r="K880" s="15" t="s">
        <v>549</v>
      </c>
      <c r="L880" s="18" t="s">
        <v>556</v>
      </c>
      <c r="M880" t="s">
        <v>15</v>
      </c>
      <c r="N880" t="str">
        <f t="shared" si="151"/>
        <v>https://api.bcb.gov.br/dados/serie/bcdata.sgs.28636/dados?formato=json</v>
      </c>
      <c r="O880">
        <v>6</v>
      </c>
      <c r="P880" t="s">
        <v>19</v>
      </c>
      <c r="Q880" t="s">
        <v>19</v>
      </c>
      <c r="R880" t="s">
        <v>1006</v>
      </c>
      <c r="S880" t="s">
        <v>1009</v>
      </c>
    </row>
    <row r="881" spans="1:19" x14ac:dyDescent="0.25">
      <c r="A881" s="8"/>
      <c r="B881" s="8">
        <v>28637</v>
      </c>
      <c r="C881" s="9" t="s">
        <v>587</v>
      </c>
      <c r="D881" s="8" t="s">
        <v>548</v>
      </c>
      <c r="E881" s="10" t="s">
        <v>0</v>
      </c>
      <c r="F881" s="11">
        <v>41791</v>
      </c>
      <c r="G881" s="12">
        <v>45566</v>
      </c>
      <c r="H881" s="13" t="s">
        <v>547</v>
      </c>
      <c r="I881" s="8" t="s">
        <v>2</v>
      </c>
      <c r="J881" s="14"/>
      <c r="K881" s="15" t="s">
        <v>549</v>
      </c>
      <c r="L881" t="s">
        <v>557</v>
      </c>
      <c r="M881" t="s">
        <v>15</v>
      </c>
      <c r="N881" t="str">
        <f t="shared" si="151"/>
        <v>https://api.bcb.gov.br/dados/serie/bcdata.sgs.28637/dados?formato=json</v>
      </c>
      <c r="O881">
        <v>6</v>
      </c>
      <c r="P881" t="s">
        <v>19</v>
      </c>
      <c r="Q881" t="s">
        <v>19</v>
      </c>
      <c r="R881" t="s">
        <v>1007</v>
      </c>
      <c r="S881" t="s">
        <v>1009</v>
      </c>
    </row>
    <row r="882" spans="1:19" x14ac:dyDescent="0.25">
      <c r="A882" s="1"/>
      <c r="B882" s="1">
        <v>28635</v>
      </c>
      <c r="C882" s="2" t="s">
        <v>588</v>
      </c>
      <c r="D882" s="1" t="s">
        <v>546</v>
      </c>
      <c r="E882" s="3" t="s">
        <v>0</v>
      </c>
      <c r="F882" s="4">
        <v>41791</v>
      </c>
      <c r="G882" s="5">
        <v>45566</v>
      </c>
      <c r="H882" s="6" t="s">
        <v>547</v>
      </c>
      <c r="I882" s="1" t="s">
        <v>2</v>
      </c>
      <c r="J882" s="7"/>
      <c r="K882" s="15" t="s">
        <v>549</v>
      </c>
      <c r="L882" t="s">
        <v>558</v>
      </c>
      <c r="M882" t="s">
        <v>15</v>
      </c>
      <c r="N882" t="str">
        <f t="shared" si="151"/>
        <v>https://api.bcb.gov.br/dados/serie/bcdata.sgs.28635/dados?formato=json</v>
      </c>
      <c r="O882">
        <v>6</v>
      </c>
      <c r="P882" t="s">
        <v>19</v>
      </c>
      <c r="Q882" t="s">
        <v>19</v>
      </c>
      <c r="R882" t="s">
        <v>1008</v>
      </c>
      <c r="S882" t="s">
        <v>1009</v>
      </c>
    </row>
    <row r="883" spans="1:19" x14ac:dyDescent="0.25">
      <c r="A883" s="8"/>
      <c r="B883" s="8">
        <v>28624</v>
      </c>
      <c r="C883" s="9" t="s">
        <v>589</v>
      </c>
      <c r="D883" s="8" t="s">
        <v>546</v>
      </c>
      <c r="E883" s="10" t="s">
        <v>0</v>
      </c>
      <c r="F883" s="11">
        <v>41791</v>
      </c>
      <c r="G883" s="12">
        <v>45566</v>
      </c>
      <c r="H883" s="13" t="s">
        <v>547</v>
      </c>
      <c r="I883" s="8" t="s">
        <v>2</v>
      </c>
      <c r="J883" s="14"/>
      <c r="K883" s="15" t="s">
        <v>549</v>
      </c>
      <c r="L883" t="s">
        <v>559</v>
      </c>
      <c r="M883" t="s">
        <v>15</v>
      </c>
      <c r="N883" t="str">
        <f t="shared" si="151"/>
        <v>https://api.bcb.gov.br/dados/serie/bcdata.sgs.28624/dados?formato=json</v>
      </c>
      <c r="O883">
        <v>6</v>
      </c>
      <c r="P883" t="s">
        <v>19</v>
      </c>
      <c r="Q883" t="s">
        <v>19</v>
      </c>
      <c r="R883" t="s">
        <v>1006</v>
      </c>
      <c r="S883" t="s">
        <v>1010</v>
      </c>
    </row>
    <row r="884" spans="1:19" x14ac:dyDescent="0.25">
      <c r="A884" s="1"/>
      <c r="B884" s="1">
        <v>28625</v>
      </c>
      <c r="C884" s="2" t="s">
        <v>590</v>
      </c>
      <c r="D884" s="1" t="s">
        <v>548</v>
      </c>
      <c r="E884" s="3" t="s">
        <v>0</v>
      </c>
      <c r="F884" s="4">
        <v>41791</v>
      </c>
      <c r="G884" s="5">
        <v>45566</v>
      </c>
      <c r="H884" s="6" t="s">
        <v>547</v>
      </c>
      <c r="I884" s="1" t="s">
        <v>2</v>
      </c>
      <c r="J884" s="7"/>
      <c r="K884" s="15" t="s">
        <v>549</v>
      </c>
      <c r="L884" t="s">
        <v>560</v>
      </c>
      <c r="M884" t="s">
        <v>15</v>
      </c>
      <c r="N884" t="str">
        <f t="shared" si="151"/>
        <v>https://api.bcb.gov.br/dados/serie/bcdata.sgs.28625/dados?formato=json</v>
      </c>
      <c r="O884">
        <v>6</v>
      </c>
      <c r="P884" t="s">
        <v>19</v>
      </c>
      <c r="Q884" t="s">
        <v>19</v>
      </c>
      <c r="R884" t="s">
        <v>1007</v>
      </c>
      <c r="S884" t="s">
        <v>1010</v>
      </c>
    </row>
    <row r="885" spans="1:19" x14ac:dyDescent="0.25">
      <c r="A885" s="8"/>
      <c r="B885" s="8">
        <v>28623</v>
      </c>
      <c r="C885" s="9" t="s">
        <v>591</v>
      </c>
      <c r="D885" s="8" t="s">
        <v>546</v>
      </c>
      <c r="E885" s="10" t="s">
        <v>0</v>
      </c>
      <c r="F885" s="11">
        <v>41791</v>
      </c>
      <c r="G885" s="12">
        <v>45566</v>
      </c>
      <c r="H885" s="13" t="s">
        <v>547</v>
      </c>
      <c r="I885" s="8" t="s">
        <v>2</v>
      </c>
      <c r="J885" s="14"/>
      <c r="K885" s="15" t="s">
        <v>549</v>
      </c>
      <c r="L885" t="s">
        <v>561</v>
      </c>
      <c r="M885" t="s">
        <v>15</v>
      </c>
      <c r="N885" t="str">
        <f t="shared" si="151"/>
        <v>https://api.bcb.gov.br/dados/serie/bcdata.sgs.28623/dados?formato=json</v>
      </c>
      <c r="O885">
        <v>6</v>
      </c>
      <c r="P885" t="s">
        <v>19</v>
      </c>
      <c r="Q885" t="s">
        <v>19</v>
      </c>
      <c r="R885" t="s">
        <v>1008</v>
      </c>
      <c r="S885" t="s">
        <v>1010</v>
      </c>
    </row>
    <row r="886" spans="1:19" x14ac:dyDescent="0.25">
      <c r="A886" s="1"/>
      <c r="B886" s="1">
        <v>28627</v>
      </c>
      <c r="C886" s="2" t="s">
        <v>592</v>
      </c>
      <c r="D886" s="1" t="s">
        <v>546</v>
      </c>
      <c r="E886" s="3" t="s">
        <v>0</v>
      </c>
      <c r="F886" s="4">
        <v>41791</v>
      </c>
      <c r="G886" s="5">
        <v>45566</v>
      </c>
      <c r="H886" s="6" t="s">
        <v>547</v>
      </c>
      <c r="I886" s="1" t="s">
        <v>2</v>
      </c>
      <c r="J886" s="7"/>
      <c r="K886" s="15" t="s">
        <v>549</v>
      </c>
      <c r="L886" t="s">
        <v>562</v>
      </c>
      <c r="M886" t="s">
        <v>15</v>
      </c>
      <c r="N886" t="str">
        <f t="shared" si="151"/>
        <v>https://api.bcb.gov.br/dados/serie/bcdata.sgs.28627/dados?formato=json</v>
      </c>
      <c r="O886">
        <v>6</v>
      </c>
      <c r="P886" t="s">
        <v>19</v>
      </c>
      <c r="Q886" t="s">
        <v>19</v>
      </c>
      <c r="R886" t="s">
        <v>1006</v>
      </c>
      <c r="S886" t="s">
        <v>1011</v>
      </c>
    </row>
    <row r="887" spans="1:19" x14ac:dyDescent="0.25">
      <c r="A887" s="8"/>
      <c r="B887" s="8">
        <v>28628</v>
      </c>
      <c r="C887" s="9" t="s">
        <v>593</v>
      </c>
      <c r="D887" s="8" t="s">
        <v>548</v>
      </c>
      <c r="E887" s="10" t="s">
        <v>0</v>
      </c>
      <c r="F887" s="11">
        <v>41791</v>
      </c>
      <c r="G887" s="12">
        <v>45566</v>
      </c>
      <c r="H887" s="13" t="s">
        <v>547</v>
      </c>
      <c r="I887" s="8" t="s">
        <v>2</v>
      </c>
      <c r="J887" s="14"/>
      <c r="K887" s="15" t="s">
        <v>549</v>
      </c>
      <c r="L887" t="s">
        <v>563</v>
      </c>
      <c r="M887" t="s">
        <v>15</v>
      </c>
      <c r="N887" t="str">
        <f t="shared" si="151"/>
        <v>https://api.bcb.gov.br/dados/serie/bcdata.sgs.28628/dados?formato=json</v>
      </c>
      <c r="O887">
        <v>6</v>
      </c>
      <c r="P887" t="s">
        <v>19</v>
      </c>
      <c r="Q887" t="s">
        <v>19</v>
      </c>
      <c r="R887" t="s">
        <v>1007</v>
      </c>
      <c r="S887" t="s">
        <v>1011</v>
      </c>
    </row>
    <row r="888" spans="1:19" x14ac:dyDescent="0.25">
      <c r="A888" s="1"/>
      <c r="B888" s="1">
        <v>28626</v>
      </c>
      <c r="C888" s="2" t="s">
        <v>594</v>
      </c>
      <c r="D888" s="1" t="s">
        <v>546</v>
      </c>
      <c r="E888" s="3" t="s">
        <v>0</v>
      </c>
      <c r="F888" s="4">
        <v>41791</v>
      </c>
      <c r="G888" s="5">
        <v>45566</v>
      </c>
      <c r="H888" s="6" t="s">
        <v>547</v>
      </c>
      <c r="I888" s="1" t="s">
        <v>2</v>
      </c>
      <c r="J888" s="7"/>
      <c r="K888" s="15" t="s">
        <v>549</v>
      </c>
      <c r="L888" t="s">
        <v>564</v>
      </c>
      <c r="M888" t="s">
        <v>15</v>
      </c>
      <c r="N888" t="str">
        <f t="shared" si="151"/>
        <v>https://api.bcb.gov.br/dados/serie/bcdata.sgs.28626/dados?formato=json</v>
      </c>
      <c r="O888">
        <v>6</v>
      </c>
      <c r="P888" t="s">
        <v>19</v>
      </c>
      <c r="Q888" t="s">
        <v>19</v>
      </c>
      <c r="R888" t="s">
        <v>1008</v>
      </c>
      <c r="S888" t="s">
        <v>1011</v>
      </c>
    </row>
    <row r="889" spans="1:19" x14ac:dyDescent="0.25">
      <c r="A889" s="8"/>
      <c r="B889" s="8">
        <v>28630</v>
      </c>
      <c r="C889" s="9" t="s">
        <v>595</v>
      </c>
      <c r="D889" s="8" t="s">
        <v>546</v>
      </c>
      <c r="E889" s="10" t="s">
        <v>0</v>
      </c>
      <c r="F889" s="11">
        <v>41791</v>
      </c>
      <c r="G889" s="12">
        <v>45566</v>
      </c>
      <c r="H889" s="13" t="s">
        <v>547</v>
      </c>
      <c r="I889" s="8" t="s">
        <v>2</v>
      </c>
      <c r="J889" s="14"/>
      <c r="K889" s="15" t="s">
        <v>549</v>
      </c>
      <c r="L889" t="s">
        <v>565</v>
      </c>
      <c r="M889" t="s">
        <v>15</v>
      </c>
      <c r="N889" t="str">
        <f t="shared" si="151"/>
        <v>https://api.bcb.gov.br/dados/serie/bcdata.sgs.28630/dados?formato=json</v>
      </c>
      <c r="O889">
        <v>6</v>
      </c>
      <c r="P889" t="s">
        <v>19</v>
      </c>
      <c r="Q889" t="s">
        <v>19</v>
      </c>
      <c r="R889" t="s">
        <v>1006</v>
      </c>
      <c r="S889" t="s">
        <v>1012</v>
      </c>
    </row>
    <row r="890" spans="1:19" x14ac:dyDescent="0.25">
      <c r="A890" s="1"/>
      <c r="B890" s="1">
        <v>28631</v>
      </c>
      <c r="C890" s="2" t="s">
        <v>596</v>
      </c>
      <c r="D890" s="1" t="s">
        <v>548</v>
      </c>
      <c r="E890" s="3" t="s">
        <v>0</v>
      </c>
      <c r="F890" s="4">
        <v>41791</v>
      </c>
      <c r="G890" s="5">
        <v>45566</v>
      </c>
      <c r="H890" s="6" t="s">
        <v>547</v>
      </c>
      <c r="I890" s="1" t="s">
        <v>2</v>
      </c>
      <c r="J890" s="7"/>
      <c r="K890" s="15" t="s">
        <v>549</v>
      </c>
      <c r="L890" t="s">
        <v>566</v>
      </c>
      <c r="M890" t="s">
        <v>15</v>
      </c>
      <c r="N890" t="str">
        <f t="shared" si="151"/>
        <v>https://api.bcb.gov.br/dados/serie/bcdata.sgs.28631/dados?formato=json</v>
      </c>
      <c r="O890">
        <v>6</v>
      </c>
      <c r="P890" t="s">
        <v>19</v>
      </c>
      <c r="Q890" t="s">
        <v>19</v>
      </c>
      <c r="R890" t="s">
        <v>1007</v>
      </c>
      <c r="S890" t="s">
        <v>1012</v>
      </c>
    </row>
    <row r="891" spans="1:19" x14ac:dyDescent="0.25">
      <c r="A891" s="8"/>
      <c r="B891" s="8">
        <v>28629</v>
      </c>
      <c r="C891" s="9" t="s">
        <v>597</v>
      </c>
      <c r="D891" s="8" t="s">
        <v>546</v>
      </c>
      <c r="E891" s="10" t="s">
        <v>0</v>
      </c>
      <c r="F891" s="11">
        <v>41791</v>
      </c>
      <c r="G891" s="12">
        <v>45566</v>
      </c>
      <c r="H891" s="13" t="s">
        <v>547</v>
      </c>
      <c r="I891" s="8" t="s">
        <v>2</v>
      </c>
      <c r="J891" s="14"/>
      <c r="K891" s="15" t="s">
        <v>549</v>
      </c>
      <c r="L891" t="s">
        <v>567</v>
      </c>
      <c r="M891" t="s">
        <v>15</v>
      </c>
      <c r="N891" t="str">
        <f t="shared" si="151"/>
        <v>https://api.bcb.gov.br/dados/serie/bcdata.sgs.28629/dados?formato=json</v>
      </c>
      <c r="O891">
        <v>6</v>
      </c>
      <c r="P891" t="s">
        <v>19</v>
      </c>
      <c r="Q891" t="s">
        <v>19</v>
      </c>
      <c r="R891" t="s">
        <v>1008</v>
      </c>
      <c r="S891" t="s">
        <v>1012</v>
      </c>
    </row>
    <row r="892" spans="1:19" x14ac:dyDescent="0.25">
      <c r="A892" s="1"/>
      <c r="B892" s="1">
        <v>28648</v>
      </c>
      <c r="C892" s="2" t="s">
        <v>598</v>
      </c>
      <c r="D892" s="1" t="s">
        <v>546</v>
      </c>
      <c r="E892" s="3" t="s">
        <v>0</v>
      </c>
      <c r="F892" s="4">
        <v>41791</v>
      </c>
      <c r="G892" s="5">
        <v>45566</v>
      </c>
      <c r="H892" s="6" t="s">
        <v>547</v>
      </c>
      <c r="I892" s="1" t="s">
        <v>2</v>
      </c>
      <c r="J892" s="7"/>
      <c r="K892" s="15" t="s">
        <v>549</v>
      </c>
      <c r="L892" t="s">
        <v>568</v>
      </c>
      <c r="M892" t="s">
        <v>15</v>
      </c>
      <c r="N892" t="str">
        <f t="shared" si="151"/>
        <v>https://api.bcb.gov.br/dados/serie/bcdata.sgs.28648/dados?formato=json</v>
      </c>
      <c r="O892">
        <v>6</v>
      </c>
      <c r="P892" t="s">
        <v>19</v>
      </c>
      <c r="Q892" t="s">
        <v>19</v>
      </c>
      <c r="R892" t="s">
        <v>1006</v>
      </c>
      <c r="S892" t="s">
        <v>1013</v>
      </c>
    </row>
    <row r="893" spans="1:19" x14ac:dyDescent="0.25">
      <c r="A893" s="8"/>
      <c r="B893" s="8">
        <v>28649</v>
      </c>
      <c r="C893" s="9" t="s">
        <v>599</v>
      </c>
      <c r="D893" s="8" t="s">
        <v>548</v>
      </c>
      <c r="E893" s="10" t="s">
        <v>0</v>
      </c>
      <c r="F893" s="11">
        <v>41791</v>
      </c>
      <c r="G893" s="12">
        <v>45566</v>
      </c>
      <c r="H893" s="13" t="s">
        <v>547</v>
      </c>
      <c r="I893" s="8" t="s">
        <v>2</v>
      </c>
      <c r="J893" s="14"/>
      <c r="K893" s="15" t="s">
        <v>549</v>
      </c>
      <c r="L893" t="s">
        <v>569</v>
      </c>
      <c r="M893" t="s">
        <v>15</v>
      </c>
      <c r="N893" t="str">
        <f t="shared" si="151"/>
        <v>https://api.bcb.gov.br/dados/serie/bcdata.sgs.28649/dados?formato=json</v>
      </c>
      <c r="O893">
        <v>6</v>
      </c>
      <c r="P893" t="s">
        <v>19</v>
      </c>
      <c r="Q893" t="s">
        <v>19</v>
      </c>
      <c r="R893" t="s">
        <v>1007</v>
      </c>
      <c r="S893" t="s">
        <v>1013</v>
      </c>
    </row>
    <row r="894" spans="1:19" x14ac:dyDescent="0.25">
      <c r="A894" s="1"/>
      <c r="B894" s="1">
        <v>28647</v>
      </c>
      <c r="C894" s="2" t="s">
        <v>600</v>
      </c>
      <c r="D894" s="1" t="s">
        <v>546</v>
      </c>
      <c r="E894" s="3" t="s">
        <v>0</v>
      </c>
      <c r="F894" s="4">
        <v>41791</v>
      </c>
      <c r="G894" s="5">
        <v>45566</v>
      </c>
      <c r="H894" s="6" t="s">
        <v>547</v>
      </c>
      <c r="I894" s="1" t="s">
        <v>2</v>
      </c>
      <c r="J894" s="7"/>
      <c r="K894" s="15" t="s">
        <v>549</v>
      </c>
      <c r="L894" t="s">
        <v>570</v>
      </c>
      <c r="M894" t="s">
        <v>15</v>
      </c>
      <c r="N894" t="str">
        <f t="shared" si="151"/>
        <v>https://api.bcb.gov.br/dados/serie/bcdata.sgs.28647/dados?formato=json</v>
      </c>
      <c r="O894">
        <v>6</v>
      </c>
      <c r="P894" t="s">
        <v>19</v>
      </c>
      <c r="Q894" t="s">
        <v>19</v>
      </c>
      <c r="R894" t="s">
        <v>1008</v>
      </c>
      <c r="S894" t="s">
        <v>1013</v>
      </c>
    </row>
    <row r="895" spans="1:19" x14ac:dyDescent="0.25">
      <c r="A895" s="8"/>
      <c r="B895" s="8">
        <v>28642</v>
      </c>
      <c r="C895" s="9" t="s">
        <v>601</v>
      </c>
      <c r="D895" s="8" t="s">
        <v>546</v>
      </c>
      <c r="E895" s="10" t="s">
        <v>0</v>
      </c>
      <c r="F895" s="11">
        <v>41791</v>
      </c>
      <c r="G895" s="12">
        <v>45566</v>
      </c>
      <c r="H895" s="13" t="s">
        <v>547</v>
      </c>
      <c r="I895" s="8" t="s">
        <v>2</v>
      </c>
      <c r="J895" s="14"/>
      <c r="K895" s="15" t="s">
        <v>549</v>
      </c>
      <c r="L895" t="s">
        <v>571</v>
      </c>
      <c r="M895" t="s">
        <v>15</v>
      </c>
      <c r="N895" t="str">
        <f t="shared" si="151"/>
        <v>https://api.bcb.gov.br/dados/serie/bcdata.sgs.28642/dados?formato=json</v>
      </c>
      <c r="O895">
        <v>6</v>
      </c>
      <c r="P895" t="s">
        <v>19</v>
      </c>
      <c r="Q895" t="s">
        <v>19</v>
      </c>
      <c r="R895" t="s">
        <v>1006</v>
      </c>
      <c r="S895" t="s">
        <v>1014</v>
      </c>
    </row>
    <row r="896" spans="1:19" x14ac:dyDescent="0.25">
      <c r="A896" s="1"/>
      <c r="B896" s="1">
        <v>28643</v>
      </c>
      <c r="C896" s="2" t="s">
        <v>602</v>
      </c>
      <c r="D896" s="1" t="s">
        <v>548</v>
      </c>
      <c r="E896" s="3" t="s">
        <v>0</v>
      </c>
      <c r="F896" s="4">
        <v>41791</v>
      </c>
      <c r="G896" s="5">
        <v>45566</v>
      </c>
      <c r="H896" s="6" t="s">
        <v>547</v>
      </c>
      <c r="I896" s="1" t="s">
        <v>2</v>
      </c>
      <c r="J896" s="7"/>
      <c r="K896" s="15" t="s">
        <v>549</v>
      </c>
      <c r="L896" t="s">
        <v>572</v>
      </c>
      <c r="M896" t="s">
        <v>15</v>
      </c>
      <c r="N896" t="str">
        <f t="shared" si="151"/>
        <v>https://api.bcb.gov.br/dados/serie/bcdata.sgs.28643/dados?formato=json</v>
      </c>
      <c r="O896">
        <v>6</v>
      </c>
      <c r="P896" t="s">
        <v>19</v>
      </c>
      <c r="Q896" t="s">
        <v>19</v>
      </c>
      <c r="R896" t="s">
        <v>1007</v>
      </c>
      <c r="S896" t="s">
        <v>1014</v>
      </c>
    </row>
    <row r="897" spans="1:19" x14ac:dyDescent="0.25">
      <c r="A897" s="8"/>
      <c r="B897" s="8">
        <v>28641</v>
      </c>
      <c r="C897" s="9" t="s">
        <v>603</v>
      </c>
      <c r="D897" s="8" t="s">
        <v>546</v>
      </c>
      <c r="E897" s="10" t="s">
        <v>0</v>
      </c>
      <c r="F897" s="11">
        <v>41791</v>
      </c>
      <c r="G897" s="12">
        <v>45566</v>
      </c>
      <c r="H897" s="13" t="s">
        <v>547</v>
      </c>
      <c r="I897" s="8" t="s">
        <v>2</v>
      </c>
      <c r="J897" s="14"/>
      <c r="K897" s="15" t="s">
        <v>549</v>
      </c>
      <c r="L897" t="s">
        <v>573</v>
      </c>
      <c r="M897" t="s">
        <v>15</v>
      </c>
      <c r="N897" t="str">
        <f t="shared" si="151"/>
        <v>https://api.bcb.gov.br/dados/serie/bcdata.sgs.28641/dados?formato=json</v>
      </c>
      <c r="O897">
        <v>6</v>
      </c>
      <c r="P897" t="s">
        <v>19</v>
      </c>
      <c r="Q897" t="s">
        <v>19</v>
      </c>
      <c r="R897" t="s">
        <v>1008</v>
      </c>
      <c r="S897" t="s">
        <v>1014</v>
      </c>
    </row>
    <row r="898" spans="1:19" x14ac:dyDescent="0.25">
      <c r="A898" s="1"/>
      <c r="B898" s="1">
        <v>28645</v>
      </c>
      <c r="C898" s="2" t="s">
        <v>604</v>
      </c>
      <c r="D898" s="1" t="s">
        <v>546</v>
      </c>
      <c r="E898" s="3" t="s">
        <v>0</v>
      </c>
      <c r="F898" s="4">
        <v>41791</v>
      </c>
      <c r="G898" s="5">
        <v>45566</v>
      </c>
      <c r="H898" s="6" t="s">
        <v>547</v>
      </c>
      <c r="I898" s="1" t="s">
        <v>2</v>
      </c>
      <c r="J898" s="7"/>
      <c r="K898" s="15" t="s">
        <v>549</v>
      </c>
      <c r="L898" t="s">
        <v>574</v>
      </c>
      <c r="M898" t="s">
        <v>15</v>
      </c>
      <c r="N898" t="str">
        <f t="shared" si="151"/>
        <v>https://api.bcb.gov.br/dados/serie/bcdata.sgs.28645/dados?formato=json</v>
      </c>
      <c r="O898">
        <v>6</v>
      </c>
      <c r="P898" t="s">
        <v>19</v>
      </c>
      <c r="Q898" t="s">
        <v>19</v>
      </c>
      <c r="R898" t="s">
        <v>1006</v>
      </c>
      <c r="S898" t="s">
        <v>1015</v>
      </c>
    </row>
    <row r="899" spans="1:19" x14ac:dyDescent="0.25">
      <c r="A899" s="8"/>
      <c r="B899" s="8">
        <v>28646</v>
      </c>
      <c r="C899" s="9" t="s">
        <v>605</v>
      </c>
      <c r="D899" s="8" t="s">
        <v>548</v>
      </c>
      <c r="E899" s="10" t="s">
        <v>0</v>
      </c>
      <c r="F899" s="11">
        <v>41791</v>
      </c>
      <c r="G899" s="12">
        <v>45566</v>
      </c>
      <c r="H899" s="13" t="s">
        <v>547</v>
      </c>
      <c r="I899" s="8" t="s">
        <v>2</v>
      </c>
      <c r="J899" s="14"/>
      <c r="K899" s="15" t="s">
        <v>549</v>
      </c>
      <c r="L899" t="s">
        <v>575</v>
      </c>
      <c r="M899" t="s">
        <v>15</v>
      </c>
      <c r="N899" t="str">
        <f t="shared" si="151"/>
        <v>https://api.bcb.gov.br/dados/serie/bcdata.sgs.28646/dados?formato=json</v>
      </c>
      <c r="O899">
        <v>6</v>
      </c>
      <c r="P899" t="s">
        <v>19</v>
      </c>
      <c r="Q899" t="s">
        <v>19</v>
      </c>
      <c r="R899" t="s">
        <v>1007</v>
      </c>
      <c r="S899" t="s">
        <v>1015</v>
      </c>
    </row>
    <row r="900" spans="1:19" x14ac:dyDescent="0.25">
      <c r="A900" s="1"/>
      <c r="B900" s="1">
        <v>28644</v>
      </c>
      <c r="C900" s="2" t="s">
        <v>606</v>
      </c>
      <c r="D900" s="1" t="s">
        <v>546</v>
      </c>
      <c r="E900" s="3" t="s">
        <v>0</v>
      </c>
      <c r="F900" s="4">
        <v>41791</v>
      </c>
      <c r="G900" s="5">
        <v>45566</v>
      </c>
      <c r="H900" s="6" t="s">
        <v>547</v>
      </c>
      <c r="I900" s="1" t="s">
        <v>2</v>
      </c>
      <c r="J900" s="7"/>
      <c r="K900" s="15" t="s">
        <v>549</v>
      </c>
      <c r="L900" t="s">
        <v>576</v>
      </c>
      <c r="M900" t="s">
        <v>15</v>
      </c>
      <c r="N900" t="str">
        <f t="shared" si="151"/>
        <v>https://api.bcb.gov.br/dados/serie/bcdata.sgs.28644/dados?formato=json</v>
      </c>
      <c r="O900">
        <v>6</v>
      </c>
      <c r="P900" t="s">
        <v>19</v>
      </c>
      <c r="Q900" t="s">
        <v>19</v>
      </c>
      <c r="R900" t="s">
        <v>1008</v>
      </c>
      <c r="S900" t="s">
        <v>1015</v>
      </c>
    </row>
    <row r="901" spans="1:19" x14ac:dyDescent="0.25">
      <c r="A901" s="8"/>
      <c r="B901" s="8">
        <v>28651</v>
      </c>
      <c r="C901" s="9" t="s">
        <v>607</v>
      </c>
      <c r="D901" s="8" t="s">
        <v>546</v>
      </c>
      <c r="E901" s="10" t="s">
        <v>0</v>
      </c>
      <c r="F901" s="11">
        <v>41791</v>
      </c>
      <c r="G901" s="12">
        <v>45566</v>
      </c>
      <c r="H901" s="13" t="s">
        <v>547</v>
      </c>
      <c r="I901" s="8" t="s">
        <v>2</v>
      </c>
      <c r="J901" s="14"/>
      <c r="K901" s="15" t="s">
        <v>549</v>
      </c>
      <c r="L901" t="s">
        <v>577</v>
      </c>
      <c r="M901" t="s">
        <v>15</v>
      </c>
      <c r="N901" t="str">
        <f t="shared" si="151"/>
        <v>https://api.bcb.gov.br/dados/serie/bcdata.sgs.28651/dados?formato=json</v>
      </c>
      <c r="O901">
        <v>6</v>
      </c>
      <c r="P901" t="s">
        <v>19</v>
      </c>
      <c r="Q901" t="s">
        <v>19</v>
      </c>
      <c r="R901" t="s">
        <v>1006</v>
      </c>
      <c r="S901" t="s">
        <v>1016</v>
      </c>
    </row>
    <row r="902" spans="1:19" x14ac:dyDescent="0.25">
      <c r="A902" s="1"/>
      <c r="B902" s="1">
        <v>28652</v>
      </c>
      <c r="C902" s="2" t="s">
        <v>608</v>
      </c>
      <c r="D902" s="1" t="s">
        <v>548</v>
      </c>
      <c r="E902" s="3" t="s">
        <v>0</v>
      </c>
      <c r="F902" s="4">
        <v>41791</v>
      </c>
      <c r="G902" s="5">
        <v>45566</v>
      </c>
      <c r="H902" s="6" t="s">
        <v>547</v>
      </c>
      <c r="I902" s="1" t="s">
        <v>2</v>
      </c>
      <c r="J902" s="7"/>
      <c r="K902" s="15" t="s">
        <v>549</v>
      </c>
      <c r="L902" t="s">
        <v>578</v>
      </c>
      <c r="M902" t="s">
        <v>15</v>
      </c>
      <c r="N902" t="str">
        <f t="shared" si="151"/>
        <v>https://api.bcb.gov.br/dados/serie/bcdata.sgs.28652/dados?formato=json</v>
      </c>
      <c r="O902">
        <v>6</v>
      </c>
      <c r="P902" t="s">
        <v>19</v>
      </c>
      <c r="Q902" t="s">
        <v>19</v>
      </c>
      <c r="R902" t="s">
        <v>1007</v>
      </c>
      <c r="S902" t="s">
        <v>1016</v>
      </c>
    </row>
    <row r="903" spans="1:19" x14ac:dyDescent="0.25">
      <c r="A903" s="8"/>
      <c r="B903" s="8">
        <v>28650</v>
      </c>
      <c r="C903" s="9" t="s">
        <v>609</v>
      </c>
      <c r="D903" s="8" t="s">
        <v>546</v>
      </c>
      <c r="E903" s="10" t="s">
        <v>0</v>
      </c>
      <c r="F903" s="11">
        <v>41791</v>
      </c>
      <c r="G903" s="12">
        <v>45566</v>
      </c>
      <c r="H903" s="13" t="s">
        <v>547</v>
      </c>
      <c r="I903" s="8" t="s">
        <v>2</v>
      </c>
      <c r="J903" s="14"/>
      <c r="K903" s="15" t="s">
        <v>549</v>
      </c>
      <c r="L903" t="s">
        <v>579</v>
      </c>
      <c r="M903" t="s">
        <v>15</v>
      </c>
      <c r="N903" t="str">
        <f t="shared" si="151"/>
        <v>https://api.bcb.gov.br/dados/serie/bcdata.sgs.28650/dados?formato=json</v>
      </c>
      <c r="O903">
        <v>6</v>
      </c>
      <c r="P903" t="s">
        <v>19</v>
      </c>
      <c r="Q903" t="s">
        <v>19</v>
      </c>
      <c r="R903" t="s">
        <v>1008</v>
      </c>
      <c r="S903" t="s">
        <v>1016</v>
      </c>
    </row>
    <row r="904" spans="1:19" x14ac:dyDescent="0.25">
      <c r="A904" s="1"/>
      <c r="B904" s="1">
        <v>14002</v>
      </c>
      <c r="C904" s="2" t="s">
        <v>610</v>
      </c>
      <c r="D904" s="1" t="s">
        <v>25</v>
      </c>
      <c r="E904" s="3" t="s">
        <v>0</v>
      </c>
      <c r="F904" s="4">
        <v>37987</v>
      </c>
      <c r="G904" s="5">
        <v>45658</v>
      </c>
      <c r="H904" s="6" t="s">
        <v>611</v>
      </c>
      <c r="I904" s="1" t="s">
        <v>2</v>
      </c>
      <c r="J904" s="7"/>
      <c r="K904" s="15" t="s">
        <v>24</v>
      </c>
      <c r="L904" t="s">
        <v>617</v>
      </c>
      <c r="M904" t="s">
        <v>15</v>
      </c>
      <c r="N904" t="str">
        <f t="shared" ref="N904:N906" si="152">_xlfn.CONCAT("https://api.bcb.gov.br/dados/serie/bcdata.sgs.",B904,"/dados?formato=json")</f>
        <v>https://api.bcb.gov.br/dados/serie/bcdata.sgs.14002/dados?formato=json</v>
      </c>
      <c r="O904">
        <v>6</v>
      </c>
      <c r="P904" t="s">
        <v>619</v>
      </c>
      <c r="Q904" t="s">
        <v>620</v>
      </c>
      <c r="R904" t="s">
        <v>118</v>
      </c>
      <c r="S904" t="s">
        <v>621</v>
      </c>
    </row>
    <row r="905" spans="1:19" x14ac:dyDescent="0.25">
      <c r="A905" s="8"/>
      <c r="B905" s="8">
        <v>14029</v>
      </c>
      <c r="C905" s="9" t="s">
        <v>612</v>
      </c>
      <c r="D905" s="1" t="s">
        <v>25</v>
      </c>
      <c r="E905" s="10" t="s">
        <v>0</v>
      </c>
      <c r="F905" s="11">
        <v>37987</v>
      </c>
      <c r="G905" s="12">
        <v>45658</v>
      </c>
      <c r="H905" s="13" t="s">
        <v>611</v>
      </c>
      <c r="I905" s="8" t="s">
        <v>2</v>
      </c>
      <c r="J905" s="14"/>
      <c r="K905" s="15" t="s">
        <v>24</v>
      </c>
      <c r="L905" t="s">
        <v>617</v>
      </c>
      <c r="M905" t="s">
        <v>15</v>
      </c>
      <c r="N905" t="str">
        <f t="shared" si="152"/>
        <v>https://api.bcb.gov.br/dados/serie/bcdata.sgs.14029/dados?formato=json</v>
      </c>
      <c r="O905">
        <v>6</v>
      </c>
      <c r="P905" t="s">
        <v>619</v>
      </c>
      <c r="Q905" t="s">
        <v>620</v>
      </c>
      <c r="R905" t="s">
        <v>118</v>
      </c>
      <c r="S905" t="s">
        <v>622</v>
      </c>
    </row>
    <row r="906" spans="1:19" x14ac:dyDescent="0.25">
      <c r="A906" s="1"/>
      <c r="B906" s="1">
        <v>14056</v>
      </c>
      <c r="C906" s="2" t="s">
        <v>613</v>
      </c>
      <c r="D906" s="1" t="s">
        <v>25</v>
      </c>
      <c r="E906" s="3" t="s">
        <v>0</v>
      </c>
      <c r="F906" s="4">
        <v>37987</v>
      </c>
      <c r="G906" s="5">
        <v>45658</v>
      </c>
      <c r="H906" s="6" t="s">
        <v>611</v>
      </c>
      <c r="I906" s="1" t="s">
        <v>2</v>
      </c>
      <c r="J906" s="7"/>
      <c r="K906" s="15" t="s">
        <v>24</v>
      </c>
      <c r="L906" t="s">
        <v>617</v>
      </c>
      <c r="M906" t="s">
        <v>15</v>
      </c>
      <c r="N906" t="str">
        <f t="shared" si="152"/>
        <v>https://api.bcb.gov.br/dados/serie/bcdata.sgs.14056/dados?formato=json</v>
      </c>
      <c r="O906">
        <v>6</v>
      </c>
      <c r="P906" t="s">
        <v>619</v>
      </c>
      <c r="Q906" t="s">
        <v>620</v>
      </c>
      <c r="R906" t="s">
        <v>118</v>
      </c>
      <c r="S906" t="s">
        <v>118</v>
      </c>
    </row>
    <row r="907" spans="1:19" x14ac:dyDescent="0.25">
      <c r="A907" s="8"/>
      <c r="B907" s="8">
        <v>15861</v>
      </c>
      <c r="C907" s="9" t="s">
        <v>614</v>
      </c>
      <c r="D907" s="8" t="s">
        <v>835</v>
      </c>
      <c r="E907" s="10" t="s">
        <v>0</v>
      </c>
      <c r="F907" s="11">
        <v>37987</v>
      </c>
      <c r="G907" s="12">
        <v>45658</v>
      </c>
      <c r="H907" s="13" t="s">
        <v>611</v>
      </c>
      <c r="I907" s="8" t="s">
        <v>2</v>
      </c>
      <c r="J907" s="14"/>
      <c r="K907" s="15" t="s">
        <v>480</v>
      </c>
      <c r="L907" t="s">
        <v>618</v>
      </c>
      <c r="M907" t="s">
        <v>15</v>
      </c>
      <c r="N907" t="str">
        <f t="shared" ref="N907:N912" si="153">_xlfn.CONCAT("https://api.bcb.gov.br/dados/serie/bcdata.sgs.",B907,"/dados?formato=json")</f>
        <v>https://api.bcb.gov.br/dados/serie/bcdata.sgs.15861/dados?formato=json</v>
      </c>
      <c r="O907">
        <v>6</v>
      </c>
      <c r="P907" t="s">
        <v>619</v>
      </c>
      <c r="Q907" t="s">
        <v>620</v>
      </c>
      <c r="R907" t="s">
        <v>118</v>
      </c>
      <c r="S907" t="s">
        <v>621</v>
      </c>
    </row>
    <row r="908" spans="1:19" x14ac:dyDescent="0.25">
      <c r="A908" s="1"/>
      <c r="B908" s="1">
        <v>15893</v>
      </c>
      <c r="C908" s="2" t="s">
        <v>615</v>
      </c>
      <c r="D908" s="1" t="s">
        <v>835</v>
      </c>
      <c r="E908" s="3" t="s">
        <v>0</v>
      </c>
      <c r="F908" s="4">
        <v>37987</v>
      </c>
      <c r="G908" s="5">
        <v>45658</v>
      </c>
      <c r="H908" s="6" t="s">
        <v>611</v>
      </c>
      <c r="I908" s="1" t="s">
        <v>2</v>
      </c>
      <c r="J908" s="7"/>
      <c r="K908" s="15" t="s">
        <v>480</v>
      </c>
      <c r="L908" t="s">
        <v>618</v>
      </c>
      <c r="M908" t="s">
        <v>15</v>
      </c>
      <c r="N908" t="str">
        <f t="shared" si="153"/>
        <v>https://api.bcb.gov.br/dados/serie/bcdata.sgs.15893/dados?formato=json</v>
      </c>
      <c r="O908">
        <v>6</v>
      </c>
      <c r="P908" t="s">
        <v>619</v>
      </c>
      <c r="Q908" t="s">
        <v>620</v>
      </c>
      <c r="R908" t="s">
        <v>118</v>
      </c>
      <c r="S908" t="s">
        <v>622</v>
      </c>
    </row>
    <row r="909" spans="1:19" x14ac:dyDescent="0.25">
      <c r="A909" s="8"/>
      <c r="B909" s="8">
        <v>15925</v>
      </c>
      <c r="C909" s="9" t="s">
        <v>616</v>
      </c>
      <c r="D909" s="8" t="s">
        <v>835</v>
      </c>
      <c r="E909" s="10" t="s">
        <v>0</v>
      </c>
      <c r="F909" s="11">
        <v>37987</v>
      </c>
      <c r="G909" s="12">
        <v>45658</v>
      </c>
      <c r="H909" s="13" t="s">
        <v>611</v>
      </c>
      <c r="I909" s="8" t="s">
        <v>2</v>
      </c>
      <c r="J909" s="14"/>
      <c r="K909" s="15" t="s">
        <v>480</v>
      </c>
      <c r="L909" t="s">
        <v>618</v>
      </c>
      <c r="M909" t="s">
        <v>15</v>
      </c>
      <c r="N909" t="str">
        <f t="shared" si="153"/>
        <v>https://api.bcb.gov.br/dados/serie/bcdata.sgs.15925/dados?formato=json</v>
      </c>
      <c r="O909">
        <v>6</v>
      </c>
      <c r="P909" t="s">
        <v>619</v>
      </c>
      <c r="Q909" t="s">
        <v>620</v>
      </c>
      <c r="R909" t="s">
        <v>118</v>
      </c>
      <c r="S909" t="s">
        <v>118</v>
      </c>
    </row>
    <row r="910" spans="1:19" x14ac:dyDescent="0.25">
      <c r="A910" s="1"/>
      <c r="B910" s="1">
        <v>14004</v>
      </c>
      <c r="C910" s="2" t="s">
        <v>623</v>
      </c>
      <c r="D910" s="1" t="s">
        <v>25</v>
      </c>
      <c r="E910" s="3" t="s">
        <v>0</v>
      </c>
      <c r="F910" s="4">
        <v>37987</v>
      </c>
      <c r="G910" s="5">
        <v>45658</v>
      </c>
      <c r="H910" s="6" t="s">
        <v>611</v>
      </c>
      <c r="I910" s="1" t="s">
        <v>2</v>
      </c>
      <c r="J910" s="7"/>
      <c r="K910" s="15" t="s">
        <v>24</v>
      </c>
      <c r="L910" t="s">
        <v>617</v>
      </c>
      <c r="M910" t="s">
        <v>15</v>
      </c>
      <c r="N910" t="str">
        <f t="shared" si="153"/>
        <v>https://api.bcb.gov.br/dados/serie/bcdata.sgs.14004/dados?formato=json</v>
      </c>
      <c r="O910">
        <v>6</v>
      </c>
      <c r="P910" t="s">
        <v>619</v>
      </c>
      <c r="Q910" t="s">
        <v>629</v>
      </c>
      <c r="R910" t="s">
        <v>118</v>
      </c>
      <c r="S910" t="s">
        <v>621</v>
      </c>
    </row>
    <row r="911" spans="1:19" x14ac:dyDescent="0.25">
      <c r="A911" s="8"/>
      <c r="B911" s="8">
        <v>14031</v>
      </c>
      <c r="C911" s="9" t="s">
        <v>624</v>
      </c>
      <c r="D911" s="1" t="s">
        <v>25</v>
      </c>
      <c r="E911" s="10" t="s">
        <v>0</v>
      </c>
      <c r="F911" s="11">
        <v>37987</v>
      </c>
      <c r="G911" s="12">
        <v>45658</v>
      </c>
      <c r="H911" s="13" t="s">
        <v>611</v>
      </c>
      <c r="I911" s="8" t="s">
        <v>2</v>
      </c>
      <c r="J911" s="14"/>
      <c r="K911" s="15" t="s">
        <v>24</v>
      </c>
      <c r="L911" t="s">
        <v>617</v>
      </c>
      <c r="M911" t="s">
        <v>15</v>
      </c>
      <c r="N911" t="str">
        <f t="shared" si="153"/>
        <v>https://api.bcb.gov.br/dados/serie/bcdata.sgs.14031/dados?formato=json</v>
      </c>
      <c r="O911">
        <v>6</v>
      </c>
      <c r="P911" t="s">
        <v>619</v>
      </c>
      <c r="Q911" t="s">
        <v>629</v>
      </c>
      <c r="R911" t="s">
        <v>118</v>
      </c>
      <c r="S911" t="s">
        <v>622</v>
      </c>
    </row>
    <row r="912" spans="1:19" x14ac:dyDescent="0.25">
      <c r="A912" s="1"/>
      <c r="B912" s="1">
        <v>14058</v>
      </c>
      <c r="C912" s="2" t="s">
        <v>625</v>
      </c>
      <c r="D912" s="1" t="s">
        <v>25</v>
      </c>
      <c r="E912" s="3" t="s">
        <v>0</v>
      </c>
      <c r="F912" s="4">
        <v>37987</v>
      </c>
      <c r="G912" s="5">
        <v>45658</v>
      </c>
      <c r="H912" s="6" t="s">
        <v>611</v>
      </c>
      <c r="I912" s="1" t="s">
        <v>2</v>
      </c>
      <c r="J912" s="7"/>
      <c r="K912" s="15" t="s">
        <v>24</v>
      </c>
      <c r="L912" t="s">
        <v>617</v>
      </c>
      <c r="M912" t="s">
        <v>15</v>
      </c>
      <c r="N912" t="str">
        <f t="shared" si="153"/>
        <v>https://api.bcb.gov.br/dados/serie/bcdata.sgs.14058/dados?formato=json</v>
      </c>
      <c r="O912">
        <v>6</v>
      </c>
      <c r="P912" t="s">
        <v>619</v>
      </c>
      <c r="Q912" t="s">
        <v>629</v>
      </c>
      <c r="R912" t="s">
        <v>118</v>
      </c>
      <c r="S912" t="s">
        <v>118</v>
      </c>
    </row>
    <row r="913" spans="1:19" x14ac:dyDescent="0.25">
      <c r="A913" s="8"/>
      <c r="B913" s="8">
        <v>15863</v>
      </c>
      <c r="C913" s="9" t="s">
        <v>626</v>
      </c>
      <c r="D913" s="8" t="s">
        <v>835</v>
      </c>
      <c r="E913" s="10" t="s">
        <v>0</v>
      </c>
      <c r="F913" s="11">
        <v>37987</v>
      </c>
      <c r="G913" s="12">
        <v>45658</v>
      </c>
      <c r="H913" s="13" t="s">
        <v>611</v>
      </c>
      <c r="I913" s="8" t="s">
        <v>2</v>
      </c>
      <c r="J913" s="14"/>
      <c r="K913" s="15" t="s">
        <v>480</v>
      </c>
      <c r="L913" t="s">
        <v>618</v>
      </c>
      <c r="M913" t="s">
        <v>15</v>
      </c>
      <c r="N913" t="str">
        <f t="shared" ref="N913:N918" si="154">_xlfn.CONCAT("https://api.bcb.gov.br/dados/serie/bcdata.sgs.",B913,"/dados?formato=json")</f>
        <v>https://api.bcb.gov.br/dados/serie/bcdata.sgs.15863/dados?formato=json</v>
      </c>
      <c r="O913">
        <v>6</v>
      </c>
      <c r="P913" t="s">
        <v>619</v>
      </c>
      <c r="Q913" t="s">
        <v>629</v>
      </c>
      <c r="R913" t="s">
        <v>118</v>
      </c>
      <c r="S913" t="s">
        <v>621</v>
      </c>
    </row>
    <row r="914" spans="1:19" x14ac:dyDescent="0.25">
      <c r="A914" s="1"/>
      <c r="B914" s="1">
        <v>15895</v>
      </c>
      <c r="C914" s="2" t="s">
        <v>627</v>
      </c>
      <c r="D914" s="1" t="s">
        <v>835</v>
      </c>
      <c r="E914" s="3" t="s">
        <v>0</v>
      </c>
      <c r="F914" s="4">
        <v>37987</v>
      </c>
      <c r="G914" s="5">
        <v>45658</v>
      </c>
      <c r="H914" s="6" t="s">
        <v>611</v>
      </c>
      <c r="I914" s="1" t="s">
        <v>2</v>
      </c>
      <c r="J914" s="7"/>
      <c r="K914" s="15" t="s">
        <v>480</v>
      </c>
      <c r="L914" t="s">
        <v>618</v>
      </c>
      <c r="M914" t="s">
        <v>15</v>
      </c>
      <c r="N914" t="str">
        <f t="shared" si="154"/>
        <v>https://api.bcb.gov.br/dados/serie/bcdata.sgs.15895/dados?formato=json</v>
      </c>
      <c r="O914">
        <v>6</v>
      </c>
      <c r="P914" t="s">
        <v>619</v>
      </c>
      <c r="Q914" t="s">
        <v>629</v>
      </c>
      <c r="R914" t="s">
        <v>118</v>
      </c>
      <c r="S914" t="s">
        <v>622</v>
      </c>
    </row>
    <row r="915" spans="1:19" x14ac:dyDescent="0.25">
      <c r="A915" s="8"/>
      <c r="B915" s="8">
        <v>15927</v>
      </c>
      <c r="C915" s="9" t="s">
        <v>628</v>
      </c>
      <c r="D915" s="8" t="s">
        <v>835</v>
      </c>
      <c r="E915" s="10" t="s">
        <v>0</v>
      </c>
      <c r="F915" s="11">
        <v>37987</v>
      </c>
      <c r="G915" s="12">
        <v>45658</v>
      </c>
      <c r="H915" s="13" t="s">
        <v>611</v>
      </c>
      <c r="I915" s="8" t="s">
        <v>2</v>
      </c>
      <c r="J915" s="14"/>
      <c r="K915" s="15" t="s">
        <v>480</v>
      </c>
      <c r="L915" t="s">
        <v>618</v>
      </c>
      <c r="M915" t="s">
        <v>15</v>
      </c>
      <c r="N915" t="str">
        <f t="shared" si="154"/>
        <v>https://api.bcb.gov.br/dados/serie/bcdata.sgs.15927/dados?formato=json</v>
      </c>
      <c r="O915">
        <v>6</v>
      </c>
      <c r="P915" t="s">
        <v>619</v>
      </c>
      <c r="Q915" t="s">
        <v>629</v>
      </c>
      <c r="R915" t="s">
        <v>118</v>
      </c>
      <c r="S915" t="s">
        <v>118</v>
      </c>
    </row>
    <row r="916" spans="1:19" x14ac:dyDescent="0.25">
      <c r="A916" s="1"/>
      <c r="B916" s="1">
        <v>14005</v>
      </c>
      <c r="C916" s="2" t="s">
        <v>630</v>
      </c>
      <c r="D916" s="1" t="s">
        <v>25</v>
      </c>
      <c r="E916" s="3" t="s">
        <v>0</v>
      </c>
      <c r="F916" s="4">
        <v>37987</v>
      </c>
      <c r="G916" s="5">
        <v>45658</v>
      </c>
      <c r="H916" s="6" t="s">
        <v>611</v>
      </c>
      <c r="I916" s="1" t="s">
        <v>2</v>
      </c>
      <c r="J916" s="7"/>
      <c r="K916" s="15" t="s">
        <v>24</v>
      </c>
      <c r="L916" t="s">
        <v>617</v>
      </c>
      <c r="M916" t="s">
        <v>15</v>
      </c>
      <c r="N916" t="str">
        <f t="shared" si="154"/>
        <v>https://api.bcb.gov.br/dados/serie/bcdata.sgs.14005/dados?formato=json</v>
      </c>
      <c r="O916">
        <v>6</v>
      </c>
      <c r="P916" t="s">
        <v>619</v>
      </c>
      <c r="Q916" t="s">
        <v>636</v>
      </c>
      <c r="R916" t="s">
        <v>118</v>
      </c>
      <c r="S916" t="s">
        <v>621</v>
      </c>
    </row>
    <row r="917" spans="1:19" x14ac:dyDescent="0.25">
      <c r="A917" s="8"/>
      <c r="B917" s="8">
        <v>14032</v>
      </c>
      <c r="C917" s="9" t="s">
        <v>631</v>
      </c>
      <c r="D917" s="1" t="s">
        <v>25</v>
      </c>
      <c r="E917" s="10" t="s">
        <v>0</v>
      </c>
      <c r="F917" s="11">
        <v>37987</v>
      </c>
      <c r="G917" s="12">
        <v>45658</v>
      </c>
      <c r="H917" s="13" t="s">
        <v>611</v>
      </c>
      <c r="I917" s="8" t="s">
        <v>2</v>
      </c>
      <c r="J917" s="14"/>
      <c r="K917" s="15" t="s">
        <v>24</v>
      </c>
      <c r="L917" t="s">
        <v>617</v>
      </c>
      <c r="M917" t="s">
        <v>15</v>
      </c>
      <c r="N917" t="str">
        <f t="shared" si="154"/>
        <v>https://api.bcb.gov.br/dados/serie/bcdata.sgs.14032/dados?formato=json</v>
      </c>
      <c r="O917">
        <v>6</v>
      </c>
      <c r="P917" t="s">
        <v>619</v>
      </c>
      <c r="Q917" t="s">
        <v>636</v>
      </c>
      <c r="R917" t="s">
        <v>118</v>
      </c>
      <c r="S917" t="s">
        <v>622</v>
      </c>
    </row>
    <row r="918" spans="1:19" x14ac:dyDescent="0.25">
      <c r="A918" s="1"/>
      <c r="B918" s="1">
        <v>14059</v>
      </c>
      <c r="C918" s="2" t="s">
        <v>632</v>
      </c>
      <c r="D918" s="1" t="s">
        <v>25</v>
      </c>
      <c r="E918" s="3" t="s">
        <v>0</v>
      </c>
      <c r="F918" s="4">
        <v>37987</v>
      </c>
      <c r="G918" s="5">
        <v>45658</v>
      </c>
      <c r="H918" s="6" t="s">
        <v>611</v>
      </c>
      <c r="I918" s="1" t="s">
        <v>2</v>
      </c>
      <c r="J918" s="7"/>
      <c r="K918" s="15" t="s">
        <v>24</v>
      </c>
      <c r="L918" t="s">
        <v>617</v>
      </c>
      <c r="M918" t="s">
        <v>15</v>
      </c>
      <c r="N918" t="str">
        <f t="shared" si="154"/>
        <v>https://api.bcb.gov.br/dados/serie/bcdata.sgs.14059/dados?formato=json</v>
      </c>
      <c r="O918">
        <v>6</v>
      </c>
      <c r="P918" t="s">
        <v>619</v>
      </c>
      <c r="Q918" t="s">
        <v>636</v>
      </c>
      <c r="R918" t="s">
        <v>118</v>
      </c>
      <c r="S918" t="s">
        <v>118</v>
      </c>
    </row>
    <row r="919" spans="1:19" x14ac:dyDescent="0.25">
      <c r="A919" s="8"/>
      <c r="B919" s="8">
        <v>15864</v>
      </c>
      <c r="C919" s="9" t="s">
        <v>633</v>
      </c>
      <c r="D919" s="8" t="s">
        <v>835</v>
      </c>
      <c r="E919" s="10" t="s">
        <v>0</v>
      </c>
      <c r="F919" s="11">
        <v>37987</v>
      </c>
      <c r="G919" s="12">
        <v>45658</v>
      </c>
      <c r="H919" s="13" t="s">
        <v>611</v>
      </c>
      <c r="I919" s="8" t="s">
        <v>2</v>
      </c>
      <c r="J919" s="14"/>
      <c r="K919" s="15" t="s">
        <v>480</v>
      </c>
      <c r="L919" t="s">
        <v>618</v>
      </c>
      <c r="M919" t="s">
        <v>15</v>
      </c>
      <c r="N919" t="str">
        <f t="shared" ref="N919:N924" si="155">_xlfn.CONCAT("https://api.bcb.gov.br/dados/serie/bcdata.sgs.",B919,"/dados?formato=json")</f>
        <v>https://api.bcb.gov.br/dados/serie/bcdata.sgs.15864/dados?formato=json</v>
      </c>
      <c r="O919">
        <v>6</v>
      </c>
      <c r="P919" t="s">
        <v>619</v>
      </c>
      <c r="Q919" t="s">
        <v>636</v>
      </c>
      <c r="R919" t="s">
        <v>118</v>
      </c>
      <c r="S919" t="s">
        <v>621</v>
      </c>
    </row>
    <row r="920" spans="1:19" x14ac:dyDescent="0.25">
      <c r="A920" s="1"/>
      <c r="B920" s="1">
        <v>15896</v>
      </c>
      <c r="C920" s="2" t="s">
        <v>634</v>
      </c>
      <c r="D920" s="1" t="s">
        <v>835</v>
      </c>
      <c r="E920" s="3" t="s">
        <v>0</v>
      </c>
      <c r="F920" s="4">
        <v>37987</v>
      </c>
      <c r="G920" s="5">
        <v>45658</v>
      </c>
      <c r="H920" s="6" t="s">
        <v>611</v>
      </c>
      <c r="I920" s="1" t="s">
        <v>2</v>
      </c>
      <c r="J920" s="7"/>
      <c r="K920" s="15" t="s">
        <v>480</v>
      </c>
      <c r="L920" t="s">
        <v>618</v>
      </c>
      <c r="M920" t="s">
        <v>15</v>
      </c>
      <c r="N920" t="str">
        <f t="shared" si="155"/>
        <v>https://api.bcb.gov.br/dados/serie/bcdata.sgs.15896/dados?formato=json</v>
      </c>
      <c r="O920">
        <v>6</v>
      </c>
      <c r="P920" t="s">
        <v>619</v>
      </c>
      <c r="Q920" t="s">
        <v>636</v>
      </c>
      <c r="R920" t="s">
        <v>118</v>
      </c>
      <c r="S920" t="s">
        <v>622</v>
      </c>
    </row>
    <row r="921" spans="1:19" x14ac:dyDescent="0.25">
      <c r="A921" s="8"/>
      <c r="B921" s="8">
        <v>15928</v>
      </c>
      <c r="C921" s="9" t="s">
        <v>635</v>
      </c>
      <c r="D921" s="8" t="s">
        <v>835</v>
      </c>
      <c r="E921" s="10" t="s">
        <v>0</v>
      </c>
      <c r="F921" s="11">
        <v>37987</v>
      </c>
      <c r="G921" s="12">
        <v>45658</v>
      </c>
      <c r="H921" s="13" t="s">
        <v>611</v>
      </c>
      <c r="I921" s="8" t="s">
        <v>2</v>
      </c>
      <c r="J921" s="14"/>
      <c r="K921" s="15" t="s">
        <v>480</v>
      </c>
      <c r="L921" t="s">
        <v>618</v>
      </c>
      <c r="M921" t="s">
        <v>15</v>
      </c>
      <c r="N921" t="str">
        <f t="shared" si="155"/>
        <v>https://api.bcb.gov.br/dados/serie/bcdata.sgs.15928/dados?formato=json</v>
      </c>
      <c r="O921">
        <v>6</v>
      </c>
      <c r="P921" t="s">
        <v>619</v>
      </c>
      <c r="Q921" t="s">
        <v>636</v>
      </c>
      <c r="R921" t="s">
        <v>118</v>
      </c>
      <c r="S921" t="s">
        <v>118</v>
      </c>
    </row>
    <row r="922" spans="1:19" x14ac:dyDescent="0.25">
      <c r="A922" s="1"/>
      <c r="B922" s="1">
        <v>14015</v>
      </c>
      <c r="C922" s="2" t="s">
        <v>637</v>
      </c>
      <c r="D922" s="1" t="s">
        <v>25</v>
      </c>
      <c r="E922" s="3" t="s">
        <v>0</v>
      </c>
      <c r="F922" s="4">
        <v>37987</v>
      </c>
      <c r="G922" s="5">
        <v>45658</v>
      </c>
      <c r="H922" s="6" t="s">
        <v>611</v>
      </c>
      <c r="I922" s="1" t="s">
        <v>2</v>
      </c>
      <c r="J922" s="7"/>
      <c r="K922" s="15" t="s">
        <v>24</v>
      </c>
      <c r="L922" t="s">
        <v>617</v>
      </c>
      <c r="M922" t="s">
        <v>15</v>
      </c>
      <c r="N922" t="str">
        <f t="shared" si="155"/>
        <v>https://api.bcb.gov.br/dados/serie/bcdata.sgs.14015/dados?formato=json</v>
      </c>
      <c r="O922">
        <v>6</v>
      </c>
      <c r="P922" t="s">
        <v>619</v>
      </c>
      <c r="Q922" t="s">
        <v>643</v>
      </c>
      <c r="R922" t="s">
        <v>118</v>
      </c>
      <c r="S922" t="s">
        <v>621</v>
      </c>
    </row>
    <row r="923" spans="1:19" x14ac:dyDescent="0.25">
      <c r="A923" s="8"/>
      <c r="B923" s="8">
        <v>14042</v>
      </c>
      <c r="C923" s="9" t="s">
        <v>638</v>
      </c>
      <c r="D923" s="1" t="s">
        <v>25</v>
      </c>
      <c r="E923" s="10" t="s">
        <v>0</v>
      </c>
      <c r="F923" s="11">
        <v>37987</v>
      </c>
      <c r="G923" s="12">
        <v>45658</v>
      </c>
      <c r="H923" s="13" t="s">
        <v>611</v>
      </c>
      <c r="I923" s="8" t="s">
        <v>2</v>
      </c>
      <c r="J923" s="14"/>
      <c r="K923" s="15" t="s">
        <v>24</v>
      </c>
      <c r="L923" t="s">
        <v>617</v>
      </c>
      <c r="M923" t="s">
        <v>15</v>
      </c>
      <c r="N923" t="str">
        <f t="shared" si="155"/>
        <v>https://api.bcb.gov.br/dados/serie/bcdata.sgs.14042/dados?formato=json</v>
      </c>
      <c r="O923">
        <v>6</v>
      </c>
      <c r="P923" t="s">
        <v>619</v>
      </c>
      <c r="Q923" t="s">
        <v>643</v>
      </c>
      <c r="R923" t="s">
        <v>118</v>
      </c>
      <c r="S923" t="s">
        <v>622</v>
      </c>
    </row>
    <row r="924" spans="1:19" x14ac:dyDescent="0.25">
      <c r="A924" s="1"/>
      <c r="B924" s="1">
        <v>14069</v>
      </c>
      <c r="C924" s="2" t="s">
        <v>639</v>
      </c>
      <c r="D924" s="1" t="s">
        <v>25</v>
      </c>
      <c r="E924" s="3" t="s">
        <v>0</v>
      </c>
      <c r="F924" s="4">
        <v>37987</v>
      </c>
      <c r="G924" s="5">
        <v>45658</v>
      </c>
      <c r="H924" s="6" t="s">
        <v>611</v>
      </c>
      <c r="I924" s="1" t="s">
        <v>2</v>
      </c>
      <c r="J924" s="7"/>
      <c r="K924" s="15" t="s">
        <v>24</v>
      </c>
      <c r="L924" t="s">
        <v>617</v>
      </c>
      <c r="M924" t="s">
        <v>15</v>
      </c>
      <c r="N924" t="str">
        <f t="shared" si="155"/>
        <v>https://api.bcb.gov.br/dados/serie/bcdata.sgs.14069/dados?formato=json</v>
      </c>
      <c r="O924">
        <v>6</v>
      </c>
      <c r="P924" t="s">
        <v>619</v>
      </c>
      <c r="Q924" t="s">
        <v>643</v>
      </c>
      <c r="R924" t="s">
        <v>118</v>
      </c>
      <c r="S924" t="s">
        <v>118</v>
      </c>
    </row>
    <row r="925" spans="1:19" x14ac:dyDescent="0.25">
      <c r="A925" s="8"/>
      <c r="B925" s="8">
        <v>15874</v>
      </c>
      <c r="C925" s="9" t="s">
        <v>640</v>
      </c>
      <c r="D925" s="8" t="s">
        <v>835</v>
      </c>
      <c r="E925" s="10" t="s">
        <v>0</v>
      </c>
      <c r="F925" s="11">
        <v>37987</v>
      </c>
      <c r="G925" s="12">
        <v>45658</v>
      </c>
      <c r="H925" s="13" t="s">
        <v>611</v>
      </c>
      <c r="I925" s="8" t="s">
        <v>2</v>
      </c>
      <c r="J925" s="14"/>
      <c r="K925" s="15" t="s">
        <v>480</v>
      </c>
      <c r="L925" t="s">
        <v>618</v>
      </c>
      <c r="M925" t="s">
        <v>15</v>
      </c>
      <c r="N925" t="str">
        <f t="shared" ref="N925:N930" si="156">_xlfn.CONCAT("https://api.bcb.gov.br/dados/serie/bcdata.sgs.",B925,"/dados?formato=json")</f>
        <v>https://api.bcb.gov.br/dados/serie/bcdata.sgs.15874/dados?formato=json</v>
      </c>
      <c r="O925">
        <v>6</v>
      </c>
      <c r="P925" t="s">
        <v>619</v>
      </c>
      <c r="Q925" t="s">
        <v>643</v>
      </c>
      <c r="R925" t="s">
        <v>118</v>
      </c>
      <c r="S925" t="s">
        <v>621</v>
      </c>
    </row>
    <row r="926" spans="1:19" x14ac:dyDescent="0.25">
      <c r="A926" s="1"/>
      <c r="B926" s="1">
        <v>15906</v>
      </c>
      <c r="C926" s="2" t="s">
        <v>641</v>
      </c>
      <c r="D926" s="1" t="s">
        <v>835</v>
      </c>
      <c r="E926" s="3" t="s">
        <v>0</v>
      </c>
      <c r="F926" s="4">
        <v>37987</v>
      </c>
      <c r="G926" s="5">
        <v>45658</v>
      </c>
      <c r="H926" s="6" t="s">
        <v>611</v>
      </c>
      <c r="I926" s="1" t="s">
        <v>2</v>
      </c>
      <c r="J926" s="7"/>
      <c r="K926" s="15" t="s">
        <v>480</v>
      </c>
      <c r="L926" t="s">
        <v>618</v>
      </c>
      <c r="M926" t="s">
        <v>15</v>
      </c>
      <c r="N926" t="str">
        <f t="shared" si="156"/>
        <v>https://api.bcb.gov.br/dados/serie/bcdata.sgs.15906/dados?formato=json</v>
      </c>
      <c r="O926">
        <v>6</v>
      </c>
      <c r="P926" t="s">
        <v>619</v>
      </c>
      <c r="Q926" t="s">
        <v>643</v>
      </c>
      <c r="R926" t="s">
        <v>118</v>
      </c>
      <c r="S926" t="s">
        <v>622</v>
      </c>
    </row>
    <row r="927" spans="1:19" x14ac:dyDescent="0.25">
      <c r="A927" s="8"/>
      <c r="B927" s="8">
        <v>15938</v>
      </c>
      <c r="C927" s="9" t="s">
        <v>642</v>
      </c>
      <c r="D927" s="8" t="s">
        <v>835</v>
      </c>
      <c r="E927" s="10" t="s">
        <v>0</v>
      </c>
      <c r="F927" s="11">
        <v>37987</v>
      </c>
      <c r="G927" s="12">
        <v>45658</v>
      </c>
      <c r="H927" s="13" t="s">
        <v>611</v>
      </c>
      <c r="I927" s="8" t="s">
        <v>2</v>
      </c>
      <c r="J927" s="14"/>
      <c r="K927" s="15" t="s">
        <v>480</v>
      </c>
      <c r="L927" t="s">
        <v>618</v>
      </c>
      <c r="M927" t="s">
        <v>15</v>
      </c>
      <c r="N927" t="str">
        <f t="shared" si="156"/>
        <v>https://api.bcb.gov.br/dados/serie/bcdata.sgs.15938/dados?formato=json</v>
      </c>
      <c r="O927">
        <v>6</v>
      </c>
      <c r="P927" t="s">
        <v>619</v>
      </c>
      <c r="Q927" t="s">
        <v>643</v>
      </c>
      <c r="R927" t="s">
        <v>118</v>
      </c>
      <c r="S927" t="s">
        <v>118</v>
      </c>
    </row>
    <row r="928" spans="1:19" x14ac:dyDescent="0.25">
      <c r="A928" s="1"/>
      <c r="B928" s="1">
        <v>14023</v>
      </c>
      <c r="C928" s="2" t="s">
        <v>644</v>
      </c>
      <c r="D928" s="1" t="s">
        <v>25</v>
      </c>
      <c r="E928" s="3" t="s">
        <v>0</v>
      </c>
      <c r="F928" s="4">
        <v>37987</v>
      </c>
      <c r="G928" s="5">
        <v>45658</v>
      </c>
      <c r="H928" s="6" t="s">
        <v>611</v>
      </c>
      <c r="I928" s="1" t="s">
        <v>2</v>
      </c>
      <c r="J928" s="7"/>
      <c r="K928" s="15" t="s">
        <v>24</v>
      </c>
      <c r="L928" t="s">
        <v>617</v>
      </c>
      <c r="M928" t="s">
        <v>15</v>
      </c>
      <c r="N928" t="str">
        <f t="shared" si="156"/>
        <v>https://api.bcb.gov.br/dados/serie/bcdata.sgs.14023/dados?formato=json</v>
      </c>
      <c r="O928">
        <v>6</v>
      </c>
      <c r="P928" t="s">
        <v>619</v>
      </c>
      <c r="Q928" t="s">
        <v>657</v>
      </c>
      <c r="R928" t="s">
        <v>118</v>
      </c>
      <c r="S928" t="s">
        <v>621</v>
      </c>
    </row>
    <row r="929" spans="1:19" x14ac:dyDescent="0.25">
      <c r="A929" s="8"/>
      <c r="B929" s="8">
        <v>14050</v>
      </c>
      <c r="C929" s="9" t="s">
        <v>645</v>
      </c>
      <c r="D929" s="1" t="s">
        <v>25</v>
      </c>
      <c r="E929" s="10" t="s">
        <v>0</v>
      </c>
      <c r="F929" s="11">
        <v>37987</v>
      </c>
      <c r="G929" s="12">
        <v>45658</v>
      </c>
      <c r="H929" s="13" t="s">
        <v>611</v>
      </c>
      <c r="I929" s="8" t="s">
        <v>2</v>
      </c>
      <c r="J929" s="14"/>
      <c r="K929" s="15" t="s">
        <v>24</v>
      </c>
      <c r="L929" t="s">
        <v>617</v>
      </c>
      <c r="M929" t="s">
        <v>15</v>
      </c>
      <c r="N929" t="str">
        <f t="shared" si="156"/>
        <v>https://api.bcb.gov.br/dados/serie/bcdata.sgs.14050/dados?formato=json</v>
      </c>
      <c r="O929">
        <v>6</v>
      </c>
      <c r="P929" t="s">
        <v>619</v>
      </c>
      <c r="Q929" t="s">
        <v>657</v>
      </c>
      <c r="R929" t="s">
        <v>118</v>
      </c>
      <c r="S929" t="s">
        <v>622</v>
      </c>
    </row>
    <row r="930" spans="1:19" x14ac:dyDescent="0.25">
      <c r="A930" s="1"/>
      <c r="B930" s="1">
        <v>14077</v>
      </c>
      <c r="C930" s="2" t="s">
        <v>646</v>
      </c>
      <c r="D930" s="1" t="s">
        <v>25</v>
      </c>
      <c r="E930" s="3" t="s">
        <v>0</v>
      </c>
      <c r="F930" s="4">
        <v>37987</v>
      </c>
      <c r="G930" s="5">
        <v>45658</v>
      </c>
      <c r="H930" s="6" t="s">
        <v>611</v>
      </c>
      <c r="I930" s="1" t="s">
        <v>2</v>
      </c>
      <c r="J930" s="7"/>
      <c r="K930" s="15" t="s">
        <v>24</v>
      </c>
      <c r="L930" t="s">
        <v>617</v>
      </c>
      <c r="M930" t="s">
        <v>15</v>
      </c>
      <c r="N930" t="str">
        <f t="shared" si="156"/>
        <v>https://api.bcb.gov.br/dados/serie/bcdata.sgs.14077/dados?formato=json</v>
      </c>
      <c r="O930">
        <v>6</v>
      </c>
      <c r="P930" t="s">
        <v>619</v>
      </c>
      <c r="Q930" t="s">
        <v>657</v>
      </c>
      <c r="R930" t="s">
        <v>118</v>
      </c>
      <c r="S930" t="s">
        <v>118</v>
      </c>
    </row>
    <row r="931" spans="1:19" x14ac:dyDescent="0.25">
      <c r="A931" s="8"/>
      <c r="B931" s="8">
        <v>15882</v>
      </c>
      <c r="C931" s="9" t="s">
        <v>647</v>
      </c>
      <c r="D931" s="8" t="s">
        <v>835</v>
      </c>
      <c r="E931" s="10" t="s">
        <v>0</v>
      </c>
      <c r="F931" s="11">
        <v>37987</v>
      </c>
      <c r="G931" s="12">
        <v>45658</v>
      </c>
      <c r="H931" s="13" t="s">
        <v>611</v>
      </c>
      <c r="I931" s="8" t="s">
        <v>2</v>
      </c>
      <c r="J931" s="14"/>
      <c r="K931" s="15" t="s">
        <v>480</v>
      </c>
      <c r="L931" t="s">
        <v>618</v>
      </c>
      <c r="M931" t="s">
        <v>15</v>
      </c>
      <c r="N931" t="str">
        <f t="shared" ref="N931:N936" si="157">_xlfn.CONCAT("https://api.bcb.gov.br/dados/serie/bcdata.sgs.",B931,"/dados?formato=json")</f>
        <v>https://api.bcb.gov.br/dados/serie/bcdata.sgs.15882/dados?formato=json</v>
      </c>
      <c r="O931">
        <v>6</v>
      </c>
      <c r="P931" t="s">
        <v>619</v>
      </c>
      <c r="Q931" t="s">
        <v>657</v>
      </c>
      <c r="R931" t="s">
        <v>118</v>
      </c>
      <c r="S931" t="s">
        <v>621</v>
      </c>
    </row>
    <row r="932" spans="1:19" x14ac:dyDescent="0.25">
      <c r="A932" s="1"/>
      <c r="B932" s="1">
        <v>15914</v>
      </c>
      <c r="C932" s="2" t="s">
        <v>648</v>
      </c>
      <c r="D932" s="1" t="s">
        <v>835</v>
      </c>
      <c r="E932" s="3" t="s">
        <v>0</v>
      </c>
      <c r="F932" s="4">
        <v>37987</v>
      </c>
      <c r="G932" s="5">
        <v>45658</v>
      </c>
      <c r="H932" s="6" t="s">
        <v>611</v>
      </c>
      <c r="I932" s="1" t="s">
        <v>2</v>
      </c>
      <c r="J932" s="7"/>
      <c r="K932" s="15" t="s">
        <v>480</v>
      </c>
      <c r="L932" t="s">
        <v>618</v>
      </c>
      <c r="M932" t="s">
        <v>15</v>
      </c>
      <c r="N932" t="str">
        <f t="shared" si="157"/>
        <v>https://api.bcb.gov.br/dados/serie/bcdata.sgs.15914/dados?formato=json</v>
      </c>
      <c r="O932">
        <v>6</v>
      </c>
      <c r="P932" t="s">
        <v>619</v>
      </c>
      <c r="Q932" t="s">
        <v>657</v>
      </c>
      <c r="R932" t="s">
        <v>118</v>
      </c>
      <c r="S932" t="s">
        <v>622</v>
      </c>
    </row>
    <row r="933" spans="1:19" x14ac:dyDescent="0.25">
      <c r="A933" s="8"/>
      <c r="B933" s="8">
        <v>15946</v>
      </c>
      <c r="C933" s="9" t="s">
        <v>649</v>
      </c>
      <c r="D933" s="8" t="s">
        <v>835</v>
      </c>
      <c r="E933" s="10" t="s">
        <v>0</v>
      </c>
      <c r="F933" s="11">
        <v>37987</v>
      </c>
      <c r="G933" s="12">
        <v>45658</v>
      </c>
      <c r="H933" s="13" t="s">
        <v>611</v>
      </c>
      <c r="I933" s="8" t="s">
        <v>2</v>
      </c>
      <c r="J933" s="14"/>
      <c r="K933" s="15" t="s">
        <v>480</v>
      </c>
      <c r="L933" t="s">
        <v>618</v>
      </c>
      <c r="M933" t="s">
        <v>15</v>
      </c>
      <c r="N933" t="str">
        <f t="shared" si="157"/>
        <v>https://api.bcb.gov.br/dados/serie/bcdata.sgs.15946/dados?formato=json</v>
      </c>
      <c r="O933">
        <v>6</v>
      </c>
      <c r="P933" t="s">
        <v>619</v>
      </c>
      <c r="Q933" t="s">
        <v>657</v>
      </c>
      <c r="R933" t="s">
        <v>118</v>
      </c>
      <c r="S933" t="s">
        <v>118</v>
      </c>
    </row>
    <row r="934" spans="1:19" x14ac:dyDescent="0.25">
      <c r="A934" s="1"/>
      <c r="B934" s="1">
        <v>14024</v>
      </c>
      <c r="C934" s="2" t="s">
        <v>651</v>
      </c>
      <c r="D934" s="1" t="s">
        <v>25</v>
      </c>
      <c r="E934" s="3" t="s">
        <v>0</v>
      </c>
      <c r="F934" s="4">
        <v>37987</v>
      </c>
      <c r="G934" s="5">
        <v>45658</v>
      </c>
      <c r="H934" s="6" t="s">
        <v>611</v>
      </c>
      <c r="I934" s="1" t="s">
        <v>2</v>
      </c>
      <c r="J934" s="7"/>
      <c r="K934" s="15" t="s">
        <v>24</v>
      </c>
      <c r="L934" t="s">
        <v>617</v>
      </c>
      <c r="M934" t="s">
        <v>15</v>
      </c>
      <c r="N934" t="str">
        <f t="shared" si="157"/>
        <v>https://api.bcb.gov.br/dados/serie/bcdata.sgs.14024/dados?formato=json</v>
      </c>
      <c r="O934">
        <v>6</v>
      </c>
      <c r="P934" t="s">
        <v>619</v>
      </c>
      <c r="Q934" t="s">
        <v>650</v>
      </c>
      <c r="R934" t="s">
        <v>118</v>
      </c>
      <c r="S934" t="s">
        <v>621</v>
      </c>
    </row>
    <row r="935" spans="1:19" x14ac:dyDescent="0.25">
      <c r="A935" s="8"/>
      <c r="B935" s="8">
        <v>14051</v>
      </c>
      <c r="C935" s="9" t="s">
        <v>652</v>
      </c>
      <c r="D935" s="1" t="s">
        <v>25</v>
      </c>
      <c r="E935" s="10" t="s">
        <v>0</v>
      </c>
      <c r="F935" s="11">
        <v>37987</v>
      </c>
      <c r="G935" s="12">
        <v>45658</v>
      </c>
      <c r="H935" s="13" t="s">
        <v>611</v>
      </c>
      <c r="I935" s="8" t="s">
        <v>2</v>
      </c>
      <c r="J935" s="14"/>
      <c r="K935" s="15" t="s">
        <v>24</v>
      </c>
      <c r="L935" t="s">
        <v>617</v>
      </c>
      <c r="M935" t="s">
        <v>15</v>
      </c>
      <c r="N935" t="str">
        <f t="shared" si="157"/>
        <v>https://api.bcb.gov.br/dados/serie/bcdata.sgs.14051/dados?formato=json</v>
      </c>
      <c r="O935">
        <v>6</v>
      </c>
      <c r="P935" t="s">
        <v>619</v>
      </c>
      <c r="Q935" t="s">
        <v>650</v>
      </c>
      <c r="R935" t="s">
        <v>118</v>
      </c>
      <c r="S935" t="s">
        <v>622</v>
      </c>
    </row>
    <row r="936" spans="1:19" x14ac:dyDescent="0.25">
      <c r="A936" s="1"/>
      <c r="B936" s="1">
        <v>14078</v>
      </c>
      <c r="C936" s="2" t="s">
        <v>653</v>
      </c>
      <c r="D936" s="1" t="s">
        <v>25</v>
      </c>
      <c r="E936" s="3" t="s">
        <v>0</v>
      </c>
      <c r="F936" s="4">
        <v>37987</v>
      </c>
      <c r="G936" s="5">
        <v>45658</v>
      </c>
      <c r="H936" s="6" t="s">
        <v>611</v>
      </c>
      <c r="I936" s="1" t="s">
        <v>2</v>
      </c>
      <c r="J936" s="7"/>
      <c r="K936" s="15" t="s">
        <v>24</v>
      </c>
      <c r="L936" t="s">
        <v>617</v>
      </c>
      <c r="M936" t="s">
        <v>15</v>
      </c>
      <c r="N936" t="str">
        <f t="shared" si="157"/>
        <v>https://api.bcb.gov.br/dados/serie/bcdata.sgs.14078/dados?formato=json</v>
      </c>
      <c r="O936">
        <v>6</v>
      </c>
      <c r="P936" t="s">
        <v>619</v>
      </c>
      <c r="Q936" t="s">
        <v>650</v>
      </c>
      <c r="R936" t="s">
        <v>118</v>
      </c>
      <c r="S936" t="s">
        <v>118</v>
      </c>
    </row>
    <row r="937" spans="1:19" x14ac:dyDescent="0.25">
      <c r="A937" s="8"/>
      <c r="B937" s="8">
        <v>15883</v>
      </c>
      <c r="C937" s="9" t="s">
        <v>654</v>
      </c>
      <c r="D937" s="8" t="s">
        <v>835</v>
      </c>
      <c r="E937" s="10" t="s">
        <v>0</v>
      </c>
      <c r="F937" s="11">
        <v>37987</v>
      </c>
      <c r="G937" s="12">
        <v>45658</v>
      </c>
      <c r="H937" s="13" t="s">
        <v>611</v>
      </c>
      <c r="I937" s="8" t="s">
        <v>2</v>
      </c>
      <c r="J937" s="14"/>
      <c r="K937" s="15" t="s">
        <v>480</v>
      </c>
      <c r="L937" t="s">
        <v>618</v>
      </c>
      <c r="M937" t="s">
        <v>15</v>
      </c>
      <c r="N937" t="str">
        <f t="shared" ref="N937:N942" si="158">_xlfn.CONCAT("https://api.bcb.gov.br/dados/serie/bcdata.sgs.",B937,"/dados?formato=json")</f>
        <v>https://api.bcb.gov.br/dados/serie/bcdata.sgs.15883/dados?formato=json</v>
      </c>
      <c r="O937">
        <v>6</v>
      </c>
      <c r="P937" t="s">
        <v>619</v>
      </c>
      <c r="Q937" t="s">
        <v>650</v>
      </c>
      <c r="R937" t="s">
        <v>118</v>
      </c>
      <c r="S937" t="s">
        <v>621</v>
      </c>
    </row>
    <row r="938" spans="1:19" x14ac:dyDescent="0.25">
      <c r="A938" s="1"/>
      <c r="B938" s="1">
        <v>15915</v>
      </c>
      <c r="C938" s="2" t="s">
        <v>655</v>
      </c>
      <c r="D938" s="1" t="s">
        <v>835</v>
      </c>
      <c r="E938" s="3" t="s">
        <v>0</v>
      </c>
      <c r="F938" s="4">
        <v>37987</v>
      </c>
      <c r="G938" s="5">
        <v>45658</v>
      </c>
      <c r="H938" s="6" t="s">
        <v>611</v>
      </c>
      <c r="I938" s="1" t="s">
        <v>2</v>
      </c>
      <c r="J938" s="7"/>
      <c r="K938" s="15" t="s">
        <v>480</v>
      </c>
      <c r="L938" t="s">
        <v>618</v>
      </c>
      <c r="M938" t="s">
        <v>15</v>
      </c>
      <c r="N938" t="str">
        <f t="shared" si="158"/>
        <v>https://api.bcb.gov.br/dados/serie/bcdata.sgs.15915/dados?formato=json</v>
      </c>
      <c r="O938">
        <v>6</v>
      </c>
      <c r="P938" t="s">
        <v>619</v>
      </c>
      <c r="Q938" t="s">
        <v>650</v>
      </c>
      <c r="R938" t="s">
        <v>118</v>
      </c>
      <c r="S938" t="s">
        <v>622</v>
      </c>
    </row>
    <row r="939" spans="1:19" x14ac:dyDescent="0.25">
      <c r="A939" s="8"/>
      <c r="B939" s="8">
        <v>15947</v>
      </c>
      <c r="C939" s="9" t="s">
        <v>656</v>
      </c>
      <c r="D939" s="8" t="s">
        <v>835</v>
      </c>
      <c r="E939" s="10" t="s">
        <v>0</v>
      </c>
      <c r="F939" s="11">
        <v>37987</v>
      </c>
      <c r="G939" s="12">
        <v>45658</v>
      </c>
      <c r="H939" s="13" t="s">
        <v>611</v>
      </c>
      <c r="I939" s="8" t="s">
        <v>2</v>
      </c>
      <c r="J939" s="14"/>
      <c r="K939" s="15" t="s">
        <v>480</v>
      </c>
      <c r="L939" t="s">
        <v>618</v>
      </c>
      <c r="M939" t="s">
        <v>15</v>
      </c>
      <c r="N939" t="str">
        <f t="shared" si="158"/>
        <v>https://api.bcb.gov.br/dados/serie/bcdata.sgs.15947/dados?formato=json</v>
      </c>
      <c r="O939">
        <v>6</v>
      </c>
      <c r="P939" t="s">
        <v>619</v>
      </c>
      <c r="Q939" t="s">
        <v>650</v>
      </c>
      <c r="R939" t="s">
        <v>118</v>
      </c>
      <c r="S939" t="s">
        <v>118</v>
      </c>
    </row>
    <row r="940" spans="1:19" x14ac:dyDescent="0.25">
      <c r="A940" s="1"/>
      <c r="B940" s="1">
        <v>14028</v>
      </c>
      <c r="C940" s="2" t="s">
        <v>658</v>
      </c>
      <c r="D940" s="1" t="s">
        <v>25</v>
      </c>
      <c r="E940" s="3" t="s">
        <v>0</v>
      </c>
      <c r="F940" s="4">
        <v>37987</v>
      </c>
      <c r="G940" s="5">
        <v>45658</v>
      </c>
      <c r="H940" s="6" t="s">
        <v>611</v>
      </c>
      <c r="I940" s="1" t="s">
        <v>2</v>
      </c>
      <c r="J940" s="7"/>
      <c r="K940" s="15" t="s">
        <v>24</v>
      </c>
      <c r="L940" t="s">
        <v>617</v>
      </c>
      <c r="M940" t="s">
        <v>15</v>
      </c>
      <c r="N940" t="str">
        <f t="shared" si="158"/>
        <v>https://api.bcb.gov.br/dados/serie/bcdata.sgs.14028/dados?formato=json</v>
      </c>
      <c r="O940">
        <v>6</v>
      </c>
      <c r="P940" t="s">
        <v>619</v>
      </c>
      <c r="Q940" t="s">
        <v>664</v>
      </c>
      <c r="R940" t="s">
        <v>118</v>
      </c>
      <c r="S940" t="s">
        <v>621</v>
      </c>
    </row>
    <row r="941" spans="1:19" x14ac:dyDescent="0.25">
      <c r="A941" s="8"/>
      <c r="B941" s="8">
        <v>14055</v>
      </c>
      <c r="C941" s="9" t="s">
        <v>659</v>
      </c>
      <c r="D941" s="1" t="s">
        <v>25</v>
      </c>
      <c r="E941" s="10" t="s">
        <v>0</v>
      </c>
      <c r="F941" s="11">
        <v>37987</v>
      </c>
      <c r="G941" s="12">
        <v>45658</v>
      </c>
      <c r="H941" s="13" t="s">
        <v>611</v>
      </c>
      <c r="I941" s="8" t="s">
        <v>2</v>
      </c>
      <c r="J941" s="14"/>
      <c r="K941" s="15" t="s">
        <v>24</v>
      </c>
      <c r="L941" t="s">
        <v>617</v>
      </c>
      <c r="M941" t="s">
        <v>15</v>
      </c>
      <c r="N941" t="str">
        <f t="shared" si="158"/>
        <v>https://api.bcb.gov.br/dados/serie/bcdata.sgs.14055/dados?formato=json</v>
      </c>
      <c r="O941">
        <v>6</v>
      </c>
      <c r="P941" t="s">
        <v>619</v>
      </c>
      <c r="Q941" t="s">
        <v>664</v>
      </c>
      <c r="R941" t="s">
        <v>118</v>
      </c>
      <c r="S941" t="s">
        <v>622</v>
      </c>
    </row>
    <row r="942" spans="1:19" x14ac:dyDescent="0.25">
      <c r="A942" s="1"/>
      <c r="B942" s="1">
        <v>14082</v>
      </c>
      <c r="C942" s="2" t="s">
        <v>660</v>
      </c>
      <c r="D942" s="1" t="s">
        <v>25</v>
      </c>
      <c r="E942" s="3" t="s">
        <v>0</v>
      </c>
      <c r="F942" s="4">
        <v>37987</v>
      </c>
      <c r="G942" s="5">
        <v>45658</v>
      </c>
      <c r="H942" s="6" t="s">
        <v>611</v>
      </c>
      <c r="I942" s="1" t="s">
        <v>2</v>
      </c>
      <c r="J942" s="7"/>
      <c r="K942" s="15" t="s">
        <v>24</v>
      </c>
      <c r="L942" t="s">
        <v>617</v>
      </c>
      <c r="M942" t="s">
        <v>15</v>
      </c>
      <c r="N942" t="str">
        <f t="shared" si="158"/>
        <v>https://api.bcb.gov.br/dados/serie/bcdata.sgs.14082/dados?formato=json</v>
      </c>
      <c r="O942">
        <v>6</v>
      </c>
      <c r="P942" t="s">
        <v>619</v>
      </c>
      <c r="Q942" t="s">
        <v>664</v>
      </c>
      <c r="R942" t="s">
        <v>118</v>
      </c>
      <c r="S942" t="s">
        <v>118</v>
      </c>
    </row>
    <row r="943" spans="1:19" x14ac:dyDescent="0.25">
      <c r="A943" s="8"/>
      <c r="B943" s="8">
        <v>15887</v>
      </c>
      <c r="C943" s="9" t="s">
        <v>661</v>
      </c>
      <c r="D943" s="8" t="s">
        <v>835</v>
      </c>
      <c r="E943" s="10" t="s">
        <v>0</v>
      </c>
      <c r="F943" s="11">
        <v>37987</v>
      </c>
      <c r="G943" s="12">
        <v>45658</v>
      </c>
      <c r="H943" s="13" t="s">
        <v>611</v>
      </c>
      <c r="I943" s="8" t="s">
        <v>2</v>
      </c>
      <c r="J943" s="14"/>
      <c r="K943" s="15" t="s">
        <v>480</v>
      </c>
      <c r="L943" t="s">
        <v>618</v>
      </c>
      <c r="M943" t="s">
        <v>15</v>
      </c>
      <c r="N943" t="str">
        <f t="shared" ref="N943:N948" si="159">_xlfn.CONCAT("https://api.bcb.gov.br/dados/serie/bcdata.sgs.",B943,"/dados?formato=json")</f>
        <v>https://api.bcb.gov.br/dados/serie/bcdata.sgs.15887/dados?formato=json</v>
      </c>
      <c r="O943">
        <v>6</v>
      </c>
      <c r="P943" t="s">
        <v>619</v>
      </c>
      <c r="Q943" t="s">
        <v>664</v>
      </c>
      <c r="R943" t="s">
        <v>118</v>
      </c>
      <c r="S943" t="s">
        <v>621</v>
      </c>
    </row>
    <row r="944" spans="1:19" x14ac:dyDescent="0.25">
      <c r="A944" s="1"/>
      <c r="B944" s="1">
        <v>15919</v>
      </c>
      <c r="C944" s="2" t="s">
        <v>662</v>
      </c>
      <c r="D944" s="1" t="s">
        <v>835</v>
      </c>
      <c r="E944" s="3" t="s">
        <v>0</v>
      </c>
      <c r="F944" s="4">
        <v>37987</v>
      </c>
      <c r="G944" s="5">
        <v>45658</v>
      </c>
      <c r="H944" s="6" t="s">
        <v>611</v>
      </c>
      <c r="I944" s="1" t="s">
        <v>2</v>
      </c>
      <c r="J944" s="7"/>
      <c r="K944" s="15" t="s">
        <v>480</v>
      </c>
      <c r="L944" t="s">
        <v>618</v>
      </c>
      <c r="M944" t="s">
        <v>15</v>
      </c>
      <c r="N944" t="str">
        <f t="shared" si="159"/>
        <v>https://api.bcb.gov.br/dados/serie/bcdata.sgs.15919/dados?formato=json</v>
      </c>
      <c r="O944">
        <v>6</v>
      </c>
      <c r="P944" t="s">
        <v>619</v>
      </c>
      <c r="Q944" t="s">
        <v>664</v>
      </c>
      <c r="R944" t="s">
        <v>118</v>
      </c>
      <c r="S944" t="s">
        <v>622</v>
      </c>
    </row>
    <row r="945" spans="1:19" x14ac:dyDescent="0.25">
      <c r="A945" s="8"/>
      <c r="B945" s="8">
        <v>15951</v>
      </c>
      <c r="C945" s="9" t="s">
        <v>663</v>
      </c>
      <c r="D945" s="8" t="s">
        <v>835</v>
      </c>
      <c r="E945" s="10" t="s">
        <v>0</v>
      </c>
      <c r="F945" s="11">
        <v>37987</v>
      </c>
      <c r="G945" s="12">
        <v>45658</v>
      </c>
      <c r="H945" s="13" t="s">
        <v>611</v>
      </c>
      <c r="I945" s="8" t="s">
        <v>2</v>
      </c>
      <c r="J945" s="14"/>
      <c r="K945" s="15" t="s">
        <v>480</v>
      </c>
      <c r="L945" t="s">
        <v>618</v>
      </c>
      <c r="M945" t="s">
        <v>15</v>
      </c>
      <c r="N945" t="str">
        <f t="shared" si="159"/>
        <v>https://api.bcb.gov.br/dados/serie/bcdata.sgs.15951/dados?formato=json</v>
      </c>
      <c r="O945">
        <v>6</v>
      </c>
      <c r="P945" t="s">
        <v>619</v>
      </c>
      <c r="Q945" t="s">
        <v>664</v>
      </c>
      <c r="R945" t="s">
        <v>118</v>
      </c>
      <c r="S945" t="s">
        <v>118</v>
      </c>
    </row>
    <row r="946" spans="1:19" x14ac:dyDescent="0.25">
      <c r="A946" s="1"/>
      <c r="B946" s="1">
        <v>14083</v>
      </c>
      <c r="C946" s="2" t="s">
        <v>665</v>
      </c>
      <c r="D946" s="1" t="s">
        <v>25</v>
      </c>
      <c r="E946" s="3" t="s">
        <v>0</v>
      </c>
      <c r="F946" s="4">
        <v>37987</v>
      </c>
      <c r="G946" s="5">
        <v>45658</v>
      </c>
      <c r="H946" s="6" t="s">
        <v>611</v>
      </c>
      <c r="I946" s="1" t="s">
        <v>2</v>
      </c>
      <c r="J946" s="7"/>
      <c r="K946" s="15" t="s">
        <v>24</v>
      </c>
      <c r="L946" t="s">
        <v>617</v>
      </c>
      <c r="M946" t="s">
        <v>15</v>
      </c>
      <c r="N946" t="str">
        <f t="shared" si="159"/>
        <v>https://api.bcb.gov.br/dados/serie/bcdata.sgs.14083/dados?formato=json</v>
      </c>
      <c r="O946">
        <v>6</v>
      </c>
      <c r="P946" t="s">
        <v>671</v>
      </c>
      <c r="Q946" t="s">
        <v>672</v>
      </c>
      <c r="R946" t="s">
        <v>118</v>
      </c>
      <c r="S946" t="s">
        <v>621</v>
      </c>
    </row>
    <row r="947" spans="1:19" x14ac:dyDescent="0.25">
      <c r="A947" s="8"/>
      <c r="B947" s="8">
        <v>14088</v>
      </c>
      <c r="C947" s="9" t="s">
        <v>666</v>
      </c>
      <c r="D947" s="1" t="s">
        <v>25</v>
      </c>
      <c r="E947" s="10" t="s">
        <v>0</v>
      </c>
      <c r="F947" s="11">
        <v>37987</v>
      </c>
      <c r="G947" s="12">
        <v>45658</v>
      </c>
      <c r="H947" s="13" t="s">
        <v>611</v>
      </c>
      <c r="I947" s="8" t="s">
        <v>2</v>
      </c>
      <c r="J947" s="14"/>
      <c r="K947" s="15" t="s">
        <v>24</v>
      </c>
      <c r="L947" t="s">
        <v>617</v>
      </c>
      <c r="M947" t="s">
        <v>15</v>
      </c>
      <c r="N947" t="str">
        <f t="shared" si="159"/>
        <v>https://api.bcb.gov.br/dados/serie/bcdata.sgs.14088/dados?formato=json</v>
      </c>
      <c r="O947">
        <v>6</v>
      </c>
      <c r="P947" t="s">
        <v>671</v>
      </c>
      <c r="Q947" t="s">
        <v>672</v>
      </c>
      <c r="R947" t="s">
        <v>118</v>
      </c>
      <c r="S947" t="s">
        <v>622</v>
      </c>
    </row>
    <row r="948" spans="1:19" x14ac:dyDescent="0.25">
      <c r="A948" s="1"/>
      <c r="B948" s="1">
        <v>14093</v>
      </c>
      <c r="C948" s="2" t="s">
        <v>667</v>
      </c>
      <c r="D948" s="1" t="s">
        <v>25</v>
      </c>
      <c r="E948" s="3" t="s">
        <v>0</v>
      </c>
      <c r="F948" s="4">
        <v>37987</v>
      </c>
      <c r="G948" s="5">
        <v>45658</v>
      </c>
      <c r="H948" s="6" t="s">
        <v>611</v>
      </c>
      <c r="I948" s="1" t="s">
        <v>2</v>
      </c>
      <c r="J948" s="7"/>
      <c r="K948" s="15" t="s">
        <v>24</v>
      </c>
      <c r="L948" t="s">
        <v>617</v>
      </c>
      <c r="M948" t="s">
        <v>15</v>
      </c>
      <c r="N948" t="str">
        <f t="shared" si="159"/>
        <v>https://api.bcb.gov.br/dados/serie/bcdata.sgs.14093/dados?formato=json</v>
      </c>
      <c r="O948">
        <v>6</v>
      </c>
      <c r="P948" t="s">
        <v>671</v>
      </c>
      <c r="Q948" t="s">
        <v>672</v>
      </c>
      <c r="R948" t="s">
        <v>118</v>
      </c>
      <c r="S948" t="s">
        <v>118</v>
      </c>
    </row>
    <row r="949" spans="1:19" x14ac:dyDescent="0.25">
      <c r="A949" s="8"/>
      <c r="B949" s="8">
        <v>15888</v>
      </c>
      <c r="C949" s="9" t="s">
        <v>668</v>
      </c>
      <c r="D949" s="8" t="s">
        <v>835</v>
      </c>
      <c r="E949" s="10" t="s">
        <v>0</v>
      </c>
      <c r="F949" s="11">
        <v>37987</v>
      </c>
      <c r="G949" s="12">
        <v>45658</v>
      </c>
      <c r="H949" s="13" t="s">
        <v>611</v>
      </c>
      <c r="I949" s="8" t="s">
        <v>2</v>
      </c>
      <c r="J949" s="14"/>
      <c r="K949" s="15" t="s">
        <v>480</v>
      </c>
      <c r="L949" t="s">
        <v>618</v>
      </c>
      <c r="M949" t="s">
        <v>15</v>
      </c>
      <c r="N949" t="str">
        <f t="shared" ref="N949:N954" si="160">_xlfn.CONCAT("https://api.bcb.gov.br/dados/serie/bcdata.sgs.",B949,"/dados?formato=json")</f>
        <v>https://api.bcb.gov.br/dados/serie/bcdata.sgs.15888/dados?formato=json</v>
      </c>
      <c r="O949">
        <v>6</v>
      </c>
      <c r="P949" t="s">
        <v>671</v>
      </c>
      <c r="Q949" t="s">
        <v>672</v>
      </c>
      <c r="R949" t="s">
        <v>118</v>
      </c>
      <c r="S949" t="s">
        <v>621</v>
      </c>
    </row>
    <row r="950" spans="1:19" x14ac:dyDescent="0.25">
      <c r="A950" s="1"/>
      <c r="B950" s="1">
        <v>15920</v>
      </c>
      <c r="C950" s="2" t="s">
        <v>669</v>
      </c>
      <c r="D950" s="1" t="s">
        <v>835</v>
      </c>
      <c r="E950" s="3" t="s">
        <v>0</v>
      </c>
      <c r="F950" s="4">
        <v>37987</v>
      </c>
      <c r="G950" s="5">
        <v>45658</v>
      </c>
      <c r="H950" s="6" t="s">
        <v>611</v>
      </c>
      <c r="I950" s="1" t="s">
        <v>2</v>
      </c>
      <c r="J950" s="7"/>
      <c r="K950" s="15" t="s">
        <v>480</v>
      </c>
      <c r="L950" t="s">
        <v>618</v>
      </c>
      <c r="M950" t="s">
        <v>15</v>
      </c>
      <c r="N950" t="str">
        <f t="shared" si="160"/>
        <v>https://api.bcb.gov.br/dados/serie/bcdata.sgs.15920/dados?formato=json</v>
      </c>
      <c r="O950">
        <v>6</v>
      </c>
      <c r="P950" t="s">
        <v>671</v>
      </c>
      <c r="Q950" t="s">
        <v>672</v>
      </c>
      <c r="R950" t="s">
        <v>118</v>
      </c>
      <c r="S950" t="s">
        <v>622</v>
      </c>
    </row>
    <row r="951" spans="1:19" x14ac:dyDescent="0.25">
      <c r="A951" s="8"/>
      <c r="B951" s="8">
        <v>15952</v>
      </c>
      <c r="C951" s="9" t="s">
        <v>670</v>
      </c>
      <c r="D951" s="8" t="s">
        <v>835</v>
      </c>
      <c r="E951" s="10" t="s">
        <v>0</v>
      </c>
      <c r="F951" s="11">
        <v>37987</v>
      </c>
      <c r="G951" s="12">
        <v>45658</v>
      </c>
      <c r="H951" s="13" t="s">
        <v>611</v>
      </c>
      <c r="I951" s="8" t="s">
        <v>2</v>
      </c>
      <c r="J951" s="14"/>
      <c r="K951" s="15" t="s">
        <v>480</v>
      </c>
      <c r="L951" t="s">
        <v>618</v>
      </c>
      <c r="M951" t="s">
        <v>15</v>
      </c>
      <c r="N951" t="str">
        <f t="shared" si="160"/>
        <v>https://api.bcb.gov.br/dados/serie/bcdata.sgs.15952/dados?formato=json</v>
      </c>
      <c r="O951">
        <v>6</v>
      </c>
      <c r="P951" t="s">
        <v>671</v>
      </c>
      <c r="Q951" t="s">
        <v>672</v>
      </c>
      <c r="R951" t="s">
        <v>118</v>
      </c>
      <c r="S951" t="s">
        <v>118</v>
      </c>
    </row>
    <row r="952" spans="1:19" x14ac:dyDescent="0.25">
      <c r="A952" s="1"/>
      <c r="B952" s="1">
        <v>14003</v>
      </c>
      <c r="C952" s="2" t="s">
        <v>673</v>
      </c>
      <c r="D952" s="1" t="s">
        <v>25</v>
      </c>
      <c r="E952" s="3" t="s">
        <v>0</v>
      </c>
      <c r="F952" s="4">
        <v>37987</v>
      </c>
      <c r="G952" s="5">
        <v>45658</v>
      </c>
      <c r="H952" s="6" t="s">
        <v>611</v>
      </c>
      <c r="I952" s="1" t="s">
        <v>2</v>
      </c>
      <c r="J952" s="7"/>
      <c r="K952" s="15" t="s">
        <v>24</v>
      </c>
      <c r="L952" t="s">
        <v>617</v>
      </c>
      <c r="M952" t="s">
        <v>15</v>
      </c>
      <c r="N952" t="str">
        <f t="shared" si="160"/>
        <v>https://api.bcb.gov.br/dados/serie/bcdata.sgs.14003/dados?formato=json</v>
      </c>
      <c r="O952">
        <v>6</v>
      </c>
      <c r="P952" t="s">
        <v>619</v>
      </c>
      <c r="Q952" t="s">
        <v>679</v>
      </c>
      <c r="R952" t="s">
        <v>118</v>
      </c>
      <c r="S952" t="s">
        <v>621</v>
      </c>
    </row>
    <row r="953" spans="1:19" x14ac:dyDescent="0.25">
      <c r="A953" s="8"/>
      <c r="B953" s="8">
        <v>14030</v>
      </c>
      <c r="C953" s="9" t="s">
        <v>674</v>
      </c>
      <c r="D953" s="1" t="s">
        <v>25</v>
      </c>
      <c r="E953" s="10" t="s">
        <v>0</v>
      </c>
      <c r="F953" s="11">
        <v>37987</v>
      </c>
      <c r="G953" s="12">
        <v>45658</v>
      </c>
      <c r="H953" s="13" t="s">
        <v>611</v>
      </c>
      <c r="I953" s="8" t="s">
        <v>2</v>
      </c>
      <c r="J953" s="14"/>
      <c r="K953" s="15" t="s">
        <v>24</v>
      </c>
      <c r="L953" t="s">
        <v>617</v>
      </c>
      <c r="M953" t="s">
        <v>15</v>
      </c>
      <c r="N953" t="str">
        <f t="shared" si="160"/>
        <v>https://api.bcb.gov.br/dados/serie/bcdata.sgs.14030/dados?formato=json</v>
      </c>
      <c r="O953">
        <v>6</v>
      </c>
      <c r="P953" t="s">
        <v>619</v>
      </c>
      <c r="Q953" t="s">
        <v>679</v>
      </c>
      <c r="R953" t="s">
        <v>118</v>
      </c>
      <c r="S953" t="s">
        <v>622</v>
      </c>
    </row>
    <row r="954" spans="1:19" x14ac:dyDescent="0.25">
      <c r="A954" s="1"/>
      <c r="B954" s="1">
        <v>14057</v>
      </c>
      <c r="C954" s="2" t="s">
        <v>675</v>
      </c>
      <c r="D954" s="1" t="s">
        <v>25</v>
      </c>
      <c r="E954" s="3" t="s">
        <v>0</v>
      </c>
      <c r="F954" s="4">
        <v>37987</v>
      </c>
      <c r="G954" s="5">
        <v>45658</v>
      </c>
      <c r="H954" s="6" t="s">
        <v>611</v>
      </c>
      <c r="I954" s="1" t="s">
        <v>2</v>
      </c>
      <c r="J954" s="7"/>
      <c r="K954" s="15" t="s">
        <v>24</v>
      </c>
      <c r="L954" t="s">
        <v>617</v>
      </c>
      <c r="M954" t="s">
        <v>15</v>
      </c>
      <c r="N954" t="str">
        <f t="shared" si="160"/>
        <v>https://api.bcb.gov.br/dados/serie/bcdata.sgs.14057/dados?formato=json</v>
      </c>
      <c r="O954">
        <v>6</v>
      </c>
      <c r="P954" t="s">
        <v>619</v>
      </c>
      <c r="Q954" t="s">
        <v>679</v>
      </c>
      <c r="R954" t="s">
        <v>118</v>
      </c>
      <c r="S954" t="s">
        <v>118</v>
      </c>
    </row>
    <row r="955" spans="1:19" x14ac:dyDescent="0.25">
      <c r="A955" s="8"/>
      <c r="B955" s="8">
        <v>15862</v>
      </c>
      <c r="C955" s="9" t="s">
        <v>676</v>
      </c>
      <c r="D955" s="8" t="s">
        <v>835</v>
      </c>
      <c r="E955" s="10" t="s">
        <v>0</v>
      </c>
      <c r="F955" s="11">
        <v>37987</v>
      </c>
      <c r="G955" s="12">
        <v>45658</v>
      </c>
      <c r="H955" s="13" t="s">
        <v>611</v>
      </c>
      <c r="I955" s="8" t="s">
        <v>2</v>
      </c>
      <c r="J955" s="14"/>
      <c r="K955" s="15" t="s">
        <v>480</v>
      </c>
      <c r="L955" t="s">
        <v>618</v>
      </c>
      <c r="M955" t="s">
        <v>15</v>
      </c>
      <c r="N955" t="str">
        <f t="shared" ref="N955:N960" si="161">_xlfn.CONCAT("https://api.bcb.gov.br/dados/serie/bcdata.sgs.",B955,"/dados?formato=json")</f>
        <v>https://api.bcb.gov.br/dados/serie/bcdata.sgs.15862/dados?formato=json</v>
      </c>
      <c r="O955">
        <v>6</v>
      </c>
      <c r="P955" t="s">
        <v>619</v>
      </c>
      <c r="Q955" t="s">
        <v>679</v>
      </c>
      <c r="R955" t="s">
        <v>118</v>
      </c>
      <c r="S955" t="s">
        <v>621</v>
      </c>
    </row>
    <row r="956" spans="1:19" x14ac:dyDescent="0.25">
      <c r="A956" s="1"/>
      <c r="B956" s="1">
        <v>15894</v>
      </c>
      <c r="C956" s="2" t="s">
        <v>677</v>
      </c>
      <c r="D956" s="1" t="s">
        <v>835</v>
      </c>
      <c r="E956" s="3" t="s">
        <v>0</v>
      </c>
      <c r="F956" s="4">
        <v>37987</v>
      </c>
      <c r="G956" s="5">
        <v>45658</v>
      </c>
      <c r="H956" s="6" t="s">
        <v>611</v>
      </c>
      <c r="I956" s="1" t="s">
        <v>2</v>
      </c>
      <c r="J956" s="7"/>
      <c r="K956" s="15" t="s">
        <v>480</v>
      </c>
      <c r="L956" t="s">
        <v>618</v>
      </c>
      <c r="M956" t="s">
        <v>15</v>
      </c>
      <c r="N956" t="str">
        <f t="shared" si="161"/>
        <v>https://api.bcb.gov.br/dados/serie/bcdata.sgs.15894/dados?formato=json</v>
      </c>
      <c r="O956">
        <v>6</v>
      </c>
      <c r="P956" t="s">
        <v>619</v>
      </c>
      <c r="Q956" t="s">
        <v>679</v>
      </c>
      <c r="R956" t="s">
        <v>118</v>
      </c>
      <c r="S956" t="s">
        <v>622</v>
      </c>
    </row>
    <row r="957" spans="1:19" x14ac:dyDescent="0.25">
      <c r="A957" s="8"/>
      <c r="B957" s="8">
        <v>15926</v>
      </c>
      <c r="C957" s="9" t="s">
        <v>678</v>
      </c>
      <c r="D957" s="8" t="s">
        <v>835</v>
      </c>
      <c r="E957" s="10" t="s">
        <v>0</v>
      </c>
      <c r="F957" s="11">
        <v>37987</v>
      </c>
      <c r="G957" s="12">
        <v>45658</v>
      </c>
      <c r="H957" s="13" t="s">
        <v>611</v>
      </c>
      <c r="I957" s="8" t="s">
        <v>2</v>
      </c>
      <c r="J957" s="14"/>
      <c r="K957" s="15" t="s">
        <v>480</v>
      </c>
      <c r="L957" t="s">
        <v>618</v>
      </c>
      <c r="M957" t="s">
        <v>15</v>
      </c>
      <c r="N957" t="str">
        <f t="shared" si="161"/>
        <v>https://api.bcb.gov.br/dados/serie/bcdata.sgs.15926/dados?formato=json</v>
      </c>
      <c r="O957">
        <v>6</v>
      </c>
      <c r="P957" t="s">
        <v>619</v>
      </c>
      <c r="Q957" t="s">
        <v>679</v>
      </c>
      <c r="R957" t="s">
        <v>118</v>
      </c>
      <c r="S957" t="s">
        <v>118</v>
      </c>
    </row>
    <row r="958" spans="1:19" x14ac:dyDescent="0.25">
      <c r="A958" s="1"/>
      <c r="B958" s="1">
        <v>14006</v>
      </c>
      <c r="C958" s="2" t="s">
        <v>680</v>
      </c>
      <c r="D958" s="1" t="s">
        <v>25</v>
      </c>
      <c r="E958" s="3" t="s">
        <v>0</v>
      </c>
      <c r="F958" s="4">
        <v>37987</v>
      </c>
      <c r="G958" s="5">
        <v>45658</v>
      </c>
      <c r="H958" s="6" t="s">
        <v>611</v>
      </c>
      <c r="I958" s="1" t="s">
        <v>2</v>
      </c>
      <c r="J958" s="7"/>
      <c r="K958" s="15" t="s">
        <v>24</v>
      </c>
      <c r="L958" t="s">
        <v>617</v>
      </c>
      <c r="M958" t="s">
        <v>15</v>
      </c>
      <c r="N958" t="str">
        <f t="shared" si="161"/>
        <v>https://api.bcb.gov.br/dados/serie/bcdata.sgs.14006/dados?formato=json</v>
      </c>
      <c r="O958">
        <v>6</v>
      </c>
      <c r="P958" t="s">
        <v>619</v>
      </c>
      <c r="Q958" t="s">
        <v>686</v>
      </c>
      <c r="R958" t="s">
        <v>118</v>
      </c>
      <c r="S958" t="s">
        <v>621</v>
      </c>
    </row>
    <row r="959" spans="1:19" x14ac:dyDescent="0.25">
      <c r="A959" s="8"/>
      <c r="B959" s="8">
        <v>14033</v>
      </c>
      <c r="C959" s="9" t="s">
        <v>681</v>
      </c>
      <c r="D959" s="1" t="s">
        <v>25</v>
      </c>
      <c r="E959" s="10" t="s">
        <v>0</v>
      </c>
      <c r="F959" s="11">
        <v>37987</v>
      </c>
      <c r="G959" s="12">
        <v>45658</v>
      </c>
      <c r="H959" s="13" t="s">
        <v>611</v>
      </c>
      <c r="I959" s="8" t="s">
        <v>2</v>
      </c>
      <c r="J959" s="14"/>
      <c r="K959" s="15" t="s">
        <v>24</v>
      </c>
      <c r="L959" t="s">
        <v>617</v>
      </c>
      <c r="M959" t="s">
        <v>15</v>
      </c>
      <c r="N959" t="str">
        <f t="shared" si="161"/>
        <v>https://api.bcb.gov.br/dados/serie/bcdata.sgs.14033/dados?formato=json</v>
      </c>
      <c r="O959">
        <v>6</v>
      </c>
      <c r="P959" t="s">
        <v>619</v>
      </c>
      <c r="Q959" t="s">
        <v>686</v>
      </c>
      <c r="R959" t="s">
        <v>118</v>
      </c>
      <c r="S959" t="s">
        <v>622</v>
      </c>
    </row>
    <row r="960" spans="1:19" x14ac:dyDescent="0.25">
      <c r="A960" s="1"/>
      <c r="B960" s="1">
        <v>14060</v>
      </c>
      <c r="C960" s="2" t="s">
        <v>682</v>
      </c>
      <c r="D960" s="1" t="s">
        <v>25</v>
      </c>
      <c r="E960" s="3" t="s">
        <v>0</v>
      </c>
      <c r="F960" s="4">
        <v>37987</v>
      </c>
      <c r="G960" s="5">
        <v>45658</v>
      </c>
      <c r="H960" s="6" t="s">
        <v>611</v>
      </c>
      <c r="I960" s="1" t="s">
        <v>2</v>
      </c>
      <c r="J960" s="7"/>
      <c r="K960" s="15" t="s">
        <v>24</v>
      </c>
      <c r="L960" t="s">
        <v>617</v>
      </c>
      <c r="M960" t="s">
        <v>15</v>
      </c>
      <c r="N960" t="str">
        <f t="shared" si="161"/>
        <v>https://api.bcb.gov.br/dados/serie/bcdata.sgs.14060/dados?formato=json</v>
      </c>
      <c r="O960">
        <v>6</v>
      </c>
      <c r="P960" t="s">
        <v>619</v>
      </c>
      <c r="Q960" t="s">
        <v>686</v>
      </c>
      <c r="R960" t="s">
        <v>118</v>
      </c>
      <c r="S960" t="s">
        <v>118</v>
      </c>
    </row>
    <row r="961" spans="1:19" x14ac:dyDescent="0.25">
      <c r="A961" s="8"/>
      <c r="B961" s="8">
        <v>15865</v>
      </c>
      <c r="C961" s="9" t="s">
        <v>683</v>
      </c>
      <c r="D961" s="8" t="s">
        <v>835</v>
      </c>
      <c r="E961" s="10" t="s">
        <v>0</v>
      </c>
      <c r="F961" s="11">
        <v>37987</v>
      </c>
      <c r="G961" s="12">
        <v>45658</v>
      </c>
      <c r="H961" s="13" t="s">
        <v>611</v>
      </c>
      <c r="I961" s="8" t="s">
        <v>2</v>
      </c>
      <c r="J961" s="14"/>
      <c r="K961" s="15" t="s">
        <v>480</v>
      </c>
      <c r="L961" t="s">
        <v>618</v>
      </c>
      <c r="M961" t="s">
        <v>15</v>
      </c>
      <c r="N961" t="str">
        <f t="shared" ref="N961:N966" si="162">_xlfn.CONCAT("https://api.bcb.gov.br/dados/serie/bcdata.sgs.",B961,"/dados?formato=json")</f>
        <v>https://api.bcb.gov.br/dados/serie/bcdata.sgs.15865/dados?formato=json</v>
      </c>
      <c r="O961">
        <v>6</v>
      </c>
      <c r="P961" t="s">
        <v>619</v>
      </c>
      <c r="Q961" t="s">
        <v>686</v>
      </c>
      <c r="R961" t="s">
        <v>118</v>
      </c>
      <c r="S961" t="s">
        <v>621</v>
      </c>
    </row>
    <row r="962" spans="1:19" x14ac:dyDescent="0.25">
      <c r="A962" s="1"/>
      <c r="B962" s="1">
        <v>15897</v>
      </c>
      <c r="C962" s="2" t="s">
        <v>684</v>
      </c>
      <c r="D962" s="1" t="s">
        <v>835</v>
      </c>
      <c r="E962" s="3" t="s">
        <v>0</v>
      </c>
      <c r="F962" s="4">
        <v>37987</v>
      </c>
      <c r="G962" s="5">
        <v>45658</v>
      </c>
      <c r="H962" s="6" t="s">
        <v>611</v>
      </c>
      <c r="I962" s="1" t="s">
        <v>2</v>
      </c>
      <c r="J962" s="7"/>
      <c r="K962" s="15" t="s">
        <v>480</v>
      </c>
      <c r="L962" t="s">
        <v>618</v>
      </c>
      <c r="M962" t="s">
        <v>15</v>
      </c>
      <c r="N962" t="str">
        <f t="shared" si="162"/>
        <v>https://api.bcb.gov.br/dados/serie/bcdata.sgs.15897/dados?formato=json</v>
      </c>
      <c r="O962">
        <v>6</v>
      </c>
      <c r="P962" t="s">
        <v>619</v>
      </c>
      <c r="Q962" t="s">
        <v>686</v>
      </c>
      <c r="R962" t="s">
        <v>118</v>
      </c>
      <c r="S962" t="s">
        <v>622</v>
      </c>
    </row>
    <row r="963" spans="1:19" x14ac:dyDescent="0.25">
      <c r="A963" s="8"/>
      <c r="B963" s="8">
        <v>15929</v>
      </c>
      <c r="C963" s="9" t="s">
        <v>685</v>
      </c>
      <c r="D963" s="8" t="s">
        <v>835</v>
      </c>
      <c r="E963" s="10" t="s">
        <v>0</v>
      </c>
      <c r="F963" s="11">
        <v>37987</v>
      </c>
      <c r="G963" s="12">
        <v>45658</v>
      </c>
      <c r="H963" s="13" t="s">
        <v>611</v>
      </c>
      <c r="I963" s="8" t="s">
        <v>2</v>
      </c>
      <c r="J963" s="14"/>
      <c r="K963" s="15" t="s">
        <v>480</v>
      </c>
      <c r="L963" t="s">
        <v>618</v>
      </c>
      <c r="M963" t="s">
        <v>15</v>
      </c>
      <c r="N963" t="str">
        <f t="shared" si="162"/>
        <v>https://api.bcb.gov.br/dados/serie/bcdata.sgs.15929/dados?formato=json</v>
      </c>
      <c r="O963">
        <v>6</v>
      </c>
      <c r="P963" t="s">
        <v>619</v>
      </c>
      <c r="Q963" t="s">
        <v>686</v>
      </c>
      <c r="R963" t="s">
        <v>118</v>
      </c>
      <c r="S963" t="s">
        <v>118</v>
      </c>
    </row>
    <row r="964" spans="1:19" x14ac:dyDescent="0.25">
      <c r="A964" s="1"/>
      <c r="B964" s="1">
        <v>14007</v>
      </c>
      <c r="C964" s="2" t="s">
        <v>687</v>
      </c>
      <c r="D964" s="1" t="s">
        <v>25</v>
      </c>
      <c r="E964" s="3" t="s">
        <v>0</v>
      </c>
      <c r="F964" s="4">
        <v>37987</v>
      </c>
      <c r="G964" s="5">
        <v>45658</v>
      </c>
      <c r="H964" s="6" t="s">
        <v>611</v>
      </c>
      <c r="I964" s="1" t="s">
        <v>2</v>
      </c>
      <c r="J964" s="7"/>
      <c r="K964" s="15" t="s">
        <v>24</v>
      </c>
      <c r="L964" t="s">
        <v>617</v>
      </c>
      <c r="M964" t="s">
        <v>15</v>
      </c>
      <c r="N964" t="str">
        <f t="shared" si="162"/>
        <v>https://api.bcb.gov.br/dados/serie/bcdata.sgs.14007/dados?formato=json</v>
      </c>
      <c r="O964">
        <v>6</v>
      </c>
      <c r="P964" t="s">
        <v>619</v>
      </c>
      <c r="Q964" t="s">
        <v>693</v>
      </c>
      <c r="R964" t="s">
        <v>118</v>
      </c>
      <c r="S964" t="s">
        <v>621</v>
      </c>
    </row>
    <row r="965" spans="1:19" x14ac:dyDescent="0.25">
      <c r="A965" s="8"/>
      <c r="B965" s="8">
        <v>14034</v>
      </c>
      <c r="C965" s="9" t="s">
        <v>688</v>
      </c>
      <c r="D965" s="1" t="s">
        <v>25</v>
      </c>
      <c r="E965" s="10" t="s">
        <v>0</v>
      </c>
      <c r="F965" s="11">
        <v>37987</v>
      </c>
      <c r="G965" s="12">
        <v>45658</v>
      </c>
      <c r="H965" s="13" t="s">
        <v>611</v>
      </c>
      <c r="I965" s="8" t="s">
        <v>2</v>
      </c>
      <c r="J965" s="14"/>
      <c r="K965" s="15" t="s">
        <v>24</v>
      </c>
      <c r="L965" t="s">
        <v>617</v>
      </c>
      <c r="M965" t="s">
        <v>15</v>
      </c>
      <c r="N965" t="str">
        <f t="shared" si="162"/>
        <v>https://api.bcb.gov.br/dados/serie/bcdata.sgs.14034/dados?formato=json</v>
      </c>
      <c r="O965">
        <v>6</v>
      </c>
      <c r="P965" t="s">
        <v>619</v>
      </c>
      <c r="Q965" t="s">
        <v>693</v>
      </c>
      <c r="R965" t="s">
        <v>118</v>
      </c>
      <c r="S965" t="s">
        <v>622</v>
      </c>
    </row>
    <row r="966" spans="1:19" x14ac:dyDescent="0.25">
      <c r="A966" s="1"/>
      <c r="B966" s="1">
        <v>14061</v>
      </c>
      <c r="C966" s="2" t="s">
        <v>689</v>
      </c>
      <c r="D966" s="1" t="s">
        <v>25</v>
      </c>
      <c r="E966" s="3" t="s">
        <v>0</v>
      </c>
      <c r="F966" s="4">
        <v>37987</v>
      </c>
      <c r="G966" s="5">
        <v>45658</v>
      </c>
      <c r="H966" s="6" t="s">
        <v>611</v>
      </c>
      <c r="I966" s="1" t="s">
        <v>2</v>
      </c>
      <c r="J966" s="7"/>
      <c r="K966" s="15" t="s">
        <v>24</v>
      </c>
      <c r="L966" t="s">
        <v>617</v>
      </c>
      <c r="M966" t="s">
        <v>15</v>
      </c>
      <c r="N966" t="str">
        <f t="shared" si="162"/>
        <v>https://api.bcb.gov.br/dados/serie/bcdata.sgs.14061/dados?formato=json</v>
      </c>
      <c r="O966">
        <v>6</v>
      </c>
      <c r="P966" t="s">
        <v>619</v>
      </c>
      <c r="Q966" t="s">
        <v>693</v>
      </c>
      <c r="R966" t="s">
        <v>118</v>
      </c>
      <c r="S966" t="s">
        <v>118</v>
      </c>
    </row>
    <row r="967" spans="1:19" x14ac:dyDescent="0.25">
      <c r="A967" s="8"/>
      <c r="B967" s="8">
        <v>15866</v>
      </c>
      <c r="C967" s="9" t="s">
        <v>690</v>
      </c>
      <c r="D967" s="8" t="s">
        <v>835</v>
      </c>
      <c r="E967" s="10" t="s">
        <v>0</v>
      </c>
      <c r="F967" s="11">
        <v>37987</v>
      </c>
      <c r="G967" s="12">
        <v>45658</v>
      </c>
      <c r="H967" s="13" t="s">
        <v>611</v>
      </c>
      <c r="I967" s="8" t="s">
        <v>2</v>
      </c>
      <c r="J967" s="14"/>
      <c r="K967" s="15" t="s">
        <v>480</v>
      </c>
      <c r="L967" t="s">
        <v>618</v>
      </c>
      <c r="M967" t="s">
        <v>15</v>
      </c>
      <c r="N967" t="str">
        <f t="shared" ref="N967:N972" si="163">_xlfn.CONCAT("https://api.bcb.gov.br/dados/serie/bcdata.sgs.",B967,"/dados?formato=json")</f>
        <v>https://api.bcb.gov.br/dados/serie/bcdata.sgs.15866/dados?formato=json</v>
      </c>
      <c r="O967">
        <v>6</v>
      </c>
      <c r="P967" t="s">
        <v>619</v>
      </c>
      <c r="Q967" t="s">
        <v>693</v>
      </c>
      <c r="R967" t="s">
        <v>118</v>
      </c>
      <c r="S967" t="s">
        <v>621</v>
      </c>
    </row>
    <row r="968" spans="1:19" x14ac:dyDescent="0.25">
      <c r="A968" s="1"/>
      <c r="B968" s="1">
        <v>15898</v>
      </c>
      <c r="C968" s="2" t="s">
        <v>691</v>
      </c>
      <c r="D968" s="1" t="s">
        <v>835</v>
      </c>
      <c r="E968" s="3" t="s">
        <v>0</v>
      </c>
      <c r="F968" s="4">
        <v>37987</v>
      </c>
      <c r="G968" s="5">
        <v>45658</v>
      </c>
      <c r="H968" s="6" t="s">
        <v>611</v>
      </c>
      <c r="I968" s="1" t="s">
        <v>2</v>
      </c>
      <c r="J968" s="7"/>
      <c r="K968" s="15" t="s">
        <v>480</v>
      </c>
      <c r="L968" t="s">
        <v>618</v>
      </c>
      <c r="M968" t="s">
        <v>15</v>
      </c>
      <c r="N968" t="str">
        <f t="shared" si="163"/>
        <v>https://api.bcb.gov.br/dados/serie/bcdata.sgs.15898/dados?formato=json</v>
      </c>
      <c r="O968">
        <v>6</v>
      </c>
      <c r="P968" t="s">
        <v>619</v>
      </c>
      <c r="Q968" t="s">
        <v>693</v>
      </c>
      <c r="R968" t="s">
        <v>118</v>
      </c>
      <c r="S968" t="s">
        <v>622</v>
      </c>
    </row>
    <row r="969" spans="1:19" x14ac:dyDescent="0.25">
      <c r="A969" s="8"/>
      <c r="B969" s="8">
        <v>15930</v>
      </c>
      <c r="C969" s="9" t="s">
        <v>692</v>
      </c>
      <c r="D969" s="8" t="s">
        <v>835</v>
      </c>
      <c r="E969" s="10" t="s">
        <v>0</v>
      </c>
      <c r="F969" s="11">
        <v>37987</v>
      </c>
      <c r="G969" s="12">
        <v>45658</v>
      </c>
      <c r="H969" s="13" t="s">
        <v>611</v>
      </c>
      <c r="I969" s="8" t="s">
        <v>2</v>
      </c>
      <c r="J969" s="14"/>
      <c r="K969" s="15" t="s">
        <v>480</v>
      </c>
      <c r="L969" t="s">
        <v>618</v>
      </c>
      <c r="M969" t="s">
        <v>15</v>
      </c>
      <c r="N969" t="str">
        <f t="shared" si="163"/>
        <v>https://api.bcb.gov.br/dados/serie/bcdata.sgs.15930/dados?formato=json</v>
      </c>
      <c r="O969">
        <v>6</v>
      </c>
      <c r="P969" t="s">
        <v>619</v>
      </c>
      <c r="Q969" t="s">
        <v>693</v>
      </c>
      <c r="R969" t="s">
        <v>118</v>
      </c>
      <c r="S969" t="s">
        <v>118</v>
      </c>
    </row>
    <row r="970" spans="1:19" x14ac:dyDescent="0.25">
      <c r="A970" s="1"/>
      <c r="B970" s="1">
        <v>14011</v>
      </c>
      <c r="C970" s="2" t="s">
        <v>694</v>
      </c>
      <c r="D970" s="1" t="s">
        <v>25</v>
      </c>
      <c r="E970" s="3" t="s">
        <v>0</v>
      </c>
      <c r="F970" s="4">
        <v>37987</v>
      </c>
      <c r="G970" s="5">
        <v>45658</v>
      </c>
      <c r="H970" s="6" t="s">
        <v>611</v>
      </c>
      <c r="I970" s="1" t="s">
        <v>2</v>
      </c>
      <c r="J970" s="7"/>
      <c r="K970" s="15" t="s">
        <v>24</v>
      </c>
      <c r="L970" t="s">
        <v>617</v>
      </c>
      <c r="M970" t="s">
        <v>15</v>
      </c>
      <c r="N970" t="str">
        <f t="shared" si="163"/>
        <v>https://api.bcb.gov.br/dados/serie/bcdata.sgs.14011/dados?formato=json</v>
      </c>
      <c r="O970">
        <v>6</v>
      </c>
      <c r="P970" t="s">
        <v>619</v>
      </c>
      <c r="Q970" t="s">
        <v>700</v>
      </c>
      <c r="R970" t="s">
        <v>118</v>
      </c>
      <c r="S970" t="s">
        <v>621</v>
      </c>
    </row>
    <row r="971" spans="1:19" x14ac:dyDescent="0.25">
      <c r="A971" s="8"/>
      <c r="B971" s="8">
        <v>14038</v>
      </c>
      <c r="C971" s="9" t="s">
        <v>695</v>
      </c>
      <c r="D971" s="1" t="s">
        <v>25</v>
      </c>
      <c r="E971" s="10" t="s">
        <v>0</v>
      </c>
      <c r="F971" s="11">
        <v>37987</v>
      </c>
      <c r="G971" s="12">
        <v>45658</v>
      </c>
      <c r="H971" s="13" t="s">
        <v>611</v>
      </c>
      <c r="I971" s="8" t="s">
        <v>2</v>
      </c>
      <c r="J971" s="14"/>
      <c r="K971" s="15" t="s">
        <v>24</v>
      </c>
      <c r="L971" t="s">
        <v>617</v>
      </c>
      <c r="M971" t="s">
        <v>15</v>
      </c>
      <c r="N971" t="str">
        <f t="shared" si="163"/>
        <v>https://api.bcb.gov.br/dados/serie/bcdata.sgs.14038/dados?formato=json</v>
      </c>
      <c r="O971">
        <v>6</v>
      </c>
      <c r="P971" t="s">
        <v>619</v>
      </c>
      <c r="Q971" t="s">
        <v>700</v>
      </c>
      <c r="R971" t="s">
        <v>118</v>
      </c>
      <c r="S971" t="s">
        <v>622</v>
      </c>
    </row>
    <row r="972" spans="1:19" x14ac:dyDescent="0.25">
      <c r="A972" s="1"/>
      <c r="B972" s="1">
        <v>14065</v>
      </c>
      <c r="C972" s="2" t="s">
        <v>696</v>
      </c>
      <c r="D972" s="1" t="s">
        <v>25</v>
      </c>
      <c r="E972" s="3" t="s">
        <v>0</v>
      </c>
      <c r="F972" s="4">
        <v>37987</v>
      </c>
      <c r="G972" s="5">
        <v>45658</v>
      </c>
      <c r="H972" s="6" t="s">
        <v>611</v>
      </c>
      <c r="I972" s="1" t="s">
        <v>2</v>
      </c>
      <c r="J972" s="7"/>
      <c r="K972" s="15" t="s">
        <v>24</v>
      </c>
      <c r="L972" t="s">
        <v>617</v>
      </c>
      <c r="M972" t="s">
        <v>15</v>
      </c>
      <c r="N972" t="str">
        <f t="shared" si="163"/>
        <v>https://api.bcb.gov.br/dados/serie/bcdata.sgs.14065/dados?formato=json</v>
      </c>
      <c r="O972">
        <v>6</v>
      </c>
      <c r="P972" t="s">
        <v>619</v>
      </c>
      <c r="Q972" t="s">
        <v>700</v>
      </c>
      <c r="R972" t="s">
        <v>118</v>
      </c>
      <c r="S972" t="s">
        <v>118</v>
      </c>
    </row>
    <row r="973" spans="1:19" x14ac:dyDescent="0.25">
      <c r="A973" s="8"/>
      <c r="B973" s="8">
        <v>15870</v>
      </c>
      <c r="C973" s="9" t="s">
        <v>697</v>
      </c>
      <c r="D973" s="8" t="s">
        <v>835</v>
      </c>
      <c r="E973" s="10" t="s">
        <v>0</v>
      </c>
      <c r="F973" s="11">
        <v>37987</v>
      </c>
      <c r="G973" s="12">
        <v>45658</v>
      </c>
      <c r="H973" s="13" t="s">
        <v>611</v>
      </c>
      <c r="I973" s="8" t="s">
        <v>2</v>
      </c>
      <c r="J973" s="14"/>
      <c r="K973" s="15" t="s">
        <v>480</v>
      </c>
      <c r="L973" t="s">
        <v>618</v>
      </c>
      <c r="M973" t="s">
        <v>15</v>
      </c>
      <c r="N973" t="str">
        <f t="shared" ref="N973:N978" si="164">_xlfn.CONCAT("https://api.bcb.gov.br/dados/serie/bcdata.sgs.",B973,"/dados?formato=json")</f>
        <v>https://api.bcb.gov.br/dados/serie/bcdata.sgs.15870/dados?formato=json</v>
      </c>
      <c r="O973">
        <v>6</v>
      </c>
      <c r="P973" t="s">
        <v>619</v>
      </c>
      <c r="Q973" t="s">
        <v>700</v>
      </c>
      <c r="R973" t="s">
        <v>118</v>
      </c>
      <c r="S973" t="s">
        <v>621</v>
      </c>
    </row>
    <row r="974" spans="1:19" x14ac:dyDescent="0.25">
      <c r="A974" s="1"/>
      <c r="B974" s="1">
        <v>15902</v>
      </c>
      <c r="C974" s="2" t="s">
        <v>698</v>
      </c>
      <c r="D974" s="1" t="s">
        <v>835</v>
      </c>
      <c r="E974" s="3" t="s">
        <v>0</v>
      </c>
      <c r="F974" s="4">
        <v>37987</v>
      </c>
      <c r="G974" s="5">
        <v>45658</v>
      </c>
      <c r="H974" s="6" t="s">
        <v>611</v>
      </c>
      <c r="I974" s="1" t="s">
        <v>2</v>
      </c>
      <c r="J974" s="7"/>
      <c r="K974" s="15" t="s">
        <v>480</v>
      </c>
      <c r="L974" t="s">
        <v>618</v>
      </c>
      <c r="M974" t="s">
        <v>15</v>
      </c>
      <c r="N974" t="str">
        <f t="shared" si="164"/>
        <v>https://api.bcb.gov.br/dados/serie/bcdata.sgs.15902/dados?formato=json</v>
      </c>
      <c r="O974">
        <v>6</v>
      </c>
      <c r="P974" t="s">
        <v>619</v>
      </c>
      <c r="Q974" t="s">
        <v>700</v>
      </c>
      <c r="R974" t="s">
        <v>118</v>
      </c>
      <c r="S974" t="s">
        <v>622</v>
      </c>
    </row>
    <row r="975" spans="1:19" x14ac:dyDescent="0.25">
      <c r="A975" s="8"/>
      <c r="B975" s="8">
        <v>15934</v>
      </c>
      <c r="C975" s="9" t="s">
        <v>699</v>
      </c>
      <c r="D975" s="8" t="s">
        <v>835</v>
      </c>
      <c r="E975" s="10" t="s">
        <v>0</v>
      </c>
      <c r="F975" s="11">
        <v>37987</v>
      </c>
      <c r="G975" s="12">
        <v>45658</v>
      </c>
      <c r="H975" s="13" t="s">
        <v>611</v>
      </c>
      <c r="I975" s="8" t="s">
        <v>2</v>
      </c>
      <c r="J975" s="14"/>
      <c r="K975" s="15" t="s">
        <v>480</v>
      </c>
      <c r="L975" t="s">
        <v>618</v>
      </c>
      <c r="M975" t="s">
        <v>15</v>
      </c>
      <c r="N975" t="str">
        <f t="shared" si="164"/>
        <v>https://api.bcb.gov.br/dados/serie/bcdata.sgs.15934/dados?formato=json</v>
      </c>
      <c r="O975">
        <v>6</v>
      </c>
      <c r="P975" t="s">
        <v>619</v>
      </c>
      <c r="Q975" t="s">
        <v>700</v>
      </c>
      <c r="R975" t="s">
        <v>118</v>
      </c>
      <c r="S975" t="s">
        <v>118</v>
      </c>
    </row>
    <row r="976" spans="1:19" x14ac:dyDescent="0.25">
      <c r="A976" s="1"/>
      <c r="B976" s="1">
        <v>14016</v>
      </c>
      <c r="C976" s="2" t="s">
        <v>701</v>
      </c>
      <c r="D976" s="1" t="s">
        <v>25</v>
      </c>
      <c r="E976" s="3" t="s">
        <v>0</v>
      </c>
      <c r="F976" s="4">
        <v>37987</v>
      </c>
      <c r="G976" s="5">
        <v>45658</v>
      </c>
      <c r="H976" s="6" t="s">
        <v>611</v>
      </c>
      <c r="I976" s="1" t="s">
        <v>2</v>
      </c>
      <c r="J976" s="7"/>
      <c r="K976" s="15" t="s">
        <v>24</v>
      </c>
      <c r="L976" t="s">
        <v>617</v>
      </c>
      <c r="M976" t="s">
        <v>15</v>
      </c>
      <c r="N976" t="str">
        <f t="shared" si="164"/>
        <v>https://api.bcb.gov.br/dados/serie/bcdata.sgs.14016/dados?formato=json</v>
      </c>
      <c r="O976">
        <v>6</v>
      </c>
      <c r="P976" t="s">
        <v>619</v>
      </c>
      <c r="Q976" t="s">
        <v>707</v>
      </c>
      <c r="R976" t="s">
        <v>118</v>
      </c>
      <c r="S976" t="s">
        <v>621</v>
      </c>
    </row>
    <row r="977" spans="1:19" x14ac:dyDescent="0.25">
      <c r="A977" s="8"/>
      <c r="B977" s="8">
        <v>14043</v>
      </c>
      <c r="C977" s="9" t="s">
        <v>702</v>
      </c>
      <c r="D977" s="1" t="s">
        <v>25</v>
      </c>
      <c r="E977" s="10" t="s">
        <v>0</v>
      </c>
      <c r="F977" s="11">
        <v>37987</v>
      </c>
      <c r="G977" s="12">
        <v>45658</v>
      </c>
      <c r="H977" s="13" t="s">
        <v>611</v>
      </c>
      <c r="I977" s="8" t="s">
        <v>2</v>
      </c>
      <c r="J977" s="14"/>
      <c r="K977" s="15" t="s">
        <v>24</v>
      </c>
      <c r="L977" t="s">
        <v>617</v>
      </c>
      <c r="M977" t="s">
        <v>15</v>
      </c>
      <c r="N977" t="str">
        <f t="shared" si="164"/>
        <v>https://api.bcb.gov.br/dados/serie/bcdata.sgs.14043/dados?formato=json</v>
      </c>
      <c r="O977">
        <v>6</v>
      </c>
      <c r="P977" t="s">
        <v>619</v>
      </c>
      <c r="Q977" t="s">
        <v>707</v>
      </c>
      <c r="R977" t="s">
        <v>118</v>
      </c>
      <c r="S977" t="s">
        <v>622</v>
      </c>
    </row>
    <row r="978" spans="1:19" x14ac:dyDescent="0.25">
      <c r="A978" s="1"/>
      <c r="B978" s="1">
        <v>14070</v>
      </c>
      <c r="C978" s="2" t="s">
        <v>703</v>
      </c>
      <c r="D978" s="1" t="s">
        <v>25</v>
      </c>
      <c r="E978" s="3" t="s">
        <v>0</v>
      </c>
      <c r="F978" s="4">
        <v>37987</v>
      </c>
      <c r="G978" s="5">
        <v>45658</v>
      </c>
      <c r="H978" s="6" t="s">
        <v>611</v>
      </c>
      <c r="I978" s="1" t="s">
        <v>2</v>
      </c>
      <c r="J978" s="7"/>
      <c r="K978" s="15" t="s">
        <v>24</v>
      </c>
      <c r="L978" t="s">
        <v>617</v>
      </c>
      <c r="M978" t="s">
        <v>15</v>
      </c>
      <c r="N978" t="str">
        <f t="shared" si="164"/>
        <v>https://api.bcb.gov.br/dados/serie/bcdata.sgs.14070/dados?formato=json</v>
      </c>
      <c r="O978">
        <v>6</v>
      </c>
      <c r="P978" t="s">
        <v>619</v>
      </c>
      <c r="Q978" t="s">
        <v>707</v>
      </c>
      <c r="R978" t="s">
        <v>118</v>
      </c>
      <c r="S978" t="s">
        <v>118</v>
      </c>
    </row>
    <row r="979" spans="1:19" x14ac:dyDescent="0.25">
      <c r="A979" s="8"/>
      <c r="B979" s="8">
        <v>15875</v>
      </c>
      <c r="C979" s="9" t="s">
        <v>704</v>
      </c>
      <c r="D979" s="8" t="s">
        <v>835</v>
      </c>
      <c r="E979" s="10" t="s">
        <v>0</v>
      </c>
      <c r="F979" s="11">
        <v>37987</v>
      </c>
      <c r="G979" s="12">
        <v>45658</v>
      </c>
      <c r="H979" s="13" t="s">
        <v>611</v>
      </c>
      <c r="I979" s="8" t="s">
        <v>2</v>
      </c>
      <c r="J979" s="14"/>
      <c r="K979" s="15" t="s">
        <v>480</v>
      </c>
      <c r="L979" t="s">
        <v>618</v>
      </c>
      <c r="M979" t="s">
        <v>15</v>
      </c>
      <c r="N979" t="str">
        <f t="shared" ref="N979:N984" si="165">_xlfn.CONCAT("https://api.bcb.gov.br/dados/serie/bcdata.sgs.",B979,"/dados?formato=json")</f>
        <v>https://api.bcb.gov.br/dados/serie/bcdata.sgs.15875/dados?formato=json</v>
      </c>
      <c r="O979">
        <v>6</v>
      </c>
      <c r="P979" t="s">
        <v>619</v>
      </c>
      <c r="Q979" t="s">
        <v>707</v>
      </c>
      <c r="R979" t="s">
        <v>118</v>
      </c>
      <c r="S979" t="s">
        <v>621</v>
      </c>
    </row>
    <row r="980" spans="1:19" x14ac:dyDescent="0.25">
      <c r="A980" s="1"/>
      <c r="B980" s="1">
        <v>15907</v>
      </c>
      <c r="C980" s="2" t="s">
        <v>705</v>
      </c>
      <c r="D980" s="1" t="s">
        <v>835</v>
      </c>
      <c r="E980" s="3" t="s">
        <v>0</v>
      </c>
      <c r="F980" s="4">
        <v>37987</v>
      </c>
      <c r="G980" s="5">
        <v>45658</v>
      </c>
      <c r="H980" s="6" t="s">
        <v>611</v>
      </c>
      <c r="I980" s="1" t="s">
        <v>2</v>
      </c>
      <c r="J980" s="7"/>
      <c r="K980" s="15" t="s">
        <v>480</v>
      </c>
      <c r="L980" t="s">
        <v>618</v>
      </c>
      <c r="M980" t="s">
        <v>15</v>
      </c>
      <c r="N980" t="str">
        <f t="shared" si="165"/>
        <v>https://api.bcb.gov.br/dados/serie/bcdata.sgs.15907/dados?formato=json</v>
      </c>
      <c r="O980">
        <v>6</v>
      </c>
      <c r="P980" t="s">
        <v>619</v>
      </c>
      <c r="Q980" t="s">
        <v>707</v>
      </c>
      <c r="R980" t="s">
        <v>118</v>
      </c>
      <c r="S980" t="s">
        <v>622</v>
      </c>
    </row>
    <row r="981" spans="1:19" x14ac:dyDescent="0.25">
      <c r="A981" s="8"/>
      <c r="B981" s="8">
        <v>15939</v>
      </c>
      <c r="C981" s="9" t="s">
        <v>706</v>
      </c>
      <c r="D981" s="8" t="s">
        <v>835</v>
      </c>
      <c r="E981" s="10" t="s">
        <v>0</v>
      </c>
      <c r="F981" s="11">
        <v>37987</v>
      </c>
      <c r="G981" s="12">
        <v>45658</v>
      </c>
      <c r="H981" s="13" t="s">
        <v>611</v>
      </c>
      <c r="I981" s="8" t="s">
        <v>2</v>
      </c>
      <c r="J981" s="14"/>
      <c r="K981" s="15" t="s">
        <v>480</v>
      </c>
      <c r="L981" t="s">
        <v>618</v>
      </c>
      <c r="M981" t="s">
        <v>15</v>
      </c>
      <c r="N981" t="str">
        <f t="shared" si="165"/>
        <v>https://api.bcb.gov.br/dados/serie/bcdata.sgs.15939/dados?formato=json</v>
      </c>
      <c r="O981">
        <v>6</v>
      </c>
      <c r="P981" t="s">
        <v>619</v>
      </c>
      <c r="Q981" t="s">
        <v>707</v>
      </c>
      <c r="R981" t="s">
        <v>118</v>
      </c>
      <c r="S981" t="s">
        <v>118</v>
      </c>
    </row>
    <row r="982" spans="1:19" x14ac:dyDescent="0.25">
      <c r="A982" s="1"/>
      <c r="B982" s="1">
        <v>14018</v>
      </c>
      <c r="C982" s="2" t="s">
        <v>708</v>
      </c>
      <c r="D982" s="1" t="s">
        <v>25</v>
      </c>
      <c r="E982" s="3" t="s">
        <v>0</v>
      </c>
      <c r="F982" s="4">
        <v>37987</v>
      </c>
      <c r="G982" s="5">
        <v>45658</v>
      </c>
      <c r="H982" s="6" t="s">
        <v>611</v>
      </c>
      <c r="I982" s="1" t="s">
        <v>2</v>
      </c>
      <c r="J982" s="7"/>
      <c r="K982" s="15" t="s">
        <v>24</v>
      </c>
      <c r="L982" t="s">
        <v>617</v>
      </c>
      <c r="M982" t="s">
        <v>15</v>
      </c>
      <c r="N982" t="str">
        <f t="shared" si="165"/>
        <v>https://api.bcb.gov.br/dados/serie/bcdata.sgs.14018/dados?formato=json</v>
      </c>
      <c r="O982">
        <v>6</v>
      </c>
      <c r="P982" t="s">
        <v>619</v>
      </c>
      <c r="Q982" t="s">
        <v>714</v>
      </c>
      <c r="R982" t="s">
        <v>118</v>
      </c>
      <c r="S982" t="s">
        <v>621</v>
      </c>
    </row>
    <row r="983" spans="1:19" x14ac:dyDescent="0.25">
      <c r="A983" s="8"/>
      <c r="B983" s="8">
        <v>14045</v>
      </c>
      <c r="C983" s="9" t="s">
        <v>709</v>
      </c>
      <c r="D983" s="1" t="s">
        <v>25</v>
      </c>
      <c r="E983" s="10" t="s">
        <v>0</v>
      </c>
      <c r="F983" s="11">
        <v>37987</v>
      </c>
      <c r="G983" s="12">
        <v>45658</v>
      </c>
      <c r="H983" s="13" t="s">
        <v>611</v>
      </c>
      <c r="I983" s="8" t="s">
        <v>2</v>
      </c>
      <c r="J983" s="14"/>
      <c r="K983" s="15" t="s">
        <v>24</v>
      </c>
      <c r="L983" t="s">
        <v>617</v>
      </c>
      <c r="M983" t="s">
        <v>15</v>
      </c>
      <c r="N983" t="str">
        <f t="shared" si="165"/>
        <v>https://api.bcb.gov.br/dados/serie/bcdata.sgs.14045/dados?formato=json</v>
      </c>
      <c r="O983">
        <v>6</v>
      </c>
      <c r="P983" t="s">
        <v>619</v>
      </c>
      <c r="Q983" t="s">
        <v>714</v>
      </c>
      <c r="R983" t="s">
        <v>118</v>
      </c>
      <c r="S983" t="s">
        <v>622</v>
      </c>
    </row>
    <row r="984" spans="1:19" x14ac:dyDescent="0.25">
      <c r="A984" s="1"/>
      <c r="B984" s="1">
        <v>14072</v>
      </c>
      <c r="C984" s="2" t="s">
        <v>710</v>
      </c>
      <c r="D984" s="1" t="s">
        <v>25</v>
      </c>
      <c r="E984" s="3" t="s">
        <v>0</v>
      </c>
      <c r="F984" s="4">
        <v>37987</v>
      </c>
      <c r="G984" s="5">
        <v>45658</v>
      </c>
      <c r="H984" s="6" t="s">
        <v>611</v>
      </c>
      <c r="I984" s="1" t="s">
        <v>2</v>
      </c>
      <c r="J984" s="7"/>
      <c r="K984" s="15" t="s">
        <v>24</v>
      </c>
      <c r="L984" t="s">
        <v>617</v>
      </c>
      <c r="M984" t="s">
        <v>15</v>
      </c>
      <c r="N984" t="str">
        <f t="shared" si="165"/>
        <v>https://api.bcb.gov.br/dados/serie/bcdata.sgs.14072/dados?formato=json</v>
      </c>
      <c r="O984">
        <v>6</v>
      </c>
      <c r="P984" t="s">
        <v>619</v>
      </c>
      <c r="Q984" t="s">
        <v>714</v>
      </c>
      <c r="R984" t="s">
        <v>118</v>
      </c>
      <c r="S984" t="s">
        <v>118</v>
      </c>
    </row>
    <row r="985" spans="1:19" x14ac:dyDescent="0.25">
      <c r="A985" s="8"/>
      <c r="B985" s="8">
        <v>15877</v>
      </c>
      <c r="C985" s="9" t="s">
        <v>711</v>
      </c>
      <c r="D985" s="8" t="s">
        <v>835</v>
      </c>
      <c r="E985" s="10" t="s">
        <v>0</v>
      </c>
      <c r="F985" s="11">
        <v>37987</v>
      </c>
      <c r="G985" s="12">
        <v>45658</v>
      </c>
      <c r="H985" s="13" t="s">
        <v>611</v>
      </c>
      <c r="I985" s="8" t="s">
        <v>2</v>
      </c>
      <c r="J985" s="14"/>
      <c r="K985" s="15" t="s">
        <v>480</v>
      </c>
      <c r="L985" t="s">
        <v>618</v>
      </c>
      <c r="M985" t="s">
        <v>15</v>
      </c>
      <c r="N985" t="str">
        <f t="shared" ref="N985:N990" si="166">_xlfn.CONCAT("https://api.bcb.gov.br/dados/serie/bcdata.sgs.",B985,"/dados?formato=json")</f>
        <v>https://api.bcb.gov.br/dados/serie/bcdata.sgs.15877/dados?formato=json</v>
      </c>
      <c r="O985">
        <v>6</v>
      </c>
      <c r="P985" t="s">
        <v>619</v>
      </c>
      <c r="Q985" t="s">
        <v>714</v>
      </c>
      <c r="R985" t="s">
        <v>118</v>
      </c>
      <c r="S985" t="s">
        <v>621</v>
      </c>
    </row>
    <row r="986" spans="1:19" x14ac:dyDescent="0.25">
      <c r="A986" s="1"/>
      <c r="B986" s="1">
        <v>15909</v>
      </c>
      <c r="C986" s="2" t="s">
        <v>712</v>
      </c>
      <c r="D986" s="1" t="s">
        <v>835</v>
      </c>
      <c r="E986" s="3" t="s">
        <v>0</v>
      </c>
      <c r="F986" s="4">
        <v>37987</v>
      </c>
      <c r="G986" s="5">
        <v>45658</v>
      </c>
      <c r="H986" s="6" t="s">
        <v>611</v>
      </c>
      <c r="I986" s="1" t="s">
        <v>2</v>
      </c>
      <c r="J986" s="7"/>
      <c r="K986" s="15" t="s">
        <v>480</v>
      </c>
      <c r="L986" t="s">
        <v>618</v>
      </c>
      <c r="M986" t="s">
        <v>15</v>
      </c>
      <c r="N986" t="str">
        <f t="shared" si="166"/>
        <v>https://api.bcb.gov.br/dados/serie/bcdata.sgs.15909/dados?formato=json</v>
      </c>
      <c r="O986">
        <v>6</v>
      </c>
      <c r="P986" t="s">
        <v>619</v>
      </c>
      <c r="Q986" t="s">
        <v>714</v>
      </c>
      <c r="R986" t="s">
        <v>118</v>
      </c>
      <c r="S986" t="s">
        <v>622</v>
      </c>
    </row>
    <row r="987" spans="1:19" x14ac:dyDescent="0.25">
      <c r="A987" s="8"/>
      <c r="B987" s="8">
        <v>15941</v>
      </c>
      <c r="C987" s="9" t="s">
        <v>713</v>
      </c>
      <c r="D987" s="8" t="s">
        <v>835</v>
      </c>
      <c r="E987" s="10" t="s">
        <v>0</v>
      </c>
      <c r="F987" s="11">
        <v>37987</v>
      </c>
      <c r="G987" s="12">
        <v>45658</v>
      </c>
      <c r="H987" s="13" t="s">
        <v>611</v>
      </c>
      <c r="I987" s="8" t="s">
        <v>2</v>
      </c>
      <c r="J987" s="14"/>
      <c r="K987" s="15" t="s">
        <v>480</v>
      </c>
      <c r="L987" t="s">
        <v>618</v>
      </c>
      <c r="M987" t="s">
        <v>15</v>
      </c>
      <c r="N987" t="str">
        <f t="shared" si="166"/>
        <v>https://api.bcb.gov.br/dados/serie/bcdata.sgs.15941/dados?formato=json</v>
      </c>
      <c r="O987">
        <v>6</v>
      </c>
      <c r="P987" t="s">
        <v>619</v>
      </c>
      <c r="Q987" t="s">
        <v>714</v>
      </c>
      <c r="R987" t="s">
        <v>118</v>
      </c>
      <c r="S987" t="s">
        <v>118</v>
      </c>
    </row>
    <row r="988" spans="1:19" x14ac:dyDescent="0.25">
      <c r="A988" s="1"/>
      <c r="B988" s="1">
        <v>14019</v>
      </c>
      <c r="C988" s="2" t="s">
        <v>715</v>
      </c>
      <c r="D988" s="1" t="s">
        <v>25</v>
      </c>
      <c r="E988" s="3" t="s">
        <v>0</v>
      </c>
      <c r="F988" s="4">
        <v>37987</v>
      </c>
      <c r="G988" s="5">
        <v>45658</v>
      </c>
      <c r="H988" s="6" t="s">
        <v>611</v>
      </c>
      <c r="I988" s="1" t="s">
        <v>2</v>
      </c>
      <c r="J988" s="7"/>
      <c r="K988" s="15" t="s">
        <v>24</v>
      </c>
      <c r="L988" t="s">
        <v>617</v>
      </c>
      <c r="M988" t="s">
        <v>15</v>
      </c>
      <c r="N988" t="str">
        <f t="shared" si="166"/>
        <v>https://api.bcb.gov.br/dados/serie/bcdata.sgs.14019/dados?formato=json</v>
      </c>
      <c r="O988">
        <v>6</v>
      </c>
      <c r="P988" t="s">
        <v>619</v>
      </c>
      <c r="Q988" t="s">
        <v>721</v>
      </c>
      <c r="R988" t="s">
        <v>118</v>
      </c>
      <c r="S988" t="s">
        <v>621</v>
      </c>
    </row>
    <row r="989" spans="1:19" x14ac:dyDescent="0.25">
      <c r="A989" s="8"/>
      <c r="B989" s="8">
        <v>14046</v>
      </c>
      <c r="C989" s="9" t="s">
        <v>716</v>
      </c>
      <c r="D989" s="1" t="s">
        <v>25</v>
      </c>
      <c r="E989" s="10" t="s">
        <v>0</v>
      </c>
      <c r="F989" s="11">
        <v>37987</v>
      </c>
      <c r="G989" s="12">
        <v>45658</v>
      </c>
      <c r="H989" s="13" t="s">
        <v>611</v>
      </c>
      <c r="I989" s="8" t="s">
        <v>2</v>
      </c>
      <c r="J989" s="14"/>
      <c r="K989" s="15" t="s">
        <v>24</v>
      </c>
      <c r="L989" t="s">
        <v>617</v>
      </c>
      <c r="M989" t="s">
        <v>15</v>
      </c>
      <c r="N989" t="str">
        <f t="shared" si="166"/>
        <v>https://api.bcb.gov.br/dados/serie/bcdata.sgs.14046/dados?formato=json</v>
      </c>
      <c r="O989">
        <v>6</v>
      </c>
      <c r="P989" t="s">
        <v>619</v>
      </c>
      <c r="Q989" t="s">
        <v>721</v>
      </c>
      <c r="R989" t="s">
        <v>118</v>
      </c>
      <c r="S989" t="s">
        <v>622</v>
      </c>
    </row>
    <row r="990" spans="1:19" x14ac:dyDescent="0.25">
      <c r="A990" s="1"/>
      <c r="B990" s="1">
        <v>14073</v>
      </c>
      <c r="C990" s="2" t="s">
        <v>717</v>
      </c>
      <c r="D990" s="1" t="s">
        <v>25</v>
      </c>
      <c r="E990" s="3" t="s">
        <v>0</v>
      </c>
      <c r="F990" s="4">
        <v>37987</v>
      </c>
      <c r="G990" s="5">
        <v>45658</v>
      </c>
      <c r="H990" s="6" t="s">
        <v>611</v>
      </c>
      <c r="I990" s="1" t="s">
        <v>2</v>
      </c>
      <c r="J990" s="7"/>
      <c r="K990" s="15" t="s">
        <v>24</v>
      </c>
      <c r="L990" t="s">
        <v>617</v>
      </c>
      <c r="M990" t="s">
        <v>15</v>
      </c>
      <c r="N990" t="str">
        <f t="shared" si="166"/>
        <v>https://api.bcb.gov.br/dados/serie/bcdata.sgs.14073/dados?formato=json</v>
      </c>
      <c r="O990">
        <v>6</v>
      </c>
      <c r="P990" t="s">
        <v>619</v>
      </c>
      <c r="Q990" t="s">
        <v>721</v>
      </c>
      <c r="R990" t="s">
        <v>118</v>
      </c>
      <c r="S990" t="s">
        <v>118</v>
      </c>
    </row>
    <row r="991" spans="1:19" x14ac:dyDescent="0.25">
      <c r="A991" s="8"/>
      <c r="B991" s="8">
        <v>15878</v>
      </c>
      <c r="C991" s="9" t="s">
        <v>718</v>
      </c>
      <c r="D991" s="8" t="s">
        <v>835</v>
      </c>
      <c r="E991" s="10" t="s">
        <v>0</v>
      </c>
      <c r="F991" s="11">
        <v>37987</v>
      </c>
      <c r="G991" s="12">
        <v>45658</v>
      </c>
      <c r="H991" s="13" t="s">
        <v>611</v>
      </c>
      <c r="I991" s="8" t="s">
        <v>2</v>
      </c>
      <c r="J991" s="14"/>
      <c r="K991" s="15" t="s">
        <v>480</v>
      </c>
      <c r="L991" t="s">
        <v>618</v>
      </c>
      <c r="M991" t="s">
        <v>15</v>
      </c>
      <c r="N991" t="str">
        <f t="shared" ref="N991:N996" si="167">_xlfn.CONCAT("https://api.bcb.gov.br/dados/serie/bcdata.sgs.",B991,"/dados?formato=json")</f>
        <v>https://api.bcb.gov.br/dados/serie/bcdata.sgs.15878/dados?formato=json</v>
      </c>
      <c r="O991">
        <v>6</v>
      </c>
      <c r="P991" t="s">
        <v>619</v>
      </c>
      <c r="Q991" t="s">
        <v>721</v>
      </c>
      <c r="R991" t="s">
        <v>118</v>
      </c>
      <c r="S991" t="s">
        <v>621</v>
      </c>
    </row>
    <row r="992" spans="1:19" x14ac:dyDescent="0.25">
      <c r="A992" s="1"/>
      <c r="B992" s="1">
        <v>15910</v>
      </c>
      <c r="C992" s="2" t="s">
        <v>719</v>
      </c>
      <c r="D992" s="1" t="s">
        <v>835</v>
      </c>
      <c r="E992" s="3" t="s">
        <v>0</v>
      </c>
      <c r="F992" s="4">
        <v>37987</v>
      </c>
      <c r="G992" s="5">
        <v>45658</v>
      </c>
      <c r="H992" s="6" t="s">
        <v>611</v>
      </c>
      <c r="I992" s="1" t="s">
        <v>2</v>
      </c>
      <c r="J992" s="7"/>
      <c r="K992" s="15" t="s">
        <v>480</v>
      </c>
      <c r="L992" t="s">
        <v>618</v>
      </c>
      <c r="M992" t="s">
        <v>15</v>
      </c>
      <c r="N992" t="str">
        <f t="shared" si="167"/>
        <v>https://api.bcb.gov.br/dados/serie/bcdata.sgs.15910/dados?formato=json</v>
      </c>
      <c r="O992">
        <v>6</v>
      </c>
      <c r="P992" t="s">
        <v>619</v>
      </c>
      <c r="Q992" t="s">
        <v>721</v>
      </c>
      <c r="R992" t="s">
        <v>118</v>
      </c>
      <c r="S992" t="s">
        <v>622</v>
      </c>
    </row>
    <row r="993" spans="1:19" x14ac:dyDescent="0.25">
      <c r="A993" s="8"/>
      <c r="B993" s="8">
        <v>15942</v>
      </c>
      <c r="C993" s="9" t="s">
        <v>720</v>
      </c>
      <c r="D993" s="8" t="s">
        <v>835</v>
      </c>
      <c r="E993" s="10" t="s">
        <v>0</v>
      </c>
      <c r="F993" s="11">
        <v>37987</v>
      </c>
      <c r="G993" s="12">
        <v>45658</v>
      </c>
      <c r="H993" s="13" t="s">
        <v>611</v>
      </c>
      <c r="I993" s="8" t="s">
        <v>2</v>
      </c>
      <c r="J993" s="14"/>
      <c r="K993" s="15" t="s">
        <v>480</v>
      </c>
      <c r="L993" t="s">
        <v>618</v>
      </c>
      <c r="M993" t="s">
        <v>15</v>
      </c>
      <c r="N993" t="str">
        <f t="shared" si="167"/>
        <v>https://api.bcb.gov.br/dados/serie/bcdata.sgs.15942/dados?formato=json</v>
      </c>
      <c r="O993">
        <v>6</v>
      </c>
      <c r="P993" t="s">
        <v>619</v>
      </c>
      <c r="Q993" t="s">
        <v>721</v>
      </c>
      <c r="R993" t="s">
        <v>118</v>
      </c>
      <c r="S993" t="s">
        <v>118</v>
      </c>
    </row>
    <row r="994" spans="1:19" x14ac:dyDescent="0.25">
      <c r="A994" s="1"/>
      <c r="B994" s="1">
        <v>14021</v>
      </c>
      <c r="C994" s="2" t="s">
        <v>722</v>
      </c>
      <c r="D994" s="1" t="s">
        <v>25</v>
      </c>
      <c r="E994" s="3" t="s">
        <v>0</v>
      </c>
      <c r="F994" s="4">
        <v>37987</v>
      </c>
      <c r="G994" s="5">
        <v>45658</v>
      </c>
      <c r="H994" s="6" t="s">
        <v>611</v>
      </c>
      <c r="I994" s="1" t="s">
        <v>2</v>
      </c>
      <c r="J994" s="7"/>
      <c r="K994" s="15" t="s">
        <v>24</v>
      </c>
      <c r="L994" t="s">
        <v>617</v>
      </c>
      <c r="M994" t="s">
        <v>15</v>
      </c>
      <c r="N994" t="str">
        <f t="shared" si="167"/>
        <v>https://api.bcb.gov.br/dados/serie/bcdata.sgs.14021/dados?formato=json</v>
      </c>
      <c r="O994">
        <v>6</v>
      </c>
      <c r="P994" t="s">
        <v>619</v>
      </c>
      <c r="Q994" t="s">
        <v>728</v>
      </c>
      <c r="R994" t="s">
        <v>118</v>
      </c>
      <c r="S994" t="s">
        <v>621</v>
      </c>
    </row>
    <row r="995" spans="1:19" x14ac:dyDescent="0.25">
      <c r="A995" s="8"/>
      <c r="B995" s="8">
        <v>14048</v>
      </c>
      <c r="C995" s="9" t="s">
        <v>723</v>
      </c>
      <c r="D995" s="1" t="s">
        <v>25</v>
      </c>
      <c r="E995" s="10" t="s">
        <v>0</v>
      </c>
      <c r="F995" s="11">
        <v>37987</v>
      </c>
      <c r="G995" s="12">
        <v>45658</v>
      </c>
      <c r="H995" s="13" t="s">
        <v>611</v>
      </c>
      <c r="I995" s="8" t="s">
        <v>2</v>
      </c>
      <c r="J995" s="14"/>
      <c r="K995" s="15" t="s">
        <v>24</v>
      </c>
      <c r="L995" t="s">
        <v>617</v>
      </c>
      <c r="M995" t="s">
        <v>15</v>
      </c>
      <c r="N995" t="str">
        <f t="shared" si="167"/>
        <v>https://api.bcb.gov.br/dados/serie/bcdata.sgs.14048/dados?formato=json</v>
      </c>
      <c r="O995">
        <v>6</v>
      </c>
      <c r="P995" t="s">
        <v>619</v>
      </c>
      <c r="Q995" t="s">
        <v>728</v>
      </c>
      <c r="R995" t="s">
        <v>118</v>
      </c>
      <c r="S995" t="s">
        <v>622</v>
      </c>
    </row>
    <row r="996" spans="1:19" x14ac:dyDescent="0.25">
      <c r="A996" s="1"/>
      <c r="B996" s="1">
        <v>14075</v>
      </c>
      <c r="C996" s="2" t="s">
        <v>724</v>
      </c>
      <c r="D996" s="1" t="s">
        <v>25</v>
      </c>
      <c r="E996" s="3" t="s">
        <v>0</v>
      </c>
      <c r="F996" s="4">
        <v>37987</v>
      </c>
      <c r="G996" s="5">
        <v>45658</v>
      </c>
      <c r="H996" s="6" t="s">
        <v>611</v>
      </c>
      <c r="I996" s="1" t="s">
        <v>2</v>
      </c>
      <c r="J996" s="7"/>
      <c r="K996" s="15" t="s">
        <v>24</v>
      </c>
      <c r="L996" t="s">
        <v>617</v>
      </c>
      <c r="M996" t="s">
        <v>15</v>
      </c>
      <c r="N996" t="str">
        <f t="shared" si="167"/>
        <v>https://api.bcb.gov.br/dados/serie/bcdata.sgs.14075/dados?formato=json</v>
      </c>
      <c r="O996">
        <v>6</v>
      </c>
      <c r="P996" t="s">
        <v>619</v>
      </c>
      <c r="Q996" t="s">
        <v>728</v>
      </c>
      <c r="R996" t="s">
        <v>118</v>
      </c>
      <c r="S996" t="s">
        <v>118</v>
      </c>
    </row>
    <row r="997" spans="1:19" x14ac:dyDescent="0.25">
      <c r="A997" s="8"/>
      <c r="B997" s="8">
        <v>15880</v>
      </c>
      <c r="C997" s="9" t="s">
        <v>725</v>
      </c>
      <c r="D997" s="8" t="s">
        <v>835</v>
      </c>
      <c r="E997" s="10" t="s">
        <v>0</v>
      </c>
      <c r="F997" s="11">
        <v>37987</v>
      </c>
      <c r="G997" s="12">
        <v>45658</v>
      </c>
      <c r="H997" s="13" t="s">
        <v>611</v>
      </c>
      <c r="I997" s="8" t="s">
        <v>2</v>
      </c>
      <c r="J997" s="14"/>
      <c r="K997" s="15" t="s">
        <v>480</v>
      </c>
      <c r="L997" t="s">
        <v>618</v>
      </c>
      <c r="M997" t="s">
        <v>15</v>
      </c>
      <c r="N997" t="str">
        <f t="shared" ref="N997:N1002" si="168">_xlfn.CONCAT("https://api.bcb.gov.br/dados/serie/bcdata.sgs.",B997,"/dados?formato=json")</f>
        <v>https://api.bcb.gov.br/dados/serie/bcdata.sgs.15880/dados?formato=json</v>
      </c>
      <c r="O997">
        <v>6</v>
      </c>
      <c r="P997" t="s">
        <v>619</v>
      </c>
      <c r="Q997" t="s">
        <v>728</v>
      </c>
      <c r="R997" t="s">
        <v>118</v>
      </c>
      <c r="S997" t="s">
        <v>621</v>
      </c>
    </row>
    <row r="998" spans="1:19" x14ac:dyDescent="0.25">
      <c r="A998" s="1"/>
      <c r="B998" s="1">
        <v>15912</v>
      </c>
      <c r="C998" s="2" t="s">
        <v>726</v>
      </c>
      <c r="D998" s="1" t="s">
        <v>835</v>
      </c>
      <c r="E998" s="3" t="s">
        <v>0</v>
      </c>
      <c r="F998" s="4">
        <v>37987</v>
      </c>
      <c r="G998" s="5">
        <v>45658</v>
      </c>
      <c r="H998" s="6" t="s">
        <v>611</v>
      </c>
      <c r="I998" s="1" t="s">
        <v>2</v>
      </c>
      <c r="J998" s="7"/>
      <c r="K998" s="15" t="s">
        <v>480</v>
      </c>
      <c r="L998" t="s">
        <v>618</v>
      </c>
      <c r="M998" t="s">
        <v>15</v>
      </c>
      <c r="N998" t="str">
        <f t="shared" si="168"/>
        <v>https://api.bcb.gov.br/dados/serie/bcdata.sgs.15912/dados?formato=json</v>
      </c>
      <c r="O998">
        <v>6</v>
      </c>
      <c r="P998" t="s">
        <v>619</v>
      </c>
      <c r="Q998" t="s">
        <v>728</v>
      </c>
      <c r="R998" t="s">
        <v>118</v>
      </c>
      <c r="S998" t="s">
        <v>622</v>
      </c>
    </row>
    <row r="999" spans="1:19" x14ac:dyDescent="0.25">
      <c r="A999" s="8"/>
      <c r="B999" s="8">
        <v>15944</v>
      </c>
      <c r="C999" s="9" t="s">
        <v>727</v>
      </c>
      <c r="D999" s="8" t="s">
        <v>835</v>
      </c>
      <c r="E999" s="10" t="s">
        <v>0</v>
      </c>
      <c r="F999" s="11">
        <v>37987</v>
      </c>
      <c r="G999" s="12">
        <v>45658</v>
      </c>
      <c r="H999" s="13" t="s">
        <v>611</v>
      </c>
      <c r="I999" s="8" t="s">
        <v>2</v>
      </c>
      <c r="J999" s="14"/>
      <c r="K999" s="15" t="s">
        <v>480</v>
      </c>
      <c r="L999" t="s">
        <v>618</v>
      </c>
      <c r="M999" t="s">
        <v>15</v>
      </c>
      <c r="N999" t="str">
        <f t="shared" si="168"/>
        <v>https://api.bcb.gov.br/dados/serie/bcdata.sgs.15944/dados?formato=json</v>
      </c>
      <c r="O999">
        <v>6</v>
      </c>
      <c r="P999" t="s">
        <v>619</v>
      </c>
      <c r="Q999" t="s">
        <v>728</v>
      </c>
      <c r="R999" t="s">
        <v>118</v>
      </c>
      <c r="S999" t="s">
        <v>118</v>
      </c>
    </row>
    <row r="1000" spans="1:19" x14ac:dyDescent="0.25">
      <c r="A1000" s="1"/>
      <c r="B1000" s="1">
        <v>14027</v>
      </c>
      <c r="C1000" s="2" t="s">
        <v>729</v>
      </c>
      <c r="D1000" s="1" t="s">
        <v>25</v>
      </c>
      <c r="E1000" s="3" t="s">
        <v>0</v>
      </c>
      <c r="F1000" s="4">
        <v>37987</v>
      </c>
      <c r="G1000" s="5">
        <v>45658</v>
      </c>
      <c r="H1000" s="6" t="s">
        <v>611</v>
      </c>
      <c r="I1000" s="1" t="s">
        <v>2</v>
      </c>
      <c r="J1000" s="7"/>
      <c r="K1000" s="15" t="s">
        <v>24</v>
      </c>
      <c r="L1000" t="s">
        <v>617</v>
      </c>
      <c r="M1000" t="s">
        <v>15</v>
      </c>
      <c r="N1000" t="str">
        <f t="shared" si="168"/>
        <v>https://api.bcb.gov.br/dados/serie/bcdata.sgs.14027/dados?formato=json</v>
      </c>
      <c r="O1000">
        <v>6</v>
      </c>
      <c r="P1000" t="s">
        <v>619</v>
      </c>
      <c r="Q1000" t="s">
        <v>735</v>
      </c>
      <c r="R1000" t="s">
        <v>118</v>
      </c>
      <c r="S1000" t="s">
        <v>621</v>
      </c>
    </row>
    <row r="1001" spans="1:19" x14ac:dyDescent="0.25">
      <c r="A1001" s="8"/>
      <c r="B1001" s="8">
        <v>14054</v>
      </c>
      <c r="C1001" s="9" t="s">
        <v>730</v>
      </c>
      <c r="D1001" s="1" t="s">
        <v>25</v>
      </c>
      <c r="E1001" s="10" t="s">
        <v>0</v>
      </c>
      <c r="F1001" s="11">
        <v>37987</v>
      </c>
      <c r="G1001" s="12">
        <v>45658</v>
      </c>
      <c r="H1001" s="13" t="s">
        <v>611</v>
      </c>
      <c r="I1001" s="8" t="s">
        <v>2</v>
      </c>
      <c r="J1001" s="14"/>
      <c r="K1001" s="15" t="s">
        <v>24</v>
      </c>
      <c r="L1001" t="s">
        <v>617</v>
      </c>
      <c r="M1001" t="s">
        <v>15</v>
      </c>
      <c r="N1001" t="str">
        <f t="shared" si="168"/>
        <v>https://api.bcb.gov.br/dados/serie/bcdata.sgs.14054/dados?formato=json</v>
      </c>
      <c r="O1001">
        <v>6</v>
      </c>
      <c r="P1001" t="s">
        <v>619</v>
      </c>
      <c r="Q1001" t="s">
        <v>735</v>
      </c>
      <c r="R1001" t="s">
        <v>118</v>
      </c>
      <c r="S1001" t="s">
        <v>622</v>
      </c>
    </row>
    <row r="1002" spans="1:19" x14ac:dyDescent="0.25">
      <c r="A1002" s="1"/>
      <c r="B1002" s="1">
        <v>14081</v>
      </c>
      <c r="C1002" s="2" t="s">
        <v>731</v>
      </c>
      <c r="D1002" s="1" t="s">
        <v>25</v>
      </c>
      <c r="E1002" s="3" t="s">
        <v>0</v>
      </c>
      <c r="F1002" s="4">
        <v>37987</v>
      </c>
      <c r="G1002" s="5">
        <v>45658</v>
      </c>
      <c r="H1002" s="6" t="s">
        <v>611</v>
      </c>
      <c r="I1002" s="1" t="s">
        <v>2</v>
      </c>
      <c r="J1002" s="7"/>
      <c r="K1002" s="15" t="s">
        <v>24</v>
      </c>
      <c r="L1002" t="s">
        <v>617</v>
      </c>
      <c r="M1002" t="s">
        <v>15</v>
      </c>
      <c r="N1002" t="str">
        <f t="shared" si="168"/>
        <v>https://api.bcb.gov.br/dados/serie/bcdata.sgs.14081/dados?formato=json</v>
      </c>
      <c r="O1002">
        <v>6</v>
      </c>
      <c r="P1002" t="s">
        <v>619</v>
      </c>
      <c r="Q1002" t="s">
        <v>735</v>
      </c>
      <c r="R1002" t="s">
        <v>118</v>
      </c>
      <c r="S1002" t="s">
        <v>118</v>
      </c>
    </row>
    <row r="1003" spans="1:19" x14ac:dyDescent="0.25">
      <c r="A1003" s="8"/>
      <c r="B1003" s="8">
        <v>15886</v>
      </c>
      <c r="C1003" s="9" t="s">
        <v>732</v>
      </c>
      <c r="D1003" s="8" t="s">
        <v>835</v>
      </c>
      <c r="E1003" s="10" t="s">
        <v>0</v>
      </c>
      <c r="F1003" s="11">
        <v>37987</v>
      </c>
      <c r="G1003" s="12">
        <v>45658</v>
      </c>
      <c r="H1003" s="13" t="s">
        <v>611</v>
      </c>
      <c r="I1003" s="8" t="s">
        <v>2</v>
      </c>
      <c r="J1003" s="14"/>
      <c r="K1003" s="15" t="s">
        <v>480</v>
      </c>
      <c r="L1003" t="s">
        <v>618</v>
      </c>
      <c r="M1003" t="s">
        <v>15</v>
      </c>
      <c r="N1003" t="str">
        <f t="shared" ref="N1003:N1008" si="169">_xlfn.CONCAT("https://api.bcb.gov.br/dados/serie/bcdata.sgs.",B1003,"/dados?formato=json")</f>
        <v>https://api.bcb.gov.br/dados/serie/bcdata.sgs.15886/dados?formato=json</v>
      </c>
      <c r="O1003">
        <v>6</v>
      </c>
      <c r="P1003" t="s">
        <v>619</v>
      </c>
      <c r="Q1003" t="s">
        <v>735</v>
      </c>
      <c r="R1003" t="s">
        <v>118</v>
      </c>
      <c r="S1003" t="s">
        <v>621</v>
      </c>
    </row>
    <row r="1004" spans="1:19" x14ac:dyDescent="0.25">
      <c r="A1004" s="1"/>
      <c r="B1004" s="1">
        <v>15918</v>
      </c>
      <c r="C1004" s="2" t="s">
        <v>733</v>
      </c>
      <c r="D1004" s="1" t="s">
        <v>835</v>
      </c>
      <c r="E1004" s="3" t="s">
        <v>0</v>
      </c>
      <c r="F1004" s="4">
        <v>37987</v>
      </c>
      <c r="G1004" s="5">
        <v>45658</v>
      </c>
      <c r="H1004" s="6" t="s">
        <v>611</v>
      </c>
      <c r="I1004" s="1" t="s">
        <v>2</v>
      </c>
      <c r="J1004" s="7"/>
      <c r="K1004" s="15" t="s">
        <v>480</v>
      </c>
      <c r="L1004" t="s">
        <v>618</v>
      </c>
      <c r="M1004" t="s">
        <v>15</v>
      </c>
      <c r="N1004" t="str">
        <f t="shared" si="169"/>
        <v>https://api.bcb.gov.br/dados/serie/bcdata.sgs.15918/dados?formato=json</v>
      </c>
      <c r="O1004">
        <v>6</v>
      </c>
      <c r="P1004" t="s">
        <v>619</v>
      </c>
      <c r="Q1004" t="s">
        <v>735</v>
      </c>
      <c r="R1004" t="s">
        <v>118</v>
      </c>
      <c r="S1004" t="s">
        <v>622</v>
      </c>
    </row>
    <row r="1005" spans="1:19" x14ac:dyDescent="0.25">
      <c r="A1005" s="8"/>
      <c r="B1005" s="8">
        <v>15950</v>
      </c>
      <c r="C1005" s="9" t="s">
        <v>734</v>
      </c>
      <c r="D1005" s="8" t="s">
        <v>835</v>
      </c>
      <c r="E1005" s="10" t="s">
        <v>0</v>
      </c>
      <c r="F1005" s="11">
        <v>37987</v>
      </c>
      <c r="G1005" s="12">
        <v>45658</v>
      </c>
      <c r="H1005" s="13" t="s">
        <v>611</v>
      </c>
      <c r="I1005" s="8" t="s">
        <v>2</v>
      </c>
      <c r="J1005" s="14"/>
      <c r="K1005" s="15" t="s">
        <v>480</v>
      </c>
      <c r="L1005" t="s">
        <v>618</v>
      </c>
      <c r="M1005" t="s">
        <v>15</v>
      </c>
      <c r="N1005" t="str">
        <f t="shared" si="169"/>
        <v>https://api.bcb.gov.br/dados/serie/bcdata.sgs.15950/dados?formato=json</v>
      </c>
      <c r="O1005">
        <v>6</v>
      </c>
      <c r="P1005" t="s">
        <v>619</v>
      </c>
      <c r="Q1005" t="s">
        <v>735</v>
      </c>
      <c r="R1005" t="s">
        <v>118</v>
      </c>
      <c r="S1005" t="s">
        <v>118</v>
      </c>
    </row>
    <row r="1006" spans="1:19" x14ac:dyDescent="0.25">
      <c r="A1006" s="1"/>
      <c r="B1006" s="1">
        <v>14084</v>
      </c>
      <c r="C1006" s="2" t="s">
        <v>736</v>
      </c>
      <c r="D1006" s="1" t="s">
        <v>25</v>
      </c>
      <c r="E1006" s="3" t="s">
        <v>0</v>
      </c>
      <c r="F1006" s="4">
        <v>37987</v>
      </c>
      <c r="G1006" s="5">
        <v>45658</v>
      </c>
      <c r="H1006" s="6" t="s">
        <v>611</v>
      </c>
      <c r="I1006" s="1" t="s">
        <v>2</v>
      </c>
      <c r="J1006" s="7"/>
      <c r="K1006" s="15" t="s">
        <v>24</v>
      </c>
      <c r="L1006" t="s">
        <v>617</v>
      </c>
      <c r="M1006" t="s">
        <v>15</v>
      </c>
      <c r="N1006" t="str">
        <f t="shared" si="169"/>
        <v>https://api.bcb.gov.br/dados/serie/bcdata.sgs.14084/dados?formato=json</v>
      </c>
      <c r="O1006">
        <v>6</v>
      </c>
      <c r="P1006" t="s">
        <v>671</v>
      </c>
      <c r="Q1006" t="s">
        <v>742</v>
      </c>
      <c r="R1006" t="s">
        <v>118</v>
      </c>
      <c r="S1006" t="s">
        <v>621</v>
      </c>
    </row>
    <row r="1007" spans="1:19" x14ac:dyDescent="0.25">
      <c r="A1007" s="8"/>
      <c r="B1007" s="8">
        <v>14089</v>
      </c>
      <c r="C1007" s="9" t="s">
        <v>737</v>
      </c>
      <c r="D1007" s="1" t="s">
        <v>25</v>
      </c>
      <c r="E1007" s="10" t="s">
        <v>0</v>
      </c>
      <c r="F1007" s="11">
        <v>37987</v>
      </c>
      <c r="G1007" s="12">
        <v>45658</v>
      </c>
      <c r="H1007" s="13" t="s">
        <v>611</v>
      </c>
      <c r="I1007" s="8" t="s">
        <v>2</v>
      </c>
      <c r="J1007" s="14"/>
      <c r="K1007" s="15" t="s">
        <v>24</v>
      </c>
      <c r="L1007" t="s">
        <v>617</v>
      </c>
      <c r="M1007" t="s">
        <v>15</v>
      </c>
      <c r="N1007" t="str">
        <f t="shared" si="169"/>
        <v>https://api.bcb.gov.br/dados/serie/bcdata.sgs.14089/dados?formato=json</v>
      </c>
      <c r="O1007">
        <v>6</v>
      </c>
      <c r="P1007" t="s">
        <v>671</v>
      </c>
      <c r="Q1007" t="s">
        <v>742</v>
      </c>
      <c r="R1007" t="s">
        <v>118</v>
      </c>
      <c r="S1007" t="s">
        <v>622</v>
      </c>
    </row>
    <row r="1008" spans="1:19" x14ac:dyDescent="0.25">
      <c r="A1008" s="1"/>
      <c r="B1008" s="1">
        <v>14094</v>
      </c>
      <c r="C1008" s="2" t="s">
        <v>738</v>
      </c>
      <c r="D1008" s="1" t="s">
        <v>25</v>
      </c>
      <c r="E1008" s="3" t="s">
        <v>0</v>
      </c>
      <c r="F1008" s="4">
        <v>37987</v>
      </c>
      <c r="G1008" s="5">
        <v>45658</v>
      </c>
      <c r="H1008" s="6" t="s">
        <v>611</v>
      </c>
      <c r="I1008" s="1" t="s">
        <v>2</v>
      </c>
      <c r="J1008" s="7"/>
      <c r="K1008" s="15" t="s">
        <v>24</v>
      </c>
      <c r="L1008" t="s">
        <v>617</v>
      </c>
      <c r="M1008" t="s">
        <v>15</v>
      </c>
      <c r="N1008" t="str">
        <f t="shared" si="169"/>
        <v>https://api.bcb.gov.br/dados/serie/bcdata.sgs.14094/dados?formato=json</v>
      </c>
      <c r="O1008">
        <v>6</v>
      </c>
      <c r="P1008" t="s">
        <v>671</v>
      </c>
      <c r="Q1008" t="s">
        <v>742</v>
      </c>
      <c r="R1008" t="s">
        <v>118</v>
      </c>
      <c r="S1008" t="s">
        <v>118</v>
      </c>
    </row>
    <row r="1009" spans="1:19" x14ac:dyDescent="0.25">
      <c r="A1009" s="8"/>
      <c r="B1009" s="8">
        <v>15889</v>
      </c>
      <c r="C1009" s="9" t="s">
        <v>739</v>
      </c>
      <c r="D1009" s="8" t="s">
        <v>835</v>
      </c>
      <c r="E1009" s="10" t="s">
        <v>0</v>
      </c>
      <c r="F1009" s="11">
        <v>37987</v>
      </c>
      <c r="G1009" s="12">
        <v>45658</v>
      </c>
      <c r="H1009" s="13" t="s">
        <v>611</v>
      </c>
      <c r="I1009" s="8" t="s">
        <v>2</v>
      </c>
      <c r="J1009" s="14"/>
      <c r="K1009" s="15" t="s">
        <v>480</v>
      </c>
      <c r="L1009" t="s">
        <v>618</v>
      </c>
      <c r="M1009" t="s">
        <v>15</v>
      </c>
      <c r="N1009" t="str">
        <f t="shared" ref="N1009:N1014" si="170">_xlfn.CONCAT("https://api.bcb.gov.br/dados/serie/bcdata.sgs.",B1009,"/dados?formato=json")</f>
        <v>https://api.bcb.gov.br/dados/serie/bcdata.sgs.15889/dados?formato=json</v>
      </c>
      <c r="O1009">
        <v>6</v>
      </c>
      <c r="P1009" t="s">
        <v>671</v>
      </c>
      <c r="Q1009" t="s">
        <v>742</v>
      </c>
      <c r="R1009" t="s">
        <v>118</v>
      </c>
      <c r="S1009" t="s">
        <v>621</v>
      </c>
    </row>
    <row r="1010" spans="1:19" x14ac:dyDescent="0.25">
      <c r="A1010" s="1"/>
      <c r="B1010" s="1">
        <v>15921</v>
      </c>
      <c r="C1010" s="2" t="s">
        <v>740</v>
      </c>
      <c r="D1010" s="1" t="s">
        <v>835</v>
      </c>
      <c r="E1010" s="3" t="s">
        <v>0</v>
      </c>
      <c r="F1010" s="4">
        <v>37987</v>
      </c>
      <c r="G1010" s="5">
        <v>45658</v>
      </c>
      <c r="H1010" s="6" t="s">
        <v>611</v>
      </c>
      <c r="I1010" s="1" t="s">
        <v>2</v>
      </c>
      <c r="J1010" s="7"/>
      <c r="K1010" s="15" t="s">
        <v>480</v>
      </c>
      <c r="L1010" t="s">
        <v>618</v>
      </c>
      <c r="M1010" t="s">
        <v>15</v>
      </c>
      <c r="N1010" t="str">
        <f t="shared" si="170"/>
        <v>https://api.bcb.gov.br/dados/serie/bcdata.sgs.15921/dados?formato=json</v>
      </c>
      <c r="O1010">
        <v>6</v>
      </c>
      <c r="P1010" t="s">
        <v>671</v>
      </c>
      <c r="Q1010" t="s">
        <v>742</v>
      </c>
      <c r="R1010" t="s">
        <v>118</v>
      </c>
      <c r="S1010" t="s">
        <v>622</v>
      </c>
    </row>
    <row r="1011" spans="1:19" x14ac:dyDescent="0.25">
      <c r="A1011" s="8"/>
      <c r="B1011" s="8">
        <v>15953</v>
      </c>
      <c r="C1011" s="9" t="s">
        <v>741</v>
      </c>
      <c r="D1011" s="8" t="s">
        <v>835</v>
      </c>
      <c r="E1011" s="10" t="s">
        <v>0</v>
      </c>
      <c r="F1011" s="11">
        <v>37987</v>
      </c>
      <c r="G1011" s="12">
        <v>45658</v>
      </c>
      <c r="H1011" s="13" t="s">
        <v>611</v>
      </c>
      <c r="I1011" s="8" t="s">
        <v>2</v>
      </c>
      <c r="J1011" s="14"/>
      <c r="K1011" s="15" t="s">
        <v>480</v>
      </c>
      <c r="L1011" t="s">
        <v>618</v>
      </c>
      <c r="M1011" t="s">
        <v>15</v>
      </c>
      <c r="N1011" t="str">
        <f t="shared" si="170"/>
        <v>https://api.bcb.gov.br/dados/serie/bcdata.sgs.15953/dados?formato=json</v>
      </c>
      <c r="O1011">
        <v>6</v>
      </c>
      <c r="P1011" t="s">
        <v>671</v>
      </c>
      <c r="Q1011" t="s">
        <v>742</v>
      </c>
      <c r="R1011" t="s">
        <v>118</v>
      </c>
      <c r="S1011" t="s">
        <v>118</v>
      </c>
    </row>
    <row r="1012" spans="1:19" x14ac:dyDescent="0.25">
      <c r="A1012" s="1"/>
      <c r="B1012" s="1">
        <v>14010</v>
      </c>
      <c r="C1012" s="2" t="s">
        <v>743</v>
      </c>
      <c r="D1012" s="1" t="s">
        <v>25</v>
      </c>
      <c r="E1012" s="3" t="s">
        <v>0</v>
      </c>
      <c r="F1012" s="4">
        <v>37987</v>
      </c>
      <c r="G1012" s="5">
        <v>45658</v>
      </c>
      <c r="H1012" s="6" t="s">
        <v>611</v>
      </c>
      <c r="I1012" s="1" t="s">
        <v>2</v>
      </c>
      <c r="J1012" s="7"/>
      <c r="K1012" s="15" t="s">
        <v>24</v>
      </c>
      <c r="L1012" t="s">
        <v>617</v>
      </c>
      <c r="M1012" t="s">
        <v>15</v>
      </c>
      <c r="N1012" t="str">
        <f t="shared" si="170"/>
        <v>https://api.bcb.gov.br/dados/serie/bcdata.sgs.14010/dados?formato=json</v>
      </c>
      <c r="O1012">
        <v>6</v>
      </c>
      <c r="P1012" t="s">
        <v>619</v>
      </c>
      <c r="Q1012" t="s">
        <v>749</v>
      </c>
      <c r="R1012" t="s">
        <v>118</v>
      </c>
      <c r="S1012" t="s">
        <v>621</v>
      </c>
    </row>
    <row r="1013" spans="1:19" x14ac:dyDescent="0.25">
      <c r="A1013" s="8"/>
      <c r="B1013" s="8">
        <v>14037</v>
      </c>
      <c r="C1013" s="9" t="s">
        <v>744</v>
      </c>
      <c r="D1013" s="1" t="s">
        <v>25</v>
      </c>
      <c r="E1013" s="10" t="s">
        <v>0</v>
      </c>
      <c r="F1013" s="11">
        <v>37987</v>
      </c>
      <c r="G1013" s="12">
        <v>45658</v>
      </c>
      <c r="H1013" s="13" t="s">
        <v>611</v>
      </c>
      <c r="I1013" s="8" t="s">
        <v>2</v>
      </c>
      <c r="J1013" s="14"/>
      <c r="K1013" s="15" t="s">
        <v>24</v>
      </c>
      <c r="L1013" t="s">
        <v>617</v>
      </c>
      <c r="M1013" t="s">
        <v>15</v>
      </c>
      <c r="N1013" t="str">
        <f t="shared" si="170"/>
        <v>https://api.bcb.gov.br/dados/serie/bcdata.sgs.14037/dados?formato=json</v>
      </c>
      <c r="O1013">
        <v>6</v>
      </c>
      <c r="P1013" t="s">
        <v>619</v>
      </c>
      <c r="Q1013" t="s">
        <v>749</v>
      </c>
      <c r="R1013" t="s">
        <v>118</v>
      </c>
      <c r="S1013" t="s">
        <v>622</v>
      </c>
    </row>
    <row r="1014" spans="1:19" x14ac:dyDescent="0.25">
      <c r="A1014" s="1"/>
      <c r="B1014" s="1">
        <v>14064</v>
      </c>
      <c r="C1014" s="2" t="s">
        <v>745</v>
      </c>
      <c r="D1014" s="1" t="s">
        <v>25</v>
      </c>
      <c r="E1014" s="3" t="s">
        <v>0</v>
      </c>
      <c r="F1014" s="4">
        <v>37987</v>
      </c>
      <c r="G1014" s="5">
        <v>45658</v>
      </c>
      <c r="H1014" s="6" t="s">
        <v>611</v>
      </c>
      <c r="I1014" s="1" t="s">
        <v>2</v>
      </c>
      <c r="J1014" s="7"/>
      <c r="K1014" s="15" t="s">
        <v>24</v>
      </c>
      <c r="L1014" t="s">
        <v>617</v>
      </c>
      <c r="M1014" t="s">
        <v>15</v>
      </c>
      <c r="N1014" t="str">
        <f t="shared" si="170"/>
        <v>https://api.bcb.gov.br/dados/serie/bcdata.sgs.14064/dados?formato=json</v>
      </c>
      <c r="O1014">
        <v>6</v>
      </c>
      <c r="P1014" t="s">
        <v>619</v>
      </c>
      <c r="Q1014" t="s">
        <v>749</v>
      </c>
      <c r="R1014" t="s">
        <v>118</v>
      </c>
      <c r="S1014" t="s">
        <v>118</v>
      </c>
    </row>
    <row r="1015" spans="1:19" x14ac:dyDescent="0.25">
      <c r="A1015" s="8"/>
      <c r="B1015" s="8">
        <v>15869</v>
      </c>
      <c r="C1015" s="9" t="s">
        <v>746</v>
      </c>
      <c r="D1015" s="8" t="s">
        <v>835</v>
      </c>
      <c r="E1015" s="10" t="s">
        <v>0</v>
      </c>
      <c r="F1015" s="11">
        <v>37987</v>
      </c>
      <c r="G1015" s="12">
        <v>45658</v>
      </c>
      <c r="H1015" s="13" t="s">
        <v>611</v>
      </c>
      <c r="I1015" s="8" t="s">
        <v>2</v>
      </c>
      <c r="J1015" s="14"/>
      <c r="K1015" s="15" t="s">
        <v>480</v>
      </c>
      <c r="L1015" t="s">
        <v>618</v>
      </c>
      <c r="M1015" t="s">
        <v>15</v>
      </c>
      <c r="N1015" t="str">
        <f t="shared" ref="N1015:N1020" si="171">_xlfn.CONCAT("https://api.bcb.gov.br/dados/serie/bcdata.sgs.",B1015,"/dados?formato=json")</f>
        <v>https://api.bcb.gov.br/dados/serie/bcdata.sgs.15869/dados?formato=json</v>
      </c>
      <c r="O1015">
        <v>6</v>
      </c>
      <c r="P1015" t="s">
        <v>619</v>
      </c>
      <c r="Q1015" t="s">
        <v>749</v>
      </c>
      <c r="R1015" t="s">
        <v>118</v>
      </c>
      <c r="S1015" t="s">
        <v>621</v>
      </c>
    </row>
    <row r="1016" spans="1:19" x14ac:dyDescent="0.25">
      <c r="A1016" s="1"/>
      <c r="B1016" s="1">
        <v>15901</v>
      </c>
      <c r="C1016" s="2" t="s">
        <v>747</v>
      </c>
      <c r="D1016" s="1" t="s">
        <v>835</v>
      </c>
      <c r="E1016" s="3" t="s">
        <v>0</v>
      </c>
      <c r="F1016" s="4">
        <v>37987</v>
      </c>
      <c r="G1016" s="5">
        <v>45658</v>
      </c>
      <c r="H1016" s="6" t="s">
        <v>611</v>
      </c>
      <c r="I1016" s="1" t="s">
        <v>2</v>
      </c>
      <c r="J1016" s="7"/>
      <c r="K1016" s="15" t="s">
        <v>480</v>
      </c>
      <c r="L1016" t="s">
        <v>618</v>
      </c>
      <c r="M1016" t="s">
        <v>15</v>
      </c>
      <c r="N1016" t="str">
        <f t="shared" si="171"/>
        <v>https://api.bcb.gov.br/dados/serie/bcdata.sgs.15901/dados?formato=json</v>
      </c>
      <c r="O1016">
        <v>6</v>
      </c>
      <c r="P1016" t="s">
        <v>619</v>
      </c>
      <c r="Q1016" t="s">
        <v>749</v>
      </c>
      <c r="R1016" t="s">
        <v>118</v>
      </c>
      <c r="S1016" t="s">
        <v>622</v>
      </c>
    </row>
    <row r="1017" spans="1:19" x14ac:dyDescent="0.25">
      <c r="A1017" s="8"/>
      <c r="B1017" s="8">
        <v>15933</v>
      </c>
      <c r="C1017" s="9" t="s">
        <v>748</v>
      </c>
      <c r="D1017" s="8" t="s">
        <v>835</v>
      </c>
      <c r="E1017" s="10" t="s">
        <v>0</v>
      </c>
      <c r="F1017" s="11">
        <v>37987</v>
      </c>
      <c r="G1017" s="12">
        <v>45658</v>
      </c>
      <c r="H1017" s="13" t="s">
        <v>611</v>
      </c>
      <c r="I1017" s="8" t="s">
        <v>2</v>
      </c>
      <c r="J1017" s="14"/>
      <c r="K1017" s="15" t="s">
        <v>480</v>
      </c>
      <c r="L1017" t="s">
        <v>618</v>
      </c>
      <c r="M1017" t="s">
        <v>15</v>
      </c>
      <c r="N1017" t="str">
        <f t="shared" si="171"/>
        <v>https://api.bcb.gov.br/dados/serie/bcdata.sgs.15933/dados?formato=json</v>
      </c>
      <c r="O1017">
        <v>6</v>
      </c>
      <c r="P1017" t="s">
        <v>619</v>
      </c>
      <c r="Q1017" t="s">
        <v>749</v>
      </c>
      <c r="R1017" t="s">
        <v>118</v>
      </c>
      <c r="S1017" t="s">
        <v>118</v>
      </c>
    </row>
    <row r="1018" spans="1:19" x14ac:dyDescent="0.25">
      <c r="A1018" s="1"/>
      <c r="B1018" s="1">
        <v>14008</v>
      </c>
      <c r="C1018" s="2" t="s">
        <v>750</v>
      </c>
      <c r="D1018" s="1" t="s">
        <v>25</v>
      </c>
      <c r="E1018" s="3" t="s">
        <v>0</v>
      </c>
      <c r="F1018" s="4">
        <v>37987</v>
      </c>
      <c r="G1018" s="5">
        <v>45658</v>
      </c>
      <c r="H1018" s="6" t="s">
        <v>611</v>
      </c>
      <c r="I1018" s="1" t="s">
        <v>2</v>
      </c>
      <c r="J1018" s="7"/>
      <c r="K1018" s="15" t="s">
        <v>24</v>
      </c>
      <c r="L1018" t="s">
        <v>617</v>
      </c>
      <c r="M1018" t="s">
        <v>15</v>
      </c>
      <c r="N1018" t="str">
        <f t="shared" si="171"/>
        <v>https://api.bcb.gov.br/dados/serie/bcdata.sgs.14008/dados?formato=json</v>
      </c>
      <c r="O1018">
        <v>6</v>
      </c>
      <c r="P1018" t="s">
        <v>619</v>
      </c>
      <c r="Q1018" t="s">
        <v>756</v>
      </c>
      <c r="R1018" t="s">
        <v>118</v>
      </c>
      <c r="S1018" t="s">
        <v>621</v>
      </c>
    </row>
    <row r="1019" spans="1:19" x14ac:dyDescent="0.25">
      <c r="A1019" s="8"/>
      <c r="B1019" s="8">
        <v>14035</v>
      </c>
      <c r="C1019" s="9" t="s">
        <v>751</v>
      </c>
      <c r="D1019" s="1" t="s">
        <v>25</v>
      </c>
      <c r="E1019" s="10" t="s">
        <v>0</v>
      </c>
      <c r="F1019" s="11">
        <v>37987</v>
      </c>
      <c r="G1019" s="12">
        <v>45658</v>
      </c>
      <c r="H1019" s="13" t="s">
        <v>611</v>
      </c>
      <c r="I1019" s="8" t="s">
        <v>2</v>
      </c>
      <c r="J1019" s="14"/>
      <c r="K1019" s="15" t="s">
        <v>24</v>
      </c>
      <c r="L1019" t="s">
        <v>617</v>
      </c>
      <c r="M1019" t="s">
        <v>15</v>
      </c>
      <c r="N1019" t="str">
        <f t="shared" si="171"/>
        <v>https://api.bcb.gov.br/dados/serie/bcdata.sgs.14035/dados?formato=json</v>
      </c>
      <c r="O1019">
        <v>6</v>
      </c>
      <c r="P1019" t="s">
        <v>619</v>
      </c>
      <c r="Q1019" t="s">
        <v>756</v>
      </c>
      <c r="R1019" t="s">
        <v>118</v>
      </c>
      <c r="S1019" t="s">
        <v>622</v>
      </c>
    </row>
    <row r="1020" spans="1:19" x14ac:dyDescent="0.25">
      <c r="A1020" s="1"/>
      <c r="B1020" s="1">
        <v>14062</v>
      </c>
      <c r="C1020" s="2" t="s">
        <v>752</v>
      </c>
      <c r="D1020" s="1" t="s">
        <v>25</v>
      </c>
      <c r="E1020" s="3" t="s">
        <v>0</v>
      </c>
      <c r="F1020" s="4">
        <v>37987</v>
      </c>
      <c r="G1020" s="5">
        <v>45658</v>
      </c>
      <c r="H1020" s="6" t="s">
        <v>611</v>
      </c>
      <c r="I1020" s="1" t="s">
        <v>2</v>
      </c>
      <c r="J1020" s="7"/>
      <c r="K1020" s="15" t="s">
        <v>24</v>
      </c>
      <c r="L1020" t="s">
        <v>617</v>
      </c>
      <c r="M1020" t="s">
        <v>15</v>
      </c>
      <c r="N1020" t="str">
        <f t="shared" si="171"/>
        <v>https://api.bcb.gov.br/dados/serie/bcdata.sgs.14062/dados?formato=json</v>
      </c>
      <c r="O1020">
        <v>6</v>
      </c>
      <c r="P1020" t="s">
        <v>619</v>
      </c>
      <c r="Q1020" t="s">
        <v>756</v>
      </c>
      <c r="R1020" t="s">
        <v>118</v>
      </c>
      <c r="S1020" t="s">
        <v>118</v>
      </c>
    </row>
    <row r="1021" spans="1:19" x14ac:dyDescent="0.25">
      <c r="A1021" s="8"/>
      <c r="B1021" s="8">
        <v>15867</v>
      </c>
      <c r="C1021" s="9" t="s">
        <v>753</v>
      </c>
      <c r="D1021" s="8" t="s">
        <v>835</v>
      </c>
      <c r="E1021" s="10" t="s">
        <v>0</v>
      </c>
      <c r="F1021" s="11">
        <v>37987</v>
      </c>
      <c r="G1021" s="12">
        <v>45658</v>
      </c>
      <c r="H1021" s="13" t="s">
        <v>611</v>
      </c>
      <c r="I1021" s="8" t="s">
        <v>2</v>
      </c>
      <c r="J1021" s="14"/>
      <c r="K1021" s="15" t="s">
        <v>480</v>
      </c>
      <c r="L1021" t="s">
        <v>618</v>
      </c>
      <c r="M1021" t="s">
        <v>15</v>
      </c>
      <c r="N1021" t="str">
        <f t="shared" ref="N1021:N1026" si="172">_xlfn.CONCAT("https://api.bcb.gov.br/dados/serie/bcdata.sgs.",B1021,"/dados?formato=json")</f>
        <v>https://api.bcb.gov.br/dados/serie/bcdata.sgs.15867/dados?formato=json</v>
      </c>
      <c r="O1021">
        <v>6</v>
      </c>
      <c r="P1021" t="s">
        <v>619</v>
      </c>
      <c r="Q1021" t="s">
        <v>756</v>
      </c>
      <c r="R1021" t="s">
        <v>118</v>
      </c>
      <c r="S1021" t="s">
        <v>621</v>
      </c>
    </row>
    <row r="1022" spans="1:19" x14ac:dyDescent="0.25">
      <c r="A1022" s="1"/>
      <c r="B1022" s="1">
        <v>15899</v>
      </c>
      <c r="C1022" s="2" t="s">
        <v>754</v>
      </c>
      <c r="D1022" s="1" t="s">
        <v>835</v>
      </c>
      <c r="E1022" s="3" t="s">
        <v>0</v>
      </c>
      <c r="F1022" s="4">
        <v>37987</v>
      </c>
      <c r="G1022" s="5">
        <v>45658</v>
      </c>
      <c r="H1022" s="6" t="s">
        <v>611</v>
      </c>
      <c r="I1022" s="1" t="s">
        <v>2</v>
      </c>
      <c r="J1022" s="7"/>
      <c r="K1022" s="15" t="s">
        <v>480</v>
      </c>
      <c r="L1022" t="s">
        <v>618</v>
      </c>
      <c r="M1022" t="s">
        <v>15</v>
      </c>
      <c r="N1022" t="str">
        <f t="shared" si="172"/>
        <v>https://api.bcb.gov.br/dados/serie/bcdata.sgs.15899/dados?formato=json</v>
      </c>
      <c r="O1022">
        <v>6</v>
      </c>
      <c r="P1022" t="s">
        <v>619</v>
      </c>
      <c r="Q1022" t="s">
        <v>756</v>
      </c>
      <c r="R1022" t="s">
        <v>118</v>
      </c>
      <c r="S1022" t="s">
        <v>622</v>
      </c>
    </row>
    <row r="1023" spans="1:19" x14ac:dyDescent="0.25">
      <c r="A1023" s="8"/>
      <c r="B1023" s="8">
        <v>15931</v>
      </c>
      <c r="C1023" s="9" t="s">
        <v>755</v>
      </c>
      <c r="D1023" s="8" t="s">
        <v>835</v>
      </c>
      <c r="E1023" s="10" t="s">
        <v>0</v>
      </c>
      <c r="F1023" s="11">
        <v>37987</v>
      </c>
      <c r="G1023" s="12">
        <v>45658</v>
      </c>
      <c r="H1023" s="13" t="s">
        <v>611</v>
      </c>
      <c r="I1023" s="8" t="s">
        <v>2</v>
      </c>
      <c r="J1023" s="14"/>
      <c r="K1023" s="15" t="s">
        <v>480</v>
      </c>
      <c r="L1023" t="s">
        <v>618</v>
      </c>
      <c r="M1023" t="s">
        <v>15</v>
      </c>
      <c r="N1023" t="str">
        <f t="shared" si="172"/>
        <v>https://api.bcb.gov.br/dados/serie/bcdata.sgs.15931/dados?formato=json</v>
      </c>
      <c r="O1023">
        <v>6</v>
      </c>
      <c r="P1023" t="s">
        <v>619</v>
      </c>
      <c r="Q1023" t="s">
        <v>756</v>
      </c>
      <c r="R1023" t="s">
        <v>118</v>
      </c>
      <c r="S1023" t="s">
        <v>118</v>
      </c>
    </row>
    <row r="1024" spans="1:19" x14ac:dyDescent="0.25">
      <c r="A1024" s="1"/>
      <c r="B1024" s="1">
        <v>14012</v>
      </c>
      <c r="C1024" s="2" t="s">
        <v>757</v>
      </c>
      <c r="D1024" s="1" t="s">
        <v>25</v>
      </c>
      <c r="E1024" s="3" t="s">
        <v>0</v>
      </c>
      <c r="F1024" s="4">
        <v>37987</v>
      </c>
      <c r="G1024" s="5">
        <v>45658</v>
      </c>
      <c r="H1024" s="6" t="s">
        <v>611</v>
      </c>
      <c r="I1024" s="1" t="s">
        <v>2</v>
      </c>
      <c r="J1024" s="7"/>
      <c r="K1024" s="15" t="s">
        <v>24</v>
      </c>
      <c r="L1024" t="s">
        <v>617</v>
      </c>
      <c r="M1024" t="s">
        <v>15</v>
      </c>
      <c r="N1024" t="str">
        <f t="shared" si="172"/>
        <v>https://api.bcb.gov.br/dados/serie/bcdata.sgs.14012/dados?formato=json</v>
      </c>
      <c r="O1024">
        <v>6</v>
      </c>
      <c r="P1024" t="s">
        <v>619</v>
      </c>
      <c r="Q1024" t="s">
        <v>763</v>
      </c>
      <c r="R1024" t="s">
        <v>118</v>
      </c>
      <c r="S1024" t="s">
        <v>621</v>
      </c>
    </row>
    <row r="1025" spans="1:19" x14ac:dyDescent="0.25">
      <c r="A1025" s="8"/>
      <c r="B1025" s="8">
        <v>14039</v>
      </c>
      <c r="C1025" s="9" t="s">
        <v>758</v>
      </c>
      <c r="D1025" s="1" t="s">
        <v>25</v>
      </c>
      <c r="E1025" s="10" t="s">
        <v>0</v>
      </c>
      <c r="F1025" s="11">
        <v>37987</v>
      </c>
      <c r="G1025" s="12">
        <v>45658</v>
      </c>
      <c r="H1025" s="13" t="s">
        <v>611</v>
      </c>
      <c r="I1025" s="8" t="s">
        <v>2</v>
      </c>
      <c r="J1025" s="14"/>
      <c r="K1025" s="15" t="s">
        <v>24</v>
      </c>
      <c r="L1025" t="s">
        <v>617</v>
      </c>
      <c r="M1025" t="s">
        <v>15</v>
      </c>
      <c r="N1025" t="str">
        <f t="shared" si="172"/>
        <v>https://api.bcb.gov.br/dados/serie/bcdata.sgs.14039/dados?formato=json</v>
      </c>
      <c r="O1025">
        <v>6</v>
      </c>
      <c r="P1025" t="s">
        <v>619</v>
      </c>
      <c r="Q1025" t="s">
        <v>763</v>
      </c>
      <c r="R1025" t="s">
        <v>118</v>
      </c>
      <c r="S1025" t="s">
        <v>622</v>
      </c>
    </row>
    <row r="1026" spans="1:19" x14ac:dyDescent="0.25">
      <c r="A1026" s="1"/>
      <c r="B1026" s="1">
        <v>14066</v>
      </c>
      <c r="C1026" s="2" t="s">
        <v>759</v>
      </c>
      <c r="D1026" s="1" t="s">
        <v>25</v>
      </c>
      <c r="E1026" s="3" t="s">
        <v>0</v>
      </c>
      <c r="F1026" s="4">
        <v>37987</v>
      </c>
      <c r="G1026" s="5">
        <v>45658</v>
      </c>
      <c r="H1026" s="6" t="s">
        <v>611</v>
      </c>
      <c r="I1026" s="1" t="s">
        <v>2</v>
      </c>
      <c r="J1026" s="7"/>
      <c r="K1026" s="15" t="s">
        <v>24</v>
      </c>
      <c r="L1026" t="s">
        <v>617</v>
      </c>
      <c r="M1026" t="s">
        <v>15</v>
      </c>
      <c r="N1026" t="str">
        <f t="shared" si="172"/>
        <v>https://api.bcb.gov.br/dados/serie/bcdata.sgs.14066/dados?formato=json</v>
      </c>
      <c r="O1026">
        <v>6</v>
      </c>
      <c r="P1026" t="s">
        <v>619</v>
      </c>
      <c r="Q1026" t="s">
        <v>763</v>
      </c>
      <c r="R1026" t="s">
        <v>118</v>
      </c>
      <c r="S1026" t="s">
        <v>118</v>
      </c>
    </row>
    <row r="1027" spans="1:19" x14ac:dyDescent="0.25">
      <c r="A1027" s="8"/>
      <c r="B1027" s="8">
        <v>15871</v>
      </c>
      <c r="C1027" s="9" t="s">
        <v>760</v>
      </c>
      <c r="D1027" s="8" t="s">
        <v>835</v>
      </c>
      <c r="E1027" s="10" t="s">
        <v>0</v>
      </c>
      <c r="F1027" s="11">
        <v>37987</v>
      </c>
      <c r="G1027" s="12">
        <v>45658</v>
      </c>
      <c r="H1027" s="13" t="s">
        <v>611</v>
      </c>
      <c r="I1027" s="8" t="s">
        <v>2</v>
      </c>
      <c r="J1027" s="14"/>
      <c r="K1027" s="15" t="s">
        <v>480</v>
      </c>
      <c r="L1027" t="s">
        <v>618</v>
      </c>
      <c r="M1027" t="s">
        <v>15</v>
      </c>
      <c r="N1027" t="str">
        <f t="shared" ref="N1027:N1032" si="173">_xlfn.CONCAT("https://api.bcb.gov.br/dados/serie/bcdata.sgs.",B1027,"/dados?formato=json")</f>
        <v>https://api.bcb.gov.br/dados/serie/bcdata.sgs.15871/dados?formato=json</v>
      </c>
      <c r="O1027">
        <v>6</v>
      </c>
      <c r="P1027" t="s">
        <v>619</v>
      </c>
      <c r="Q1027" t="s">
        <v>763</v>
      </c>
      <c r="R1027" t="s">
        <v>118</v>
      </c>
      <c r="S1027" t="s">
        <v>621</v>
      </c>
    </row>
    <row r="1028" spans="1:19" x14ac:dyDescent="0.25">
      <c r="A1028" s="1"/>
      <c r="B1028" s="1">
        <v>15903</v>
      </c>
      <c r="C1028" s="2" t="s">
        <v>761</v>
      </c>
      <c r="D1028" s="1" t="s">
        <v>835</v>
      </c>
      <c r="E1028" s="3" t="s">
        <v>0</v>
      </c>
      <c r="F1028" s="4">
        <v>37987</v>
      </c>
      <c r="G1028" s="5">
        <v>45658</v>
      </c>
      <c r="H1028" s="6" t="s">
        <v>611</v>
      </c>
      <c r="I1028" s="1" t="s">
        <v>2</v>
      </c>
      <c r="J1028" s="7"/>
      <c r="K1028" s="15" t="s">
        <v>480</v>
      </c>
      <c r="L1028" t="s">
        <v>618</v>
      </c>
      <c r="M1028" t="s">
        <v>15</v>
      </c>
      <c r="N1028" t="str">
        <f t="shared" si="173"/>
        <v>https://api.bcb.gov.br/dados/serie/bcdata.sgs.15903/dados?formato=json</v>
      </c>
      <c r="O1028">
        <v>6</v>
      </c>
      <c r="P1028" t="s">
        <v>619</v>
      </c>
      <c r="Q1028" t="s">
        <v>763</v>
      </c>
      <c r="R1028" t="s">
        <v>118</v>
      </c>
      <c r="S1028" t="s">
        <v>622</v>
      </c>
    </row>
    <row r="1029" spans="1:19" x14ac:dyDescent="0.25">
      <c r="A1029" s="8"/>
      <c r="B1029" s="8">
        <v>15935</v>
      </c>
      <c r="C1029" s="9" t="s">
        <v>762</v>
      </c>
      <c r="D1029" s="8" t="s">
        <v>835</v>
      </c>
      <c r="E1029" s="10" t="s">
        <v>0</v>
      </c>
      <c r="F1029" s="11">
        <v>37987</v>
      </c>
      <c r="G1029" s="12">
        <v>45658</v>
      </c>
      <c r="H1029" s="13" t="s">
        <v>611</v>
      </c>
      <c r="I1029" s="8" t="s">
        <v>2</v>
      </c>
      <c r="J1029" s="14"/>
      <c r="K1029" s="15" t="s">
        <v>480</v>
      </c>
      <c r="L1029" t="s">
        <v>618</v>
      </c>
      <c r="M1029" t="s">
        <v>15</v>
      </c>
      <c r="N1029" t="str">
        <f t="shared" si="173"/>
        <v>https://api.bcb.gov.br/dados/serie/bcdata.sgs.15935/dados?formato=json</v>
      </c>
      <c r="O1029">
        <v>6</v>
      </c>
      <c r="P1029" t="s">
        <v>619</v>
      </c>
      <c r="Q1029" t="s">
        <v>763</v>
      </c>
      <c r="R1029" t="s">
        <v>118</v>
      </c>
      <c r="S1029" t="s">
        <v>118</v>
      </c>
    </row>
    <row r="1030" spans="1:19" x14ac:dyDescent="0.25">
      <c r="A1030" s="1"/>
      <c r="B1030" s="1">
        <v>14013</v>
      </c>
      <c r="C1030" s="2" t="s">
        <v>764</v>
      </c>
      <c r="D1030" s="1" t="s">
        <v>25</v>
      </c>
      <c r="E1030" s="3" t="s">
        <v>0</v>
      </c>
      <c r="F1030" s="4">
        <v>37987</v>
      </c>
      <c r="G1030" s="5">
        <v>45658</v>
      </c>
      <c r="H1030" s="6" t="s">
        <v>611</v>
      </c>
      <c r="I1030" s="1" t="s">
        <v>2</v>
      </c>
      <c r="J1030" s="7"/>
      <c r="K1030" s="15" t="s">
        <v>24</v>
      </c>
      <c r="L1030" t="s">
        <v>617</v>
      </c>
      <c r="M1030" t="s">
        <v>15</v>
      </c>
      <c r="N1030" t="str">
        <f t="shared" si="173"/>
        <v>https://api.bcb.gov.br/dados/serie/bcdata.sgs.14013/dados?formato=json</v>
      </c>
      <c r="O1030">
        <v>6</v>
      </c>
      <c r="P1030" t="s">
        <v>619</v>
      </c>
      <c r="Q1030" t="s">
        <v>770</v>
      </c>
      <c r="R1030" t="s">
        <v>118</v>
      </c>
      <c r="S1030" t="s">
        <v>621</v>
      </c>
    </row>
    <row r="1031" spans="1:19" x14ac:dyDescent="0.25">
      <c r="A1031" s="8"/>
      <c r="B1031" s="8">
        <v>14040</v>
      </c>
      <c r="C1031" s="9" t="s">
        <v>765</v>
      </c>
      <c r="D1031" s="1" t="s">
        <v>25</v>
      </c>
      <c r="E1031" s="10" t="s">
        <v>0</v>
      </c>
      <c r="F1031" s="11">
        <v>37987</v>
      </c>
      <c r="G1031" s="12">
        <v>45658</v>
      </c>
      <c r="H1031" s="13" t="s">
        <v>611</v>
      </c>
      <c r="I1031" s="8" t="s">
        <v>2</v>
      </c>
      <c r="J1031" s="14"/>
      <c r="K1031" s="15" t="s">
        <v>24</v>
      </c>
      <c r="L1031" t="s">
        <v>617</v>
      </c>
      <c r="M1031" t="s">
        <v>15</v>
      </c>
      <c r="N1031" t="str">
        <f t="shared" si="173"/>
        <v>https://api.bcb.gov.br/dados/serie/bcdata.sgs.14040/dados?formato=json</v>
      </c>
      <c r="O1031">
        <v>6</v>
      </c>
      <c r="P1031" t="s">
        <v>619</v>
      </c>
      <c r="Q1031" t="s">
        <v>770</v>
      </c>
      <c r="R1031" t="s">
        <v>118</v>
      </c>
      <c r="S1031" t="s">
        <v>622</v>
      </c>
    </row>
    <row r="1032" spans="1:19" x14ac:dyDescent="0.25">
      <c r="A1032" s="1"/>
      <c r="B1032" s="1">
        <v>14067</v>
      </c>
      <c r="C1032" s="2" t="s">
        <v>766</v>
      </c>
      <c r="D1032" s="1" t="s">
        <v>25</v>
      </c>
      <c r="E1032" s="3" t="s">
        <v>0</v>
      </c>
      <c r="F1032" s="4">
        <v>37987</v>
      </c>
      <c r="G1032" s="5">
        <v>45658</v>
      </c>
      <c r="H1032" s="6" t="s">
        <v>611</v>
      </c>
      <c r="I1032" s="1" t="s">
        <v>2</v>
      </c>
      <c r="J1032" s="7"/>
      <c r="K1032" s="15" t="s">
        <v>24</v>
      </c>
      <c r="L1032" t="s">
        <v>617</v>
      </c>
      <c r="M1032" t="s">
        <v>15</v>
      </c>
      <c r="N1032" t="str">
        <f t="shared" si="173"/>
        <v>https://api.bcb.gov.br/dados/serie/bcdata.sgs.14067/dados?formato=json</v>
      </c>
      <c r="O1032">
        <v>6</v>
      </c>
      <c r="P1032" t="s">
        <v>619</v>
      </c>
      <c r="Q1032" t="s">
        <v>770</v>
      </c>
      <c r="R1032" t="s">
        <v>118</v>
      </c>
      <c r="S1032" t="s">
        <v>118</v>
      </c>
    </row>
    <row r="1033" spans="1:19" x14ac:dyDescent="0.25">
      <c r="A1033" s="8"/>
      <c r="B1033" s="8">
        <v>15872</v>
      </c>
      <c r="C1033" s="9" t="s">
        <v>767</v>
      </c>
      <c r="D1033" s="8" t="s">
        <v>835</v>
      </c>
      <c r="E1033" s="10" t="s">
        <v>0</v>
      </c>
      <c r="F1033" s="11">
        <v>37987</v>
      </c>
      <c r="G1033" s="12">
        <v>45658</v>
      </c>
      <c r="H1033" s="13" t="s">
        <v>611</v>
      </c>
      <c r="I1033" s="8" t="s">
        <v>2</v>
      </c>
      <c r="J1033" s="14"/>
      <c r="K1033" s="15" t="s">
        <v>480</v>
      </c>
      <c r="L1033" t="s">
        <v>618</v>
      </c>
      <c r="M1033" t="s">
        <v>15</v>
      </c>
      <c r="N1033" t="str">
        <f t="shared" ref="N1033:N1038" si="174">_xlfn.CONCAT("https://api.bcb.gov.br/dados/serie/bcdata.sgs.",B1033,"/dados?formato=json")</f>
        <v>https://api.bcb.gov.br/dados/serie/bcdata.sgs.15872/dados?formato=json</v>
      </c>
      <c r="O1033">
        <v>6</v>
      </c>
      <c r="P1033" t="s">
        <v>619</v>
      </c>
      <c r="Q1033" t="s">
        <v>770</v>
      </c>
      <c r="R1033" t="s">
        <v>118</v>
      </c>
      <c r="S1033" t="s">
        <v>621</v>
      </c>
    </row>
    <row r="1034" spans="1:19" x14ac:dyDescent="0.25">
      <c r="A1034" s="1"/>
      <c r="B1034" s="1">
        <v>15904</v>
      </c>
      <c r="C1034" s="2" t="s">
        <v>768</v>
      </c>
      <c r="D1034" s="1" t="s">
        <v>835</v>
      </c>
      <c r="E1034" s="3" t="s">
        <v>0</v>
      </c>
      <c r="F1034" s="4">
        <v>37987</v>
      </c>
      <c r="G1034" s="5">
        <v>45658</v>
      </c>
      <c r="H1034" s="6" t="s">
        <v>611</v>
      </c>
      <c r="I1034" s="1" t="s">
        <v>2</v>
      </c>
      <c r="J1034" s="7"/>
      <c r="K1034" s="15" t="s">
        <v>480</v>
      </c>
      <c r="L1034" t="s">
        <v>618</v>
      </c>
      <c r="M1034" t="s">
        <v>15</v>
      </c>
      <c r="N1034" t="str">
        <f t="shared" si="174"/>
        <v>https://api.bcb.gov.br/dados/serie/bcdata.sgs.15904/dados?formato=json</v>
      </c>
      <c r="O1034">
        <v>6</v>
      </c>
      <c r="P1034" t="s">
        <v>619</v>
      </c>
      <c r="Q1034" t="s">
        <v>770</v>
      </c>
      <c r="R1034" t="s">
        <v>118</v>
      </c>
      <c r="S1034" t="s">
        <v>622</v>
      </c>
    </row>
    <row r="1035" spans="1:19" x14ac:dyDescent="0.25">
      <c r="A1035" s="8"/>
      <c r="B1035" s="8">
        <v>15936</v>
      </c>
      <c r="C1035" s="9" t="s">
        <v>769</v>
      </c>
      <c r="D1035" s="8" t="s">
        <v>835</v>
      </c>
      <c r="E1035" s="10" t="s">
        <v>0</v>
      </c>
      <c r="F1035" s="11">
        <v>37987</v>
      </c>
      <c r="G1035" s="12">
        <v>45658</v>
      </c>
      <c r="H1035" s="13" t="s">
        <v>611</v>
      </c>
      <c r="I1035" s="8" t="s">
        <v>2</v>
      </c>
      <c r="J1035" s="14"/>
      <c r="K1035" s="15" t="s">
        <v>480</v>
      </c>
      <c r="L1035" t="s">
        <v>618</v>
      </c>
      <c r="M1035" t="s">
        <v>15</v>
      </c>
      <c r="N1035" t="str">
        <f t="shared" si="174"/>
        <v>https://api.bcb.gov.br/dados/serie/bcdata.sgs.15936/dados?formato=json</v>
      </c>
      <c r="O1035">
        <v>6</v>
      </c>
      <c r="P1035" t="s">
        <v>619</v>
      </c>
      <c r="Q1035" t="s">
        <v>770</v>
      </c>
      <c r="R1035" t="s">
        <v>118</v>
      </c>
      <c r="S1035" t="s">
        <v>118</v>
      </c>
    </row>
    <row r="1036" spans="1:19" x14ac:dyDescent="0.25">
      <c r="A1036" s="1"/>
      <c r="B1036" s="1">
        <v>14085</v>
      </c>
      <c r="C1036" s="2" t="s">
        <v>771</v>
      </c>
      <c r="D1036" s="1" t="s">
        <v>25</v>
      </c>
      <c r="E1036" s="3" t="s">
        <v>0</v>
      </c>
      <c r="F1036" s="4">
        <v>37987</v>
      </c>
      <c r="G1036" s="5">
        <v>45658</v>
      </c>
      <c r="H1036" s="6" t="s">
        <v>611</v>
      </c>
      <c r="I1036" s="1" t="s">
        <v>2</v>
      </c>
      <c r="J1036" s="7"/>
      <c r="K1036" s="15" t="s">
        <v>24</v>
      </c>
      <c r="L1036" t="s">
        <v>617</v>
      </c>
      <c r="M1036" t="s">
        <v>15</v>
      </c>
      <c r="N1036" t="str">
        <f t="shared" si="174"/>
        <v>https://api.bcb.gov.br/dados/serie/bcdata.sgs.14085/dados?formato=json</v>
      </c>
      <c r="O1036">
        <v>6</v>
      </c>
      <c r="P1036" t="s">
        <v>671</v>
      </c>
      <c r="Q1036" t="s">
        <v>777</v>
      </c>
      <c r="R1036" t="s">
        <v>118</v>
      </c>
      <c r="S1036" t="s">
        <v>621</v>
      </c>
    </row>
    <row r="1037" spans="1:19" x14ac:dyDescent="0.25">
      <c r="A1037" s="8"/>
      <c r="B1037" s="8">
        <v>14090</v>
      </c>
      <c r="C1037" s="9" t="s">
        <v>772</v>
      </c>
      <c r="D1037" s="1" t="s">
        <v>25</v>
      </c>
      <c r="E1037" s="10" t="s">
        <v>0</v>
      </c>
      <c r="F1037" s="11">
        <v>37987</v>
      </c>
      <c r="G1037" s="12">
        <v>45658</v>
      </c>
      <c r="H1037" s="13" t="s">
        <v>611</v>
      </c>
      <c r="I1037" s="8" t="s">
        <v>2</v>
      </c>
      <c r="J1037" s="14"/>
      <c r="K1037" s="15" t="s">
        <v>24</v>
      </c>
      <c r="L1037" t="s">
        <v>617</v>
      </c>
      <c r="M1037" t="s">
        <v>15</v>
      </c>
      <c r="N1037" t="str">
        <f t="shared" si="174"/>
        <v>https://api.bcb.gov.br/dados/serie/bcdata.sgs.14090/dados?formato=json</v>
      </c>
      <c r="O1037">
        <v>6</v>
      </c>
      <c r="P1037" t="s">
        <v>671</v>
      </c>
      <c r="Q1037" t="s">
        <v>777</v>
      </c>
      <c r="R1037" t="s">
        <v>118</v>
      </c>
      <c r="S1037" t="s">
        <v>622</v>
      </c>
    </row>
    <row r="1038" spans="1:19" x14ac:dyDescent="0.25">
      <c r="A1038" s="1"/>
      <c r="B1038" s="1">
        <v>14095</v>
      </c>
      <c r="C1038" s="2" t="s">
        <v>773</v>
      </c>
      <c r="D1038" s="1" t="s">
        <v>25</v>
      </c>
      <c r="E1038" s="3" t="s">
        <v>0</v>
      </c>
      <c r="F1038" s="4">
        <v>37987</v>
      </c>
      <c r="G1038" s="5">
        <v>45658</v>
      </c>
      <c r="H1038" s="6" t="s">
        <v>611</v>
      </c>
      <c r="I1038" s="1" t="s">
        <v>2</v>
      </c>
      <c r="J1038" s="7"/>
      <c r="K1038" s="15" t="s">
        <v>24</v>
      </c>
      <c r="L1038" t="s">
        <v>617</v>
      </c>
      <c r="M1038" t="s">
        <v>15</v>
      </c>
      <c r="N1038" t="str">
        <f t="shared" si="174"/>
        <v>https://api.bcb.gov.br/dados/serie/bcdata.sgs.14095/dados?formato=json</v>
      </c>
      <c r="O1038">
        <v>6</v>
      </c>
      <c r="P1038" t="s">
        <v>671</v>
      </c>
      <c r="Q1038" t="s">
        <v>777</v>
      </c>
      <c r="R1038" t="s">
        <v>118</v>
      </c>
      <c r="S1038" t="s">
        <v>118</v>
      </c>
    </row>
    <row r="1039" spans="1:19" x14ac:dyDescent="0.25">
      <c r="A1039" s="8"/>
      <c r="B1039" s="8">
        <v>15890</v>
      </c>
      <c r="C1039" s="9" t="s">
        <v>774</v>
      </c>
      <c r="D1039" s="8" t="s">
        <v>835</v>
      </c>
      <c r="E1039" s="10" t="s">
        <v>0</v>
      </c>
      <c r="F1039" s="11">
        <v>37987</v>
      </c>
      <c r="G1039" s="12">
        <v>45658</v>
      </c>
      <c r="H1039" s="13" t="s">
        <v>611</v>
      </c>
      <c r="I1039" s="8" t="s">
        <v>2</v>
      </c>
      <c r="J1039" s="14"/>
      <c r="K1039" s="15" t="s">
        <v>480</v>
      </c>
      <c r="L1039" t="s">
        <v>618</v>
      </c>
      <c r="M1039" t="s">
        <v>15</v>
      </c>
      <c r="N1039" t="str">
        <f t="shared" ref="N1039:N1044" si="175">_xlfn.CONCAT("https://api.bcb.gov.br/dados/serie/bcdata.sgs.",B1039,"/dados?formato=json")</f>
        <v>https://api.bcb.gov.br/dados/serie/bcdata.sgs.15890/dados?formato=json</v>
      </c>
      <c r="O1039">
        <v>6</v>
      </c>
      <c r="P1039" t="s">
        <v>671</v>
      </c>
      <c r="Q1039" t="s">
        <v>777</v>
      </c>
      <c r="R1039" t="s">
        <v>118</v>
      </c>
      <c r="S1039" t="s">
        <v>621</v>
      </c>
    </row>
    <row r="1040" spans="1:19" x14ac:dyDescent="0.25">
      <c r="A1040" s="1"/>
      <c r="B1040" s="1">
        <v>15922</v>
      </c>
      <c r="C1040" s="2" t="s">
        <v>775</v>
      </c>
      <c r="D1040" s="1" t="s">
        <v>835</v>
      </c>
      <c r="E1040" s="3" t="s">
        <v>0</v>
      </c>
      <c r="F1040" s="4">
        <v>37987</v>
      </c>
      <c r="G1040" s="5">
        <v>45658</v>
      </c>
      <c r="H1040" s="6" t="s">
        <v>611</v>
      </c>
      <c r="I1040" s="1" t="s">
        <v>2</v>
      </c>
      <c r="J1040" s="7"/>
      <c r="K1040" s="15" t="s">
        <v>480</v>
      </c>
      <c r="L1040" t="s">
        <v>618</v>
      </c>
      <c r="M1040" t="s">
        <v>15</v>
      </c>
      <c r="N1040" t="str">
        <f t="shared" si="175"/>
        <v>https://api.bcb.gov.br/dados/serie/bcdata.sgs.15922/dados?formato=json</v>
      </c>
      <c r="O1040">
        <v>6</v>
      </c>
      <c r="P1040" t="s">
        <v>671</v>
      </c>
      <c r="Q1040" t="s">
        <v>777</v>
      </c>
      <c r="R1040" t="s">
        <v>118</v>
      </c>
      <c r="S1040" t="s">
        <v>622</v>
      </c>
    </row>
    <row r="1041" spans="1:19" x14ac:dyDescent="0.25">
      <c r="A1041" s="8"/>
      <c r="B1041" s="8">
        <v>15954</v>
      </c>
      <c r="C1041" s="9" t="s">
        <v>776</v>
      </c>
      <c r="D1041" s="8" t="s">
        <v>835</v>
      </c>
      <c r="E1041" s="10" t="s">
        <v>0</v>
      </c>
      <c r="F1041" s="11">
        <v>37987</v>
      </c>
      <c r="G1041" s="12">
        <v>45658</v>
      </c>
      <c r="H1041" s="13" t="s">
        <v>611</v>
      </c>
      <c r="I1041" s="8" t="s">
        <v>2</v>
      </c>
      <c r="J1041" s="14"/>
      <c r="K1041" s="15" t="s">
        <v>480</v>
      </c>
      <c r="L1041" t="s">
        <v>618</v>
      </c>
      <c r="M1041" t="s">
        <v>15</v>
      </c>
      <c r="N1041" t="str">
        <f t="shared" si="175"/>
        <v>https://api.bcb.gov.br/dados/serie/bcdata.sgs.15954/dados?formato=json</v>
      </c>
      <c r="O1041">
        <v>6</v>
      </c>
      <c r="P1041" t="s">
        <v>671</v>
      </c>
      <c r="Q1041" t="s">
        <v>777</v>
      </c>
      <c r="R1041" t="s">
        <v>118</v>
      </c>
      <c r="S1041" t="s">
        <v>118</v>
      </c>
    </row>
    <row r="1042" spans="1:19" x14ac:dyDescent="0.25">
      <c r="A1042" s="1"/>
      <c r="B1042" s="1">
        <v>14009</v>
      </c>
      <c r="C1042" s="2" t="s">
        <v>778</v>
      </c>
      <c r="D1042" s="1" t="s">
        <v>25</v>
      </c>
      <c r="E1042" s="3" t="s">
        <v>0</v>
      </c>
      <c r="F1042" s="4">
        <v>37987</v>
      </c>
      <c r="G1042" s="5">
        <v>45658</v>
      </c>
      <c r="H1042" s="6" t="s">
        <v>611</v>
      </c>
      <c r="I1042" s="1" t="s">
        <v>2</v>
      </c>
      <c r="J1042" s="7"/>
      <c r="K1042" s="15" t="s">
        <v>24</v>
      </c>
      <c r="L1042" t="s">
        <v>617</v>
      </c>
      <c r="M1042" t="s">
        <v>15</v>
      </c>
      <c r="N1042" t="str">
        <f t="shared" si="175"/>
        <v>https://api.bcb.gov.br/dados/serie/bcdata.sgs.14009/dados?formato=json</v>
      </c>
      <c r="O1042">
        <v>6</v>
      </c>
      <c r="P1042" t="s">
        <v>619</v>
      </c>
      <c r="Q1042" t="s">
        <v>784</v>
      </c>
      <c r="R1042" t="s">
        <v>118</v>
      </c>
      <c r="S1042" t="s">
        <v>621</v>
      </c>
    </row>
    <row r="1043" spans="1:19" x14ac:dyDescent="0.25">
      <c r="A1043" s="8"/>
      <c r="B1043" s="8">
        <v>14036</v>
      </c>
      <c r="C1043" s="9" t="s">
        <v>779</v>
      </c>
      <c r="D1043" s="1" t="s">
        <v>25</v>
      </c>
      <c r="E1043" s="10" t="s">
        <v>0</v>
      </c>
      <c r="F1043" s="11">
        <v>37987</v>
      </c>
      <c r="G1043" s="12">
        <v>45658</v>
      </c>
      <c r="H1043" s="13" t="s">
        <v>611</v>
      </c>
      <c r="I1043" s="8" t="s">
        <v>2</v>
      </c>
      <c r="J1043" s="14"/>
      <c r="K1043" s="15" t="s">
        <v>24</v>
      </c>
      <c r="L1043" t="s">
        <v>617</v>
      </c>
      <c r="M1043" t="s">
        <v>15</v>
      </c>
      <c r="N1043" t="str">
        <f t="shared" si="175"/>
        <v>https://api.bcb.gov.br/dados/serie/bcdata.sgs.14036/dados?formato=json</v>
      </c>
      <c r="O1043">
        <v>6</v>
      </c>
      <c r="P1043" t="s">
        <v>619</v>
      </c>
      <c r="Q1043" t="s">
        <v>784</v>
      </c>
      <c r="R1043" t="s">
        <v>118</v>
      </c>
      <c r="S1043" t="s">
        <v>622</v>
      </c>
    </row>
    <row r="1044" spans="1:19" x14ac:dyDescent="0.25">
      <c r="A1044" s="1"/>
      <c r="B1044" s="1">
        <v>14063</v>
      </c>
      <c r="C1044" s="2" t="s">
        <v>780</v>
      </c>
      <c r="D1044" s="1" t="s">
        <v>25</v>
      </c>
      <c r="E1044" s="3" t="s">
        <v>0</v>
      </c>
      <c r="F1044" s="4">
        <v>37987</v>
      </c>
      <c r="G1044" s="5">
        <v>45658</v>
      </c>
      <c r="H1044" s="6" t="s">
        <v>611</v>
      </c>
      <c r="I1044" s="1" t="s">
        <v>2</v>
      </c>
      <c r="J1044" s="7"/>
      <c r="K1044" s="15" t="s">
        <v>24</v>
      </c>
      <c r="L1044" t="s">
        <v>617</v>
      </c>
      <c r="M1044" t="s">
        <v>15</v>
      </c>
      <c r="N1044" t="str">
        <f t="shared" si="175"/>
        <v>https://api.bcb.gov.br/dados/serie/bcdata.sgs.14063/dados?formato=json</v>
      </c>
      <c r="O1044">
        <v>6</v>
      </c>
      <c r="P1044" t="s">
        <v>619</v>
      </c>
      <c r="Q1044" t="s">
        <v>784</v>
      </c>
      <c r="R1044" t="s">
        <v>118</v>
      </c>
      <c r="S1044" t="s">
        <v>118</v>
      </c>
    </row>
    <row r="1045" spans="1:19" x14ac:dyDescent="0.25">
      <c r="A1045" s="8"/>
      <c r="B1045" s="8">
        <v>15868</v>
      </c>
      <c r="C1045" s="9" t="s">
        <v>781</v>
      </c>
      <c r="D1045" s="8" t="s">
        <v>835</v>
      </c>
      <c r="E1045" s="10" t="s">
        <v>0</v>
      </c>
      <c r="F1045" s="11">
        <v>37987</v>
      </c>
      <c r="G1045" s="12">
        <v>45658</v>
      </c>
      <c r="H1045" s="13" t="s">
        <v>611</v>
      </c>
      <c r="I1045" s="8" t="s">
        <v>2</v>
      </c>
      <c r="J1045" s="14"/>
      <c r="K1045" s="15" t="s">
        <v>480</v>
      </c>
      <c r="L1045" t="s">
        <v>618</v>
      </c>
      <c r="M1045" t="s">
        <v>15</v>
      </c>
      <c r="N1045" t="str">
        <f t="shared" ref="N1045:N1050" si="176">_xlfn.CONCAT("https://api.bcb.gov.br/dados/serie/bcdata.sgs.",B1045,"/dados?formato=json")</f>
        <v>https://api.bcb.gov.br/dados/serie/bcdata.sgs.15868/dados?formato=json</v>
      </c>
      <c r="O1045">
        <v>6</v>
      </c>
      <c r="P1045" t="s">
        <v>619</v>
      </c>
      <c r="Q1045" t="s">
        <v>784</v>
      </c>
      <c r="R1045" t="s">
        <v>118</v>
      </c>
      <c r="S1045" t="s">
        <v>621</v>
      </c>
    </row>
    <row r="1046" spans="1:19" x14ac:dyDescent="0.25">
      <c r="A1046" s="1"/>
      <c r="B1046" s="1">
        <v>15900</v>
      </c>
      <c r="C1046" s="2" t="s">
        <v>782</v>
      </c>
      <c r="D1046" s="1" t="s">
        <v>835</v>
      </c>
      <c r="E1046" s="3" t="s">
        <v>0</v>
      </c>
      <c r="F1046" s="4">
        <v>37987</v>
      </c>
      <c r="G1046" s="5">
        <v>45658</v>
      </c>
      <c r="H1046" s="6" t="s">
        <v>611</v>
      </c>
      <c r="I1046" s="1" t="s">
        <v>2</v>
      </c>
      <c r="J1046" s="7"/>
      <c r="K1046" s="15" t="s">
        <v>480</v>
      </c>
      <c r="L1046" t="s">
        <v>618</v>
      </c>
      <c r="M1046" t="s">
        <v>15</v>
      </c>
      <c r="N1046" t="str">
        <f t="shared" si="176"/>
        <v>https://api.bcb.gov.br/dados/serie/bcdata.sgs.15900/dados?formato=json</v>
      </c>
      <c r="O1046">
        <v>6</v>
      </c>
      <c r="P1046" t="s">
        <v>619</v>
      </c>
      <c r="Q1046" t="s">
        <v>784</v>
      </c>
      <c r="R1046" t="s">
        <v>118</v>
      </c>
      <c r="S1046" t="s">
        <v>622</v>
      </c>
    </row>
    <row r="1047" spans="1:19" x14ac:dyDescent="0.25">
      <c r="A1047" s="8"/>
      <c r="B1047" s="8">
        <v>15932</v>
      </c>
      <c r="C1047" s="9" t="s">
        <v>783</v>
      </c>
      <c r="D1047" s="8" t="s">
        <v>835</v>
      </c>
      <c r="E1047" s="10" t="s">
        <v>0</v>
      </c>
      <c r="F1047" s="11">
        <v>37987</v>
      </c>
      <c r="G1047" s="12">
        <v>45658</v>
      </c>
      <c r="H1047" s="13" t="s">
        <v>611</v>
      </c>
      <c r="I1047" s="8" t="s">
        <v>2</v>
      </c>
      <c r="J1047" s="14"/>
      <c r="K1047" s="15" t="s">
        <v>480</v>
      </c>
      <c r="L1047" t="s">
        <v>618</v>
      </c>
      <c r="M1047" t="s">
        <v>15</v>
      </c>
      <c r="N1047" t="str">
        <f t="shared" si="176"/>
        <v>https://api.bcb.gov.br/dados/serie/bcdata.sgs.15932/dados?formato=json</v>
      </c>
      <c r="O1047">
        <v>6</v>
      </c>
      <c r="P1047" t="s">
        <v>619</v>
      </c>
      <c r="Q1047" t="s">
        <v>784</v>
      </c>
      <c r="R1047" t="s">
        <v>118</v>
      </c>
      <c r="S1047" t="s">
        <v>118</v>
      </c>
    </row>
    <row r="1048" spans="1:19" x14ac:dyDescent="0.25">
      <c r="A1048" s="1"/>
      <c r="B1048" s="1">
        <v>14014</v>
      </c>
      <c r="C1048" s="2" t="s">
        <v>785</v>
      </c>
      <c r="D1048" s="1" t="s">
        <v>25</v>
      </c>
      <c r="E1048" s="3" t="s">
        <v>0</v>
      </c>
      <c r="F1048" s="4">
        <v>37987</v>
      </c>
      <c r="G1048" s="5">
        <v>45658</v>
      </c>
      <c r="H1048" s="6" t="s">
        <v>611</v>
      </c>
      <c r="I1048" s="1" t="s">
        <v>2</v>
      </c>
      <c r="J1048" s="7"/>
      <c r="K1048" s="15" t="s">
        <v>24</v>
      </c>
      <c r="L1048" t="s">
        <v>617</v>
      </c>
      <c r="M1048" t="s">
        <v>15</v>
      </c>
      <c r="N1048" t="str">
        <f t="shared" si="176"/>
        <v>https://api.bcb.gov.br/dados/serie/bcdata.sgs.14014/dados?formato=json</v>
      </c>
      <c r="O1048">
        <v>6</v>
      </c>
      <c r="P1048" t="s">
        <v>619</v>
      </c>
      <c r="Q1048" t="s">
        <v>791</v>
      </c>
      <c r="R1048" t="s">
        <v>118</v>
      </c>
      <c r="S1048" t="s">
        <v>621</v>
      </c>
    </row>
    <row r="1049" spans="1:19" x14ac:dyDescent="0.25">
      <c r="A1049" s="8"/>
      <c r="B1049" s="8">
        <v>14041</v>
      </c>
      <c r="C1049" s="9" t="s">
        <v>786</v>
      </c>
      <c r="D1049" s="1" t="s">
        <v>25</v>
      </c>
      <c r="E1049" s="10" t="s">
        <v>0</v>
      </c>
      <c r="F1049" s="11">
        <v>37987</v>
      </c>
      <c r="G1049" s="12">
        <v>45658</v>
      </c>
      <c r="H1049" s="13" t="s">
        <v>611</v>
      </c>
      <c r="I1049" s="8" t="s">
        <v>2</v>
      </c>
      <c r="J1049" s="14"/>
      <c r="K1049" s="15" t="s">
        <v>24</v>
      </c>
      <c r="L1049" t="s">
        <v>617</v>
      </c>
      <c r="M1049" t="s">
        <v>15</v>
      </c>
      <c r="N1049" t="str">
        <f t="shared" si="176"/>
        <v>https://api.bcb.gov.br/dados/serie/bcdata.sgs.14041/dados?formato=json</v>
      </c>
      <c r="O1049">
        <v>6</v>
      </c>
      <c r="P1049" t="s">
        <v>619</v>
      </c>
      <c r="Q1049" t="s">
        <v>791</v>
      </c>
      <c r="R1049" t="s">
        <v>118</v>
      </c>
      <c r="S1049" t="s">
        <v>622</v>
      </c>
    </row>
    <row r="1050" spans="1:19" x14ac:dyDescent="0.25">
      <c r="A1050" s="1"/>
      <c r="B1050" s="1">
        <v>14068</v>
      </c>
      <c r="C1050" s="2" t="s">
        <v>787</v>
      </c>
      <c r="D1050" s="1" t="s">
        <v>25</v>
      </c>
      <c r="E1050" s="3" t="s">
        <v>0</v>
      </c>
      <c r="F1050" s="4">
        <v>37987</v>
      </c>
      <c r="G1050" s="5">
        <v>45658</v>
      </c>
      <c r="H1050" s="6" t="s">
        <v>611</v>
      </c>
      <c r="I1050" s="1" t="s">
        <v>2</v>
      </c>
      <c r="J1050" s="7"/>
      <c r="K1050" s="15" t="s">
        <v>24</v>
      </c>
      <c r="L1050" t="s">
        <v>617</v>
      </c>
      <c r="M1050" t="s">
        <v>15</v>
      </c>
      <c r="N1050" t="str">
        <f t="shared" si="176"/>
        <v>https://api.bcb.gov.br/dados/serie/bcdata.sgs.14068/dados?formato=json</v>
      </c>
      <c r="O1050">
        <v>6</v>
      </c>
      <c r="P1050" t="s">
        <v>619</v>
      </c>
      <c r="Q1050" t="s">
        <v>791</v>
      </c>
      <c r="R1050" t="s">
        <v>118</v>
      </c>
      <c r="S1050" t="s">
        <v>118</v>
      </c>
    </row>
    <row r="1051" spans="1:19" x14ac:dyDescent="0.25">
      <c r="A1051" s="8"/>
      <c r="B1051" s="8">
        <v>15873</v>
      </c>
      <c r="C1051" s="9" t="s">
        <v>788</v>
      </c>
      <c r="D1051" s="8" t="s">
        <v>835</v>
      </c>
      <c r="E1051" s="10" t="s">
        <v>0</v>
      </c>
      <c r="F1051" s="11">
        <v>37987</v>
      </c>
      <c r="G1051" s="12">
        <v>45658</v>
      </c>
      <c r="H1051" s="13" t="s">
        <v>611</v>
      </c>
      <c r="I1051" s="8" t="s">
        <v>2</v>
      </c>
      <c r="J1051" s="14"/>
      <c r="K1051" s="15" t="s">
        <v>480</v>
      </c>
      <c r="L1051" t="s">
        <v>618</v>
      </c>
      <c r="M1051" t="s">
        <v>15</v>
      </c>
      <c r="N1051" t="str">
        <f t="shared" ref="N1051:N1056" si="177">_xlfn.CONCAT("https://api.bcb.gov.br/dados/serie/bcdata.sgs.",B1051,"/dados?formato=json")</f>
        <v>https://api.bcb.gov.br/dados/serie/bcdata.sgs.15873/dados?formato=json</v>
      </c>
      <c r="O1051">
        <v>6</v>
      </c>
      <c r="P1051" t="s">
        <v>619</v>
      </c>
      <c r="Q1051" t="s">
        <v>791</v>
      </c>
      <c r="R1051" t="s">
        <v>118</v>
      </c>
      <c r="S1051" t="s">
        <v>621</v>
      </c>
    </row>
    <row r="1052" spans="1:19" x14ac:dyDescent="0.25">
      <c r="A1052" s="1"/>
      <c r="B1052" s="1">
        <v>15905</v>
      </c>
      <c r="C1052" s="2" t="s">
        <v>789</v>
      </c>
      <c r="D1052" s="1" t="s">
        <v>835</v>
      </c>
      <c r="E1052" s="3" t="s">
        <v>0</v>
      </c>
      <c r="F1052" s="4">
        <v>37987</v>
      </c>
      <c r="G1052" s="5">
        <v>45658</v>
      </c>
      <c r="H1052" s="6" t="s">
        <v>611</v>
      </c>
      <c r="I1052" s="1" t="s">
        <v>2</v>
      </c>
      <c r="J1052" s="7"/>
      <c r="K1052" s="15" t="s">
        <v>480</v>
      </c>
      <c r="L1052" t="s">
        <v>618</v>
      </c>
      <c r="M1052" t="s">
        <v>15</v>
      </c>
      <c r="N1052" t="str">
        <f t="shared" si="177"/>
        <v>https://api.bcb.gov.br/dados/serie/bcdata.sgs.15905/dados?formato=json</v>
      </c>
      <c r="O1052">
        <v>6</v>
      </c>
      <c r="P1052" t="s">
        <v>619</v>
      </c>
      <c r="Q1052" t="s">
        <v>791</v>
      </c>
      <c r="R1052" t="s">
        <v>118</v>
      </c>
      <c r="S1052" t="s">
        <v>622</v>
      </c>
    </row>
    <row r="1053" spans="1:19" x14ac:dyDescent="0.25">
      <c r="A1053" s="8"/>
      <c r="B1053" s="8">
        <v>15937</v>
      </c>
      <c r="C1053" s="9" t="s">
        <v>790</v>
      </c>
      <c r="D1053" s="8" t="s">
        <v>835</v>
      </c>
      <c r="E1053" s="10" t="s">
        <v>0</v>
      </c>
      <c r="F1053" s="11">
        <v>37987</v>
      </c>
      <c r="G1053" s="12">
        <v>45658</v>
      </c>
      <c r="H1053" s="13" t="s">
        <v>611</v>
      </c>
      <c r="I1053" s="8" t="s">
        <v>2</v>
      </c>
      <c r="J1053" s="14"/>
      <c r="K1053" s="15" t="s">
        <v>480</v>
      </c>
      <c r="L1053" t="s">
        <v>618</v>
      </c>
      <c r="M1053" t="s">
        <v>15</v>
      </c>
      <c r="N1053" t="str">
        <f t="shared" si="177"/>
        <v>https://api.bcb.gov.br/dados/serie/bcdata.sgs.15937/dados?formato=json</v>
      </c>
      <c r="O1053">
        <v>6</v>
      </c>
      <c r="P1053" t="s">
        <v>619</v>
      </c>
      <c r="Q1053" t="s">
        <v>791</v>
      </c>
      <c r="R1053" t="s">
        <v>118</v>
      </c>
      <c r="S1053" t="s">
        <v>118</v>
      </c>
    </row>
    <row r="1054" spans="1:19" x14ac:dyDescent="0.25">
      <c r="A1054" s="1"/>
      <c r="B1054" s="1">
        <v>14020</v>
      </c>
      <c r="C1054" s="2" t="s">
        <v>792</v>
      </c>
      <c r="D1054" s="1" t="s">
        <v>25</v>
      </c>
      <c r="E1054" s="3" t="s">
        <v>0</v>
      </c>
      <c r="F1054" s="4">
        <v>37987</v>
      </c>
      <c r="G1054" s="5">
        <v>45658</v>
      </c>
      <c r="H1054" s="6" t="s">
        <v>611</v>
      </c>
      <c r="I1054" s="1" t="s">
        <v>2</v>
      </c>
      <c r="J1054" s="7"/>
      <c r="K1054" s="15" t="s">
        <v>24</v>
      </c>
      <c r="L1054" t="s">
        <v>617</v>
      </c>
      <c r="M1054" t="s">
        <v>15</v>
      </c>
      <c r="N1054" t="str">
        <f t="shared" si="177"/>
        <v>https://api.bcb.gov.br/dados/serie/bcdata.sgs.14020/dados?formato=json</v>
      </c>
      <c r="O1054">
        <v>6</v>
      </c>
      <c r="P1054" t="s">
        <v>619</v>
      </c>
      <c r="Q1054" t="s">
        <v>798</v>
      </c>
      <c r="R1054" t="s">
        <v>118</v>
      </c>
      <c r="S1054" t="s">
        <v>621</v>
      </c>
    </row>
    <row r="1055" spans="1:19" x14ac:dyDescent="0.25">
      <c r="A1055" s="8"/>
      <c r="B1055" s="8">
        <v>14047</v>
      </c>
      <c r="C1055" s="9" t="s">
        <v>793</v>
      </c>
      <c r="D1055" s="1" t="s">
        <v>25</v>
      </c>
      <c r="E1055" s="10" t="s">
        <v>0</v>
      </c>
      <c r="F1055" s="11">
        <v>37987</v>
      </c>
      <c r="G1055" s="12">
        <v>45658</v>
      </c>
      <c r="H1055" s="13" t="s">
        <v>611</v>
      </c>
      <c r="I1055" s="8" t="s">
        <v>2</v>
      </c>
      <c r="J1055" s="14"/>
      <c r="K1055" s="15" t="s">
        <v>24</v>
      </c>
      <c r="L1055" t="s">
        <v>617</v>
      </c>
      <c r="M1055" t="s">
        <v>15</v>
      </c>
      <c r="N1055" t="str">
        <f t="shared" si="177"/>
        <v>https://api.bcb.gov.br/dados/serie/bcdata.sgs.14047/dados?formato=json</v>
      </c>
      <c r="O1055">
        <v>6</v>
      </c>
      <c r="P1055" t="s">
        <v>619</v>
      </c>
      <c r="Q1055" t="s">
        <v>798</v>
      </c>
      <c r="R1055" t="s">
        <v>118</v>
      </c>
      <c r="S1055" t="s">
        <v>622</v>
      </c>
    </row>
    <row r="1056" spans="1:19" x14ac:dyDescent="0.25">
      <c r="A1056" s="1"/>
      <c r="B1056" s="1">
        <v>14074</v>
      </c>
      <c r="C1056" s="2" t="s">
        <v>794</v>
      </c>
      <c r="D1056" s="1" t="s">
        <v>25</v>
      </c>
      <c r="E1056" s="3" t="s">
        <v>0</v>
      </c>
      <c r="F1056" s="4">
        <v>37987</v>
      </c>
      <c r="G1056" s="5">
        <v>45658</v>
      </c>
      <c r="H1056" s="6" t="s">
        <v>611</v>
      </c>
      <c r="I1056" s="1" t="s">
        <v>2</v>
      </c>
      <c r="J1056" s="7"/>
      <c r="K1056" s="15" t="s">
        <v>24</v>
      </c>
      <c r="L1056" t="s">
        <v>617</v>
      </c>
      <c r="M1056" t="s">
        <v>15</v>
      </c>
      <c r="N1056" t="str">
        <f t="shared" si="177"/>
        <v>https://api.bcb.gov.br/dados/serie/bcdata.sgs.14074/dados?formato=json</v>
      </c>
      <c r="O1056">
        <v>6</v>
      </c>
      <c r="P1056" t="s">
        <v>619</v>
      </c>
      <c r="Q1056" t="s">
        <v>798</v>
      </c>
      <c r="R1056" t="s">
        <v>118</v>
      </c>
      <c r="S1056" t="s">
        <v>118</v>
      </c>
    </row>
    <row r="1057" spans="1:19" x14ac:dyDescent="0.25">
      <c r="A1057" s="8"/>
      <c r="B1057" s="8">
        <v>15879</v>
      </c>
      <c r="C1057" s="9" t="s">
        <v>795</v>
      </c>
      <c r="D1057" s="8" t="s">
        <v>835</v>
      </c>
      <c r="E1057" s="10" t="s">
        <v>0</v>
      </c>
      <c r="F1057" s="11">
        <v>37987</v>
      </c>
      <c r="G1057" s="12">
        <v>45658</v>
      </c>
      <c r="H1057" s="13" t="s">
        <v>611</v>
      </c>
      <c r="I1057" s="8" t="s">
        <v>2</v>
      </c>
      <c r="J1057" s="14"/>
      <c r="K1057" s="15" t="s">
        <v>480</v>
      </c>
      <c r="L1057" t="s">
        <v>618</v>
      </c>
      <c r="M1057" t="s">
        <v>15</v>
      </c>
      <c r="N1057" t="str">
        <f t="shared" ref="N1057:N1062" si="178">_xlfn.CONCAT("https://api.bcb.gov.br/dados/serie/bcdata.sgs.",B1057,"/dados?formato=json")</f>
        <v>https://api.bcb.gov.br/dados/serie/bcdata.sgs.15879/dados?formato=json</v>
      </c>
      <c r="O1057">
        <v>6</v>
      </c>
      <c r="P1057" t="s">
        <v>619</v>
      </c>
      <c r="Q1057" t="s">
        <v>798</v>
      </c>
      <c r="R1057" t="s">
        <v>118</v>
      </c>
      <c r="S1057" t="s">
        <v>621</v>
      </c>
    </row>
    <row r="1058" spans="1:19" x14ac:dyDescent="0.25">
      <c r="A1058" s="1"/>
      <c r="B1058" s="1">
        <v>15911</v>
      </c>
      <c r="C1058" s="2" t="s">
        <v>796</v>
      </c>
      <c r="D1058" s="1" t="s">
        <v>835</v>
      </c>
      <c r="E1058" s="3" t="s">
        <v>0</v>
      </c>
      <c r="F1058" s="4">
        <v>37987</v>
      </c>
      <c r="G1058" s="5">
        <v>45658</v>
      </c>
      <c r="H1058" s="6" t="s">
        <v>611</v>
      </c>
      <c r="I1058" s="1" t="s">
        <v>2</v>
      </c>
      <c r="J1058" s="7"/>
      <c r="K1058" s="15" t="s">
        <v>480</v>
      </c>
      <c r="L1058" t="s">
        <v>618</v>
      </c>
      <c r="M1058" t="s">
        <v>15</v>
      </c>
      <c r="N1058" t="str">
        <f t="shared" si="178"/>
        <v>https://api.bcb.gov.br/dados/serie/bcdata.sgs.15911/dados?formato=json</v>
      </c>
      <c r="O1058">
        <v>6</v>
      </c>
      <c r="P1058" t="s">
        <v>619</v>
      </c>
      <c r="Q1058" t="s">
        <v>798</v>
      </c>
      <c r="R1058" t="s">
        <v>118</v>
      </c>
      <c r="S1058" t="s">
        <v>622</v>
      </c>
    </row>
    <row r="1059" spans="1:19" x14ac:dyDescent="0.25">
      <c r="A1059" s="8"/>
      <c r="B1059" s="8">
        <v>15943</v>
      </c>
      <c r="C1059" s="9" t="s">
        <v>797</v>
      </c>
      <c r="D1059" s="8" t="s">
        <v>835</v>
      </c>
      <c r="E1059" s="10" t="s">
        <v>0</v>
      </c>
      <c r="F1059" s="11">
        <v>37987</v>
      </c>
      <c r="G1059" s="12">
        <v>45658</v>
      </c>
      <c r="H1059" s="13" t="s">
        <v>611</v>
      </c>
      <c r="I1059" s="8" t="s">
        <v>2</v>
      </c>
      <c r="J1059" s="14"/>
      <c r="K1059" s="15" t="s">
        <v>480</v>
      </c>
      <c r="L1059" t="s">
        <v>618</v>
      </c>
      <c r="M1059" t="s">
        <v>15</v>
      </c>
      <c r="N1059" t="str">
        <f t="shared" si="178"/>
        <v>https://api.bcb.gov.br/dados/serie/bcdata.sgs.15943/dados?formato=json</v>
      </c>
      <c r="O1059">
        <v>6</v>
      </c>
      <c r="P1059" t="s">
        <v>619</v>
      </c>
      <c r="Q1059" t="s">
        <v>798</v>
      </c>
      <c r="R1059" t="s">
        <v>118</v>
      </c>
      <c r="S1059" t="s">
        <v>118</v>
      </c>
    </row>
    <row r="1060" spans="1:19" x14ac:dyDescent="0.25">
      <c r="A1060" s="1"/>
      <c r="B1060" s="1">
        <v>14026</v>
      </c>
      <c r="C1060" s="2" t="s">
        <v>799</v>
      </c>
      <c r="D1060" s="1" t="s">
        <v>25</v>
      </c>
      <c r="E1060" s="3" t="s">
        <v>0</v>
      </c>
      <c r="F1060" s="4">
        <v>37987</v>
      </c>
      <c r="G1060" s="5">
        <v>45658</v>
      </c>
      <c r="H1060" s="6" t="s">
        <v>611</v>
      </c>
      <c r="I1060" s="1" t="s">
        <v>2</v>
      </c>
      <c r="J1060" s="7"/>
      <c r="K1060" s="15" t="s">
        <v>24</v>
      </c>
      <c r="L1060" t="s">
        <v>617</v>
      </c>
      <c r="M1060" t="s">
        <v>15</v>
      </c>
      <c r="N1060" t="str">
        <f t="shared" si="178"/>
        <v>https://api.bcb.gov.br/dados/serie/bcdata.sgs.14026/dados?formato=json</v>
      </c>
      <c r="O1060">
        <v>6</v>
      </c>
      <c r="P1060" t="s">
        <v>619</v>
      </c>
      <c r="Q1060" t="s">
        <v>805</v>
      </c>
      <c r="R1060" t="s">
        <v>118</v>
      </c>
      <c r="S1060" t="s">
        <v>621</v>
      </c>
    </row>
    <row r="1061" spans="1:19" x14ac:dyDescent="0.25">
      <c r="A1061" s="8"/>
      <c r="B1061" s="8">
        <v>14053</v>
      </c>
      <c r="C1061" s="9" t="s">
        <v>800</v>
      </c>
      <c r="D1061" s="1" t="s">
        <v>25</v>
      </c>
      <c r="E1061" s="10" t="s">
        <v>0</v>
      </c>
      <c r="F1061" s="11">
        <v>37987</v>
      </c>
      <c r="G1061" s="12">
        <v>45658</v>
      </c>
      <c r="H1061" s="13" t="s">
        <v>611</v>
      </c>
      <c r="I1061" s="8" t="s">
        <v>2</v>
      </c>
      <c r="J1061" s="14"/>
      <c r="K1061" s="15" t="s">
        <v>24</v>
      </c>
      <c r="L1061" t="s">
        <v>617</v>
      </c>
      <c r="M1061" t="s">
        <v>15</v>
      </c>
      <c r="N1061" t="str">
        <f t="shared" si="178"/>
        <v>https://api.bcb.gov.br/dados/serie/bcdata.sgs.14053/dados?formato=json</v>
      </c>
      <c r="O1061">
        <v>6</v>
      </c>
      <c r="P1061" t="s">
        <v>619</v>
      </c>
      <c r="Q1061" t="s">
        <v>805</v>
      </c>
      <c r="R1061" t="s">
        <v>118</v>
      </c>
      <c r="S1061" t="s">
        <v>622</v>
      </c>
    </row>
    <row r="1062" spans="1:19" x14ac:dyDescent="0.25">
      <c r="A1062" s="1"/>
      <c r="B1062" s="1">
        <v>14080</v>
      </c>
      <c r="C1062" s="2" t="s">
        <v>801</v>
      </c>
      <c r="D1062" s="1" t="s">
        <v>25</v>
      </c>
      <c r="E1062" s="3" t="s">
        <v>0</v>
      </c>
      <c r="F1062" s="4">
        <v>37987</v>
      </c>
      <c r="G1062" s="5">
        <v>45658</v>
      </c>
      <c r="H1062" s="6" t="s">
        <v>611</v>
      </c>
      <c r="I1062" s="1" t="s">
        <v>2</v>
      </c>
      <c r="J1062" s="7"/>
      <c r="K1062" s="15" t="s">
        <v>24</v>
      </c>
      <c r="L1062" t="s">
        <v>617</v>
      </c>
      <c r="M1062" t="s">
        <v>15</v>
      </c>
      <c r="N1062" t="str">
        <f t="shared" si="178"/>
        <v>https://api.bcb.gov.br/dados/serie/bcdata.sgs.14080/dados?formato=json</v>
      </c>
      <c r="O1062">
        <v>6</v>
      </c>
      <c r="P1062" t="s">
        <v>619</v>
      </c>
      <c r="Q1062" t="s">
        <v>805</v>
      </c>
      <c r="R1062" t="s">
        <v>118</v>
      </c>
      <c r="S1062" t="s">
        <v>118</v>
      </c>
    </row>
    <row r="1063" spans="1:19" x14ac:dyDescent="0.25">
      <c r="A1063" s="8"/>
      <c r="B1063" s="8">
        <v>15885</v>
      </c>
      <c r="C1063" s="9" t="s">
        <v>802</v>
      </c>
      <c r="D1063" s="8" t="s">
        <v>835</v>
      </c>
      <c r="E1063" s="10" t="s">
        <v>0</v>
      </c>
      <c r="F1063" s="11">
        <v>37987</v>
      </c>
      <c r="G1063" s="12">
        <v>45658</v>
      </c>
      <c r="H1063" s="13" t="s">
        <v>611</v>
      </c>
      <c r="I1063" s="8" t="s">
        <v>2</v>
      </c>
      <c r="J1063" s="14"/>
      <c r="K1063" s="15" t="s">
        <v>480</v>
      </c>
      <c r="L1063" t="s">
        <v>618</v>
      </c>
      <c r="M1063" t="s">
        <v>15</v>
      </c>
      <c r="N1063" t="str">
        <f t="shared" ref="N1063:N1068" si="179">_xlfn.CONCAT("https://api.bcb.gov.br/dados/serie/bcdata.sgs.",B1063,"/dados?formato=json")</f>
        <v>https://api.bcb.gov.br/dados/serie/bcdata.sgs.15885/dados?formato=json</v>
      </c>
      <c r="O1063">
        <v>6</v>
      </c>
      <c r="P1063" t="s">
        <v>619</v>
      </c>
      <c r="Q1063" t="s">
        <v>805</v>
      </c>
      <c r="R1063" t="s">
        <v>118</v>
      </c>
      <c r="S1063" t="s">
        <v>621</v>
      </c>
    </row>
    <row r="1064" spans="1:19" x14ac:dyDescent="0.25">
      <c r="A1064" s="1"/>
      <c r="B1064" s="1">
        <v>15917</v>
      </c>
      <c r="C1064" s="2" t="s">
        <v>803</v>
      </c>
      <c r="D1064" s="1" t="s">
        <v>835</v>
      </c>
      <c r="E1064" s="3" t="s">
        <v>0</v>
      </c>
      <c r="F1064" s="4">
        <v>37987</v>
      </c>
      <c r="G1064" s="5">
        <v>45658</v>
      </c>
      <c r="H1064" s="6" t="s">
        <v>611</v>
      </c>
      <c r="I1064" s="1" t="s">
        <v>2</v>
      </c>
      <c r="J1064" s="7"/>
      <c r="K1064" s="15" t="s">
        <v>480</v>
      </c>
      <c r="L1064" t="s">
        <v>618</v>
      </c>
      <c r="M1064" t="s">
        <v>15</v>
      </c>
      <c r="N1064" t="str">
        <f t="shared" si="179"/>
        <v>https://api.bcb.gov.br/dados/serie/bcdata.sgs.15917/dados?formato=json</v>
      </c>
      <c r="O1064">
        <v>6</v>
      </c>
      <c r="P1064" t="s">
        <v>619</v>
      </c>
      <c r="Q1064" t="s">
        <v>805</v>
      </c>
      <c r="R1064" t="s">
        <v>118</v>
      </c>
      <c r="S1064" t="s">
        <v>622</v>
      </c>
    </row>
    <row r="1065" spans="1:19" x14ac:dyDescent="0.25">
      <c r="A1065" s="8"/>
      <c r="B1065" s="8">
        <v>15949</v>
      </c>
      <c r="C1065" s="9" t="s">
        <v>804</v>
      </c>
      <c r="D1065" s="8" t="s">
        <v>835</v>
      </c>
      <c r="E1065" s="10" t="s">
        <v>0</v>
      </c>
      <c r="F1065" s="11">
        <v>37987</v>
      </c>
      <c r="G1065" s="12">
        <v>45658</v>
      </c>
      <c r="H1065" s="13" t="s">
        <v>611</v>
      </c>
      <c r="I1065" s="8" t="s">
        <v>2</v>
      </c>
      <c r="J1065" s="14"/>
      <c r="K1065" s="15" t="s">
        <v>480</v>
      </c>
      <c r="L1065" t="s">
        <v>618</v>
      </c>
      <c r="M1065" t="s">
        <v>15</v>
      </c>
      <c r="N1065" t="str">
        <f t="shared" si="179"/>
        <v>https://api.bcb.gov.br/dados/serie/bcdata.sgs.15949/dados?formato=json</v>
      </c>
      <c r="O1065">
        <v>6</v>
      </c>
      <c r="P1065" t="s">
        <v>619</v>
      </c>
      <c r="Q1065" t="s">
        <v>805</v>
      </c>
      <c r="R1065" t="s">
        <v>118</v>
      </c>
      <c r="S1065" t="s">
        <v>118</v>
      </c>
    </row>
    <row r="1066" spans="1:19" x14ac:dyDescent="0.25">
      <c r="A1066" s="1"/>
      <c r="B1066" s="1">
        <v>14086</v>
      </c>
      <c r="C1066" s="2" t="s">
        <v>729</v>
      </c>
      <c r="D1066" s="1" t="s">
        <v>25</v>
      </c>
      <c r="E1066" s="3" t="s">
        <v>0</v>
      </c>
      <c r="F1066" s="4">
        <v>37987</v>
      </c>
      <c r="G1066" s="5">
        <v>45658</v>
      </c>
      <c r="H1066" s="6" t="s">
        <v>611</v>
      </c>
      <c r="I1066" s="1" t="s">
        <v>2</v>
      </c>
      <c r="J1066" s="7"/>
      <c r="K1066" s="15" t="s">
        <v>24</v>
      </c>
      <c r="L1066" t="s">
        <v>617</v>
      </c>
      <c r="M1066" t="s">
        <v>15</v>
      </c>
      <c r="N1066" t="str">
        <f t="shared" si="179"/>
        <v>https://api.bcb.gov.br/dados/serie/bcdata.sgs.14086/dados?formato=json</v>
      </c>
      <c r="O1066">
        <v>6</v>
      </c>
      <c r="P1066" t="s">
        <v>671</v>
      </c>
      <c r="Q1066" t="s">
        <v>806</v>
      </c>
      <c r="R1066" t="s">
        <v>118</v>
      </c>
      <c r="S1066" t="s">
        <v>621</v>
      </c>
    </row>
    <row r="1067" spans="1:19" x14ac:dyDescent="0.25">
      <c r="A1067" s="8"/>
      <c r="B1067" s="8">
        <v>14091</v>
      </c>
      <c r="C1067" s="9" t="s">
        <v>730</v>
      </c>
      <c r="D1067" s="1" t="s">
        <v>25</v>
      </c>
      <c r="E1067" s="10" t="s">
        <v>0</v>
      </c>
      <c r="F1067" s="11">
        <v>37987</v>
      </c>
      <c r="G1067" s="12">
        <v>45658</v>
      </c>
      <c r="H1067" s="13" t="s">
        <v>611</v>
      </c>
      <c r="I1067" s="8" t="s">
        <v>2</v>
      </c>
      <c r="J1067" s="14"/>
      <c r="K1067" s="15" t="s">
        <v>24</v>
      </c>
      <c r="L1067" t="s">
        <v>617</v>
      </c>
      <c r="M1067" t="s">
        <v>15</v>
      </c>
      <c r="N1067" t="str">
        <f t="shared" si="179"/>
        <v>https://api.bcb.gov.br/dados/serie/bcdata.sgs.14091/dados?formato=json</v>
      </c>
      <c r="O1067">
        <v>6</v>
      </c>
      <c r="P1067" t="s">
        <v>671</v>
      </c>
      <c r="Q1067" t="s">
        <v>806</v>
      </c>
      <c r="R1067" t="s">
        <v>118</v>
      </c>
      <c r="S1067" t="s">
        <v>622</v>
      </c>
    </row>
    <row r="1068" spans="1:19" x14ac:dyDescent="0.25">
      <c r="A1068" s="1"/>
      <c r="B1068" s="1">
        <v>14096</v>
      </c>
      <c r="C1068" s="2" t="s">
        <v>731</v>
      </c>
      <c r="D1068" s="1" t="s">
        <v>25</v>
      </c>
      <c r="E1068" s="3" t="s">
        <v>0</v>
      </c>
      <c r="F1068" s="4">
        <v>37987</v>
      </c>
      <c r="G1068" s="5">
        <v>45658</v>
      </c>
      <c r="H1068" s="6" t="s">
        <v>611</v>
      </c>
      <c r="I1068" s="1" t="s">
        <v>2</v>
      </c>
      <c r="J1068" s="7"/>
      <c r="K1068" s="15" t="s">
        <v>24</v>
      </c>
      <c r="L1068" t="s">
        <v>617</v>
      </c>
      <c r="M1068" t="s">
        <v>15</v>
      </c>
      <c r="N1068" t="str">
        <f t="shared" si="179"/>
        <v>https://api.bcb.gov.br/dados/serie/bcdata.sgs.14096/dados?formato=json</v>
      </c>
      <c r="O1068">
        <v>6</v>
      </c>
      <c r="P1068" t="s">
        <v>671</v>
      </c>
      <c r="Q1068" t="s">
        <v>806</v>
      </c>
      <c r="R1068" t="s">
        <v>118</v>
      </c>
      <c r="S1068" t="s">
        <v>118</v>
      </c>
    </row>
    <row r="1069" spans="1:19" x14ac:dyDescent="0.25">
      <c r="A1069" s="8"/>
      <c r="B1069" s="8">
        <v>15891</v>
      </c>
      <c r="C1069" s="9" t="s">
        <v>732</v>
      </c>
      <c r="D1069" s="8" t="s">
        <v>835</v>
      </c>
      <c r="E1069" s="10" t="s">
        <v>0</v>
      </c>
      <c r="F1069" s="11">
        <v>37987</v>
      </c>
      <c r="G1069" s="12">
        <v>45658</v>
      </c>
      <c r="H1069" s="13" t="s">
        <v>611</v>
      </c>
      <c r="I1069" s="8" t="s">
        <v>2</v>
      </c>
      <c r="J1069" s="14"/>
      <c r="K1069" s="15" t="s">
        <v>480</v>
      </c>
      <c r="L1069" t="s">
        <v>618</v>
      </c>
      <c r="M1069" t="s">
        <v>15</v>
      </c>
      <c r="N1069" t="str">
        <f t="shared" ref="N1069:N1074" si="180">_xlfn.CONCAT("https://api.bcb.gov.br/dados/serie/bcdata.sgs.",B1069,"/dados?formato=json")</f>
        <v>https://api.bcb.gov.br/dados/serie/bcdata.sgs.15891/dados?formato=json</v>
      </c>
      <c r="O1069">
        <v>6</v>
      </c>
      <c r="P1069" t="s">
        <v>671</v>
      </c>
      <c r="Q1069" t="s">
        <v>806</v>
      </c>
      <c r="R1069" t="s">
        <v>118</v>
      </c>
      <c r="S1069" t="s">
        <v>621</v>
      </c>
    </row>
    <row r="1070" spans="1:19" x14ac:dyDescent="0.25">
      <c r="A1070" s="1"/>
      <c r="B1070" s="1">
        <v>15923</v>
      </c>
      <c r="C1070" s="2" t="s">
        <v>733</v>
      </c>
      <c r="D1070" s="1" t="s">
        <v>835</v>
      </c>
      <c r="E1070" s="3" t="s">
        <v>0</v>
      </c>
      <c r="F1070" s="4">
        <v>37987</v>
      </c>
      <c r="G1070" s="5">
        <v>45658</v>
      </c>
      <c r="H1070" s="6" t="s">
        <v>611</v>
      </c>
      <c r="I1070" s="1" t="s">
        <v>2</v>
      </c>
      <c r="J1070" s="7"/>
      <c r="K1070" s="15" t="s">
        <v>480</v>
      </c>
      <c r="L1070" t="s">
        <v>618</v>
      </c>
      <c r="M1070" t="s">
        <v>15</v>
      </c>
      <c r="N1070" t="str">
        <f t="shared" si="180"/>
        <v>https://api.bcb.gov.br/dados/serie/bcdata.sgs.15923/dados?formato=json</v>
      </c>
      <c r="O1070">
        <v>6</v>
      </c>
      <c r="P1070" t="s">
        <v>671</v>
      </c>
      <c r="Q1070" t="s">
        <v>806</v>
      </c>
      <c r="R1070" t="s">
        <v>118</v>
      </c>
      <c r="S1070" t="s">
        <v>622</v>
      </c>
    </row>
    <row r="1071" spans="1:19" x14ac:dyDescent="0.25">
      <c r="A1071" s="8"/>
      <c r="B1071" s="8">
        <v>15955</v>
      </c>
      <c r="C1071" s="9" t="s">
        <v>734</v>
      </c>
      <c r="D1071" s="8" t="s">
        <v>835</v>
      </c>
      <c r="E1071" s="10" t="s">
        <v>0</v>
      </c>
      <c r="F1071" s="11">
        <v>37987</v>
      </c>
      <c r="G1071" s="12">
        <v>45658</v>
      </c>
      <c r="H1071" s="13" t="s">
        <v>611</v>
      </c>
      <c r="I1071" s="8" t="s">
        <v>2</v>
      </c>
      <c r="J1071" s="14"/>
      <c r="K1071" s="15" t="s">
        <v>480</v>
      </c>
      <c r="L1071" t="s">
        <v>618</v>
      </c>
      <c r="M1071" t="s">
        <v>15</v>
      </c>
      <c r="N1071" t="str">
        <f t="shared" si="180"/>
        <v>https://api.bcb.gov.br/dados/serie/bcdata.sgs.15955/dados?formato=json</v>
      </c>
      <c r="O1071">
        <v>6</v>
      </c>
      <c r="P1071" t="s">
        <v>671</v>
      </c>
      <c r="Q1071" t="s">
        <v>806</v>
      </c>
      <c r="R1071" t="s">
        <v>118</v>
      </c>
      <c r="S1071" t="s">
        <v>118</v>
      </c>
    </row>
    <row r="1072" spans="1:19" x14ac:dyDescent="0.25">
      <c r="A1072" s="1"/>
      <c r="B1072" s="1">
        <v>14025</v>
      </c>
      <c r="C1072" s="2" t="s">
        <v>807</v>
      </c>
      <c r="D1072" s="1" t="s">
        <v>25</v>
      </c>
      <c r="E1072" s="3" t="s">
        <v>0</v>
      </c>
      <c r="F1072" s="4">
        <v>37987</v>
      </c>
      <c r="G1072" s="5">
        <v>45658</v>
      </c>
      <c r="H1072" s="6" t="s">
        <v>611</v>
      </c>
      <c r="I1072" s="1" t="s">
        <v>2</v>
      </c>
      <c r="J1072" s="7"/>
      <c r="K1072" s="15" t="s">
        <v>24</v>
      </c>
      <c r="L1072" t="s">
        <v>617</v>
      </c>
      <c r="M1072" t="s">
        <v>15</v>
      </c>
      <c r="N1072" t="str">
        <f t="shared" si="180"/>
        <v>https://api.bcb.gov.br/dados/serie/bcdata.sgs.14025/dados?formato=json</v>
      </c>
      <c r="O1072">
        <v>6</v>
      </c>
      <c r="P1072" t="s">
        <v>619</v>
      </c>
      <c r="Q1072" t="s">
        <v>813</v>
      </c>
      <c r="R1072" t="s">
        <v>118</v>
      </c>
      <c r="S1072" t="s">
        <v>621</v>
      </c>
    </row>
    <row r="1073" spans="1:19" x14ac:dyDescent="0.25">
      <c r="A1073" s="8"/>
      <c r="B1073" s="8">
        <v>14052</v>
      </c>
      <c r="C1073" s="9" t="s">
        <v>808</v>
      </c>
      <c r="D1073" s="1" t="s">
        <v>25</v>
      </c>
      <c r="E1073" s="10" t="s">
        <v>0</v>
      </c>
      <c r="F1073" s="11">
        <v>37987</v>
      </c>
      <c r="G1073" s="12">
        <v>45658</v>
      </c>
      <c r="H1073" s="13" t="s">
        <v>611</v>
      </c>
      <c r="I1073" s="8" t="s">
        <v>2</v>
      </c>
      <c r="J1073" s="14"/>
      <c r="K1073" s="15" t="s">
        <v>24</v>
      </c>
      <c r="L1073" t="s">
        <v>617</v>
      </c>
      <c r="M1073" t="s">
        <v>15</v>
      </c>
      <c r="N1073" t="str">
        <f t="shared" si="180"/>
        <v>https://api.bcb.gov.br/dados/serie/bcdata.sgs.14052/dados?formato=json</v>
      </c>
      <c r="O1073">
        <v>6</v>
      </c>
      <c r="P1073" t="s">
        <v>619</v>
      </c>
      <c r="Q1073" t="s">
        <v>813</v>
      </c>
      <c r="R1073" t="s">
        <v>118</v>
      </c>
      <c r="S1073" t="s">
        <v>622</v>
      </c>
    </row>
    <row r="1074" spans="1:19" x14ac:dyDescent="0.25">
      <c r="A1074" s="1"/>
      <c r="B1074" s="1">
        <v>14079</v>
      </c>
      <c r="C1074" s="2" t="s">
        <v>809</v>
      </c>
      <c r="D1074" s="1" t="s">
        <v>25</v>
      </c>
      <c r="E1074" s="3" t="s">
        <v>0</v>
      </c>
      <c r="F1074" s="4">
        <v>37987</v>
      </c>
      <c r="G1074" s="5">
        <v>45658</v>
      </c>
      <c r="H1074" s="6" t="s">
        <v>611</v>
      </c>
      <c r="I1074" s="1" t="s">
        <v>2</v>
      </c>
      <c r="J1074" s="7"/>
      <c r="K1074" s="15" t="s">
        <v>24</v>
      </c>
      <c r="L1074" t="s">
        <v>617</v>
      </c>
      <c r="M1074" t="s">
        <v>15</v>
      </c>
      <c r="N1074" t="str">
        <f t="shared" si="180"/>
        <v>https://api.bcb.gov.br/dados/serie/bcdata.sgs.14079/dados?formato=json</v>
      </c>
      <c r="O1074">
        <v>6</v>
      </c>
      <c r="P1074" t="s">
        <v>619</v>
      </c>
      <c r="Q1074" t="s">
        <v>813</v>
      </c>
      <c r="R1074" t="s">
        <v>118</v>
      </c>
      <c r="S1074" t="s">
        <v>118</v>
      </c>
    </row>
    <row r="1075" spans="1:19" x14ac:dyDescent="0.25">
      <c r="A1075" s="8"/>
      <c r="B1075" s="8">
        <v>15884</v>
      </c>
      <c r="C1075" s="9" t="s">
        <v>810</v>
      </c>
      <c r="D1075" s="8" t="s">
        <v>835</v>
      </c>
      <c r="E1075" s="10" t="s">
        <v>0</v>
      </c>
      <c r="F1075" s="11">
        <v>37987</v>
      </c>
      <c r="G1075" s="12">
        <v>45658</v>
      </c>
      <c r="H1075" s="13" t="s">
        <v>611</v>
      </c>
      <c r="I1075" s="8" t="s">
        <v>2</v>
      </c>
      <c r="J1075" s="14"/>
      <c r="K1075" s="15" t="s">
        <v>480</v>
      </c>
      <c r="L1075" t="s">
        <v>618</v>
      </c>
      <c r="M1075" t="s">
        <v>15</v>
      </c>
      <c r="N1075" t="str">
        <f t="shared" ref="N1075:N1080" si="181">_xlfn.CONCAT("https://api.bcb.gov.br/dados/serie/bcdata.sgs.",B1075,"/dados?formato=json")</f>
        <v>https://api.bcb.gov.br/dados/serie/bcdata.sgs.15884/dados?formato=json</v>
      </c>
      <c r="O1075">
        <v>6</v>
      </c>
      <c r="P1075" t="s">
        <v>619</v>
      </c>
      <c r="Q1075" t="s">
        <v>813</v>
      </c>
      <c r="R1075" t="s">
        <v>118</v>
      </c>
      <c r="S1075" t="s">
        <v>621</v>
      </c>
    </row>
    <row r="1076" spans="1:19" x14ac:dyDescent="0.25">
      <c r="A1076" s="1"/>
      <c r="B1076" s="1">
        <v>15916</v>
      </c>
      <c r="C1076" s="2" t="s">
        <v>811</v>
      </c>
      <c r="D1076" s="1" t="s">
        <v>835</v>
      </c>
      <c r="E1076" s="3" t="s">
        <v>0</v>
      </c>
      <c r="F1076" s="4">
        <v>37987</v>
      </c>
      <c r="G1076" s="5">
        <v>45658</v>
      </c>
      <c r="H1076" s="6" t="s">
        <v>611</v>
      </c>
      <c r="I1076" s="1" t="s">
        <v>2</v>
      </c>
      <c r="J1076" s="7"/>
      <c r="K1076" s="15" t="s">
        <v>480</v>
      </c>
      <c r="L1076" t="s">
        <v>618</v>
      </c>
      <c r="M1076" t="s">
        <v>15</v>
      </c>
      <c r="N1076" t="str">
        <f t="shared" si="181"/>
        <v>https://api.bcb.gov.br/dados/serie/bcdata.sgs.15916/dados?formato=json</v>
      </c>
      <c r="O1076">
        <v>6</v>
      </c>
      <c r="P1076" t="s">
        <v>619</v>
      </c>
      <c r="Q1076" t="s">
        <v>813</v>
      </c>
      <c r="R1076" t="s">
        <v>118</v>
      </c>
      <c r="S1076" t="s">
        <v>622</v>
      </c>
    </row>
    <row r="1077" spans="1:19" x14ac:dyDescent="0.25">
      <c r="A1077" s="8"/>
      <c r="B1077" s="8">
        <v>15948</v>
      </c>
      <c r="C1077" s="9" t="s">
        <v>812</v>
      </c>
      <c r="D1077" s="8" t="s">
        <v>835</v>
      </c>
      <c r="E1077" s="10" t="s">
        <v>0</v>
      </c>
      <c r="F1077" s="11">
        <v>37987</v>
      </c>
      <c r="G1077" s="12">
        <v>45658</v>
      </c>
      <c r="H1077" s="13" t="s">
        <v>611</v>
      </c>
      <c r="I1077" s="8" t="s">
        <v>2</v>
      </c>
      <c r="J1077" s="14"/>
      <c r="K1077" s="15" t="s">
        <v>480</v>
      </c>
      <c r="L1077" t="s">
        <v>618</v>
      </c>
      <c r="M1077" t="s">
        <v>15</v>
      </c>
      <c r="N1077" t="str">
        <f t="shared" si="181"/>
        <v>https://api.bcb.gov.br/dados/serie/bcdata.sgs.15948/dados?formato=json</v>
      </c>
      <c r="O1077">
        <v>6</v>
      </c>
      <c r="P1077" t="s">
        <v>619</v>
      </c>
      <c r="Q1077" t="s">
        <v>813</v>
      </c>
      <c r="R1077" t="s">
        <v>118</v>
      </c>
      <c r="S1077" t="s">
        <v>118</v>
      </c>
    </row>
    <row r="1078" spans="1:19" x14ac:dyDescent="0.25">
      <c r="A1078" s="1"/>
      <c r="B1078" s="1">
        <v>14017</v>
      </c>
      <c r="C1078" s="2" t="s">
        <v>814</v>
      </c>
      <c r="D1078" s="1" t="s">
        <v>25</v>
      </c>
      <c r="E1078" s="3" t="s">
        <v>0</v>
      </c>
      <c r="F1078" s="4">
        <v>37987</v>
      </c>
      <c r="G1078" s="5">
        <v>45658</v>
      </c>
      <c r="H1078" s="6" t="s">
        <v>611</v>
      </c>
      <c r="I1078" s="1" t="s">
        <v>2</v>
      </c>
      <c r="J1078" s="7"/>
      <c r="K1078" s="15" t="s">
        <v>24</v>
      </c>
      <c r="L1078" t="s">
        <v>617</v>
      </c>
      <c r="M1078" t="s">
        <v>15</v>
      </c>
      <c r="N1078" t="str">
        <f t="shared" si="181"/>
        <v>https://api.bcb.gov.br/dados/serie/bcdata.sgs.14017/dados?formato=json</v>
      </c>
      <c r="O1078">
        <v>6</v>
      </c>
      <c r="P1078" t="s">
        <v>619</v>
      </c>
      <c r="Q1078" t="s">
        <v>820</v>
      </c>
      <c r="R1078" t="s">
        <v>118</v>
      </c>
      <c r="S1078" t="s">
        <v>621</v>
      </c>
    </row>
    <row r="1079" spans="1:19" x14ac:dyDescent="0.25">
      <c r="A1079" s="8"/>
      <c r="B1079" s="8">
        <v>14044</v>
      </c>
      <c r="C1079" s="9" t="s">
        <v>815</v>
      </c>
      <c r="D1079" s="1" t="s">
        <v>25</v>
      </c>
      <c r="E1079" s="10" t="s">
        <v>0</v>
      </c>
      <c r="F1079" s="11">
        <v>37987</v>
      </c>
      <c r="G1079" s="12">
        <v>45658</v>
      </c>
      <c r="H1079" s="13" t="s">
        <v>611</v>
      </c>
      <c r="I1079" s="8" t="s">
        <v>2</v>
      </c>
      <c r="J1079" s="14"/>
      <c r="K1079" s="15" t="s">
        <v>24</v>
      </c>
      <c r="L1079" t="s">
        <v>617</v>
      </c>
      <c r="M1079" t="s">
        <v>15</v>
      </c>
      <c r="N1079" t="str">
        <f t="shared" si="181"/>
        <v>https://api.bcb.gov.br/dados/serie/bcdata.sgs.14044/dados?formato=json</v>
      </c>
      <c r="O1079">
        <v>6</v>
      </c>
      <c r="P1079" t="s">
        <v>619</v>
      </c>
      <c r="Q1079" t="s">
        <v>820</v>
      </c>
      <c r="R1079" t="s">
        <v>118</v>
      </c>
      <c r="S1079" t="s">
        <v>622</v>
      </c>
    </row>
    <row r="1080" spans="1:19" x14ac:dyDescent="0.25">
      <c r="A1080" s="1"/>
      <c r="B1080" s="1">
        <v>14071</v>
      </c>
      <c r="C1080" s="2" t="s">
        <v>816</v>
      </c>
      <c r="D1080" s="1" t="s">
        <v>25</v>
      </c>
      <c r="E1080" s="3" t="s">
        <v>0</v>
      </c>
      <c r="F1080" s="4">
        <v>37987</v>
      </c>
      <c r="G1080" s="5">
        <v>45658</v>
      </c>
      <c r="H1080" s="6" t="s">
        <v>611</v>
      </c>
      <c r="I1080" s="1" t="s">
        <v>2</v>
      </c>
      <c r="J1080" s="7"/>
      <c r="K1080" s="15" t="s">
        <v>24</v>
      </c>
      <c r="L1080" t="s">
        <v>617</v>
      </c>
      <c r="M1080" t="s">
        <v>15</v>
      </c>
      <c r="N1080" t="str">
        <f t="shared" si="181"/>
        <v>https://api.bcb.gov.br/dados/serie/bcdata.sgs.14071/dados?formato=json</v>
      </c>
      <c r="O1080">
        <v>6</v>
      </c>
      <c r="P1080" t="s">
        <v>619</v>
      </c>
      <c r="Q1080" t="s">
        <v>820</v>
      </c>
      <c r="R1080" t="s">
        <v>118</v>
      </c>
      <c r="S1080" t="s">
        <v>118</v>
      </c>
    </row>
    <row r="1081" spans="1:19" x14ac:dyDescent="0.25">
      <c r="A1081" s="8"/>
      <c r="B1081" s="8">
        <v>15876</v>
      </c>
      <c r="C1081" s="9" t="s">
        <v>817</v>
      </c>
      <c r="D1081" s="8" t="s">
        <v>835</v>
      </c>
      <c r="E1081" s="10" t="s">
        <v>0</v>
      </c>
      <c r="F1081" s="11">
        <v>37987</v>
      </c>
      <c r="G1081" s="12">
        <v>45658</v>
      </c>
      <c r="H1081" s="13" t="s">
        <v>611</v>
      </c>
      <c r="I1081" s="8" t="s">
        <v>2</v>
      </c>
      <c r="J1081" s="14"/>
      <c r="K1081" s="15" t="s">
        <v>480</v>
      </c>
      <c r="L1081" t="s">
        <v>618</v>
      </c>
      <c r="M1081" t="s">
        <v>15</v>
      </c>
      <c r="N1081" t="str">
        <f t="shared" ref="N1081:N1086" si="182">_xlfn.CONCAT("https://api.bcb.gov.br/dados/serie/bcdata.sgs.",B1081,"/dados?formato=json")</f>
        <v>https://api.bcb.gov.br/dados/serie/bcdata.sgs.15876/dados?formato=json</v>
      </c>
      <c r="O1081">
        <v>6</v>
      </c>
      <c r="P1081" t="s">
        <v>619</v>
      </c>
      <c r="Q1081" t="s">
        <v>820</v>
      </c>
      <c r="R1081" t="s">
        <v>118</v>
      </c>
      <c r="S1081" t="s">
        <v>621</v>
      </c>
    </row>
    <row r="1082" spans="1:19" x14ac:dyDescent="0.25">
      <c r="A1082" s="1"/>
      <c r="B1082" s="1">
        <v>15908</v>
      </c>
      <c r="C1082" s="2" t="s">
        <v>818</v>
      </c>
      <c r="D1082" s="1" t="s">
        <v>835</v>
      </c>
      <c r="E1082" s="3" t="s">
        <v>0</v>
      </c>
      <c r="F1082" s="4">
        <v>37987</v>
      </c>
      <c r="G1082" s="5">
        <v>45658</v>
      </c>
      <c r="H1082" s="6" t="s">
        <v>611</v>
      </c>
      <c r="I1082" s="1" t="s">
        <v>2</v>
      </c>
      <c r="J1082" s="7"/>
      <c r="K1082" s="15" t="s">
        <v>480</v>
      </c>
      <c r="L1082" t="s">
        <v>618</v>
      </c>
      <c r="M1082" t="s">
        <v>15</v>
      </c>
      <c r="N1082" t="str">
        <f t="shared" si="182"/>
        <v>https://api.bcb.gov.br/dados/serie/bcdata.sgs.15908/dados?formato=json</v>
      </c>
      <c r="O1082">
        <v>6</v>
      </c>
      <c r="P1082" t="s">
        <v>619</v>
      </c>
      <c r="Q1082" t="s">
        <v>820</v>
      </c>
      <c r="R1082" t="s">
        <v>118</v>
      </c>
      <c r="S1082" t="s">
        <v>622</v>
      </c>
    </row>
    <row r="1083" spans="1:19" x14ac:dyDescent="0.25">
      <c r="A1083" s="8"/>
      <c r="B1083" s="8">
        <v>15940</v>
      </c>
      <c r="C1083" s="9" t="s">
        <v>819</v>
      </c>
      <c r="D1083" s="8" t="s">
        <v>835</v>
      </c>
      <c r="E1083" s="10" t="s">
        <v>0</v>
      </c>
      <c r="F1083" s="11">
        <v>37987</v>
      </c>
      <c r="G1083" s="12">
        <v>45658</v>
      </c>
      <c r="H1083" s="13" t="s">
        <v>611</v>
      </c>
      <c r="I1083" s="8" t="s">
        <v>2</v>
      </c>
      <c r="J1083" s="14"/>
      <c r="K1083" s="15" t="s">
        <v>480</v>
      </c>
      <c r="L1083" t="s">
        <v>618</v>
      </c>
      <c r="M1083" t="s">
        <v>15</v>
      </c>
      <c r="N1083" t="str">
        <f t="shared" si="182"/>
        <v>https://api.bcb.gov.br/dados/serie/bcdata.sgs.15940/dados?formato=json</v>
      </c>
      <c r="O1083">
        <v>6</v>
      </c>
      <c r="P1083" t="s">
        <v>619</v>
      </c>
      <c r="Q1083" t="s">
        <v>820</v>
      </c>
      <c r="R1083" t="s">
        <v>118</v>
      </c>
      <c r="S1083" t="s">
        <v>118</v>
      </c>
    </row>
    <row r="1084" spans="1:19" x14ac:dyDescent="0.25">
      <c r="A1084" s="1"/>
      <c r="B1084" s="1">
        <v>14022</v>
      </c>
      <c r="C1084" s="2" t="s">
        <v>821</v>
      </c>
      <c r="D1084" s="1" t="s">
        <v>25</v>
      </c>
      <c r="E1084" s="3" t="s">
        <v>0</v>
      </c>
      <c r="F1084" s="4">
        <v>37987</v>
      </c>
      <c r="G1084" s="5">
        <v>45658</v>
      </c>
      <c r="H1084" s="6" t="s">
        <v>611</v>
      </c>
      <c r="I1084" s="1" t="s">
        <v>2</v>
      </c>
      <c r="J1084" s="7"/>
      <c r="K1084" s="15" t="s">
        <v>24</v>
      </c>
      <c r="L1084" t="s">
        <v>617</v>
      </c>
      <c r="M1084" t="s">
        <v>15</v>
      </c>
      <c r="N1084" t="str">
        <f t="shared" si="182"/>
        <v>https://api.bcb.gov.br/dados/serie/bcdata.sgs.14022/dados?formato=json</v>
      </c>
      <c r="O1084">
        <v>6</v>
      </c>
      <c r="P1084" t="s">
        <v>619</v>
      </c>
      <c r="Q1084" t="s">
        <v>827</v>
      </c>
      <c r="R1084" t="s">
        <v>118</v>
      </c>
      <c r="S1084" t="s">
        <v>621</v>
      </c>
    </row>
    <row r="1085" spans="1:19" x14ac:dyDescent="0.25">
      <c r="A1085" s="8"/>
      <c r="B1085" s="8">
        <v>14049</v>
      </c>
      <c r="C1085" s="9" t="s">
        <v>822</v>
      </c>
      <c r="D1085" s="1" t="s">
        <v>25</v>
      </c>
      <c r="E1085" s="10" t="s">
        <v>0</v>
      </c>
      <c r="F1085" s="11">
        <v>37987</v>
      </c>
      <c r="G1085" s="12">
        <v>45658</v>
      </c>
      <c r="H1085" s="13" t="s">
        <v>611</v>
      </c>
      <c r="I1085" s="8" t="s">
        <v>2</v>
      </c>
      <c r="J1085" s="14"/>
      <c r="K1085" s="15" t="s">
        <v>24</v>
      </c>
      <c r="L1085" t="s">
        <v>617</v>
      </c>
      <c r="M1085" t="s">
        <v>15</v>
      </c>
      <c r="N1085" t="str">
        <f t="shared" si="182"/>
        <v>https://api.bcb.gov.br/dados/serie/bcdata.sgs.14049/dados?formato=json</v>
      </c>
      <c r="O1085">
        <v>6</v>
      </c>
      <c r="P1085" t="s">
        <v>619</v>
      </c>
      <c r="Q1085" t="s">
        <v>827</v>
      </c>
      <c r="R1085" t="s">
        <v>118</v>
      </c>
      <c r="S1085" t="s">
        <v>622</v>
      </c>
    </row>
    <row r="1086" spans="1:19" x14ac:dyDescent="0.25">
      <c r="A1086" s="1"/>
      <c r="B1086" s="1">
        <v>14076</v>
      </c>
      <c r="C1086" s="2" t="s">
        <v>823</v>
      </c>
      <c r="D1086" s="1" t="s">
        <v>25</v>
      </c>
      <c r="E1086" s="3" t="s">
        <v>0</v>
      </c>
      <c r="F1086" s="4">
        <v>37987</v>
      </c>
      <c r="G1086" s="5">
        <v>45658</v>
      </c>
      <c r="H1086" s="6" t="s">
        <v>611</v>
      </c>
      <c r="I1086" s="1" t="s">
        <v>2</v>
      </c>
      <c r="J1086" s="7"/>
      <c r="K1086" s="15" t="s">
        <v>24</v>
      </c>
      <c r="L1086" t="s">
        <v>617</v>
      </c>
      <c r="M1086" t="s">
        <v>15</v>
      </c>
      <c r="N1086" t="str">
        <f t="shared" si="182"/>
        <v>https://api.bcb.gov.br/dados/serie/bcdata.sgs.14076/dados?formato=json</v>
      </c>
      <c r="O1086">
        <v>6</v>
      </c>
      <c r="P1086" t="s">
        <v>619</v>
      </c>
      <c r="Q1086" t="s">
        <v>827</v>
      </c>
      <c r="R1086" t="s">
        <v>118</v>
      </c>
      <c r="S1086" t="s">
        <v>118</v>
      </c>
    </row>
    <row r="1087" spans="1:19" x14ac:dyDescent="0.25">
      <c r="A1087" s="8"/>
      <c r="B1087" s="8">
        <v>15881</v>
      </c>
      <c r="C1087" s="9" t="s">
        <v>824</v>
      </c>
      <c r="D1087" s="8" t="s">
        <v>835</v>
      </c>
      <c r="E1087" s="10" t="s">
        <v>0</v>
      </c>
      <c r="F1087" s="11">
        <v>37987</v>
      </c>
      <c r="G1087" s="12">
        <v>45658</v>
      </c>
      <c r="H1087" s="13" t="s">
        <v>611</v>
      </c>
      <c r="I1087" s="8" t="s">
        <v>2</v>
      </c>
      <c r="J1087" s="14"/>
      <c r="K1087" s="15" t="s">
        <v>480</v>
      </c>
      <c r="L1087" t="s">
        <v>618</v>
      </c>
      <c r="M1087" t="s">
        <v>15</v>
      </c>
      <c r="N1087" t="str">
        <f t="shared" ref="N1087:N1092" si="183">_xlfn.CONCAT("https://api.bcb.gov.br/dados/serie/bcdata.sgs.",B1087,"/dados?formato=json")</f>
        <v>https://api.bcb.gov.br/dados/serie/bcdata.sgs.15881/dados?formato=json</v>
      </c>
      <c r="O1087">
        <v>6</v>
      </c>
      <c r="P1087" t="s">
        <v>619</v>
      </c>
      <c r="Q1087" t="s">
        <v>827</v>
      </c>
      <c r="R1087" t="s">
        <v>118</v>
      </c>
      <c r="S1087" t="s">
        <v>621</v>
      </c>
    </row>
    <row r="1088" spans="1:19" x14ac:dyDescent="0.25">
      <c r="A1088" s="1"/>
      <c r="B1088" s="1">
        <v>15913</v>
      </c>
      <c r="C1088" s="2" t="s">
        <v>825</v>
      </c>
      <c r="D1088" s="1" t="s">
        <v>835</v>
      </c>
      <c r="E1088" s="3" t="s">
        <v>0</v>
      </c>
      <c r="F1088" s="4">
        <v>37987</v>
      </c>
      <c r="G1088" s="5">
        <v>45658</v>
      </c>
      <c r="H1088" s="6" t="s">
        <v>611</v>
      </c>
      <c r="I1088" s="1" t="s">
        <v>2</v>
      </c>
      <c r="J1088" s="7"/>
      <c r="K1088" s="15" t="s">
        <v>480</v>
      </c>
      <c r="L1088" t="s">
        <v>618</v>
      </c>
      <c r="M1088" t="s">
        <v>15</v>
      </c>
      <c r="N1088" t="str">
        <f t="shared" si="183"/>
        <v>https://api.bcb.gov.br/dados/serie/bcdata.sgs.15913/dados?formato=json</v>
      </c>
      <c r="O1088">
        <v>6</v>
      </c>
      <c r="P1088" t="s">
        <v>619</v>
      </c>
      <c r="Q1088" t="s">
        <v>827</v>
      </c>
      <c r="R1088" t="s">
        <v>118</v>
      </c>
      <c r="S1088" t="s">
        <v>622</v>
      </c>
    </row>
    <row r="1089" spans="1:19" x14ac:dyDescent="0.25">
      <c r="A1089" s="8"/>
      <c r="B1089" s="8">
        <v>15945</v>
      </c>
      <c r="C1089" s="9" t="s">
        <v>826</v>
      </c>
      <c r="D1089" s="8" t="s">
        <v>835</v>
      </c>
      <c r="E1089" s="10" t="s">
        <v>0</v>
      </c>
      <c r="F1089" s="11">
        <v>37987</v>
      </c>
      <c r="G1089" s="12">
        <v>45658</v>
      </c>
      <c r="H1089" s="13" t="s">
        <v>611</v>
      </c>
      <c r="I1089" s="8" t="s">
        <v>2</v>
      </c>
      <c r="J1089" s="14"/>
      <c r="K1089" s="15" t="s">
        <v>480</v>
      </c>
      <c r="L1089" t="s">
        <v>618</v>
      </c>
      <c r="M1089" t="s">
        <v>15</v>
      </c>
      <c r="N1089" t="str">
        <f t="shared" si="183"/>
        <v>https://api.bcb.gov.br/dados/serie/bcdata.sgs.15945/dados?formato=json</v>
      </c>
      <c r="O1089">
        <v>6</v>
      </c>
      <c r="P1089" t="s">
        <v>619</v>
      </c>
      <c r="Q1089" t="s">
        <v>827</v>
      </c>
      <c r="R1089" t="s">
        <v>118</v>
      </c>
      <c r="S1089" t="s">
        <v>118</v>
      </c>
    </row>
    <row r="1090" spans="1:19" x14ac:dyDescent="0.25">
      <c r="A1090" s="1"/>
      <c r="B1090" s="1">
        <v>14087</v>
      </c>
      <c r="C1090" s="2" t="s">
        <v>828</v>
      </c>
      <c r="D1090" s="1" t="s">
        <v>25</v>
      </c>
      <c r="E1090" s="3" t="s">
        <v>0</v>
      </c>
      <c r="F1090" s="4">
        <v>37987</v>
      </c>
      <c r="G1090" s="5">
        <v>45658</v>
      </c>
      <c r="H1090" s="6" t="s">
        <v>611</v>
      </c>
      <c r="I1090" s="1" t="s">
        <v>2</v>
      </c>
      <c r="J1090" s="7"/>
      <c r="K1090" s="15" t="s">
        <v>24</v>
      </c>
      <c r="L1090" t="s">
        <v>617</v>
      </c>
      <c r="M1090" t="s">
        <v>15</v>
      </c>
      <c r="N1090" t="str">
        <f t="shared" si="183"/>
        <v>https://api.bcb.gov.br/dados/serie/bcdata.sgs.14087/dados?formato=json</v>
      </c>
      <c r="O1090">
        <v>6</v>
      </c>
      <c r="P1090" t="s">
        <v>671</v>
      </c>
      <c r="Q1090" t="s">
        <v>834</v>
      </c>
      <c r="R1090" t="s">
        <v>118</v>
      </c>
      <c r="S1090" t="s">
        <v>621</v>
      </c>
    </row>
    <row r="1091" spans="1:19" x14ac:dyDescent="0.25">
      <c r="A1091" s="8"/>
      <c r="B1091" s="8">
        <v>14092</v>
      </c>
      <c r="C1091" s="9" t="s">
        <v>829</v>
      </c>
      <c r="D1091" s="1" t="s">
        <v>25</v>
      </c>
      <c r="E1091" s="10" t="s">
        <v>0</v>
      </c>
      <c r="F1091" s="11">
        <v>37987</v>
      </c>
      <c r="G1091" s="12">
        <v>45658</v>
      </c>
      <c r="H1091" s="13" t="s">
        <v>611</v>
      </c>
      <c r="I1091" s="8" t="s">
        <v>2</v>
      </c>
      <c r="J1091" s="14"/>
      <c r="K1091" s="15" t="s">
        <v>24</v>
      </c>
      <c r="L1091" t="s">
        <v>617</v>
      </c>
      <c r="M1091" t="s">
        <v>15</v>
      </c>
      <c r="N1091" t="str">
        <f t="shared" si="183"/>
        <v>https://api.bcb.gov.br/dados/serie/bcdata.sgs.14092/dados?formato=json</v>
      </c>
      <c r="O1091">
        <v>6</v>
      </c>
      <c r="P1091" t="s">
        <v>671</v>
      </c>
      <c r="Q1091" t="s">
        <v>834</v>
      </c>
      <c r="R1091" t="s">
        <v>118</v>
      </c>
      <c r="S1091" t="s">
        <v>622</v>
      </c>
    </row>
    <row r="1092" spans="1:19" x14ac:dyDescent="0.25">
      <c r="A1092" s="1"/>
      <c r="B1092" s="1">
        <v>14097</v>
      </c>
      <c r="C1092" s="2" t="s">
        <v>830</v>
      </c>
      <c r="D1092" s="1" t="s">
        <v>25</v>
      </c>
      <c r="E1092" s="3" t="s">
        <v>0</v>
      </c>
      <c r="F1092" s="4">
        <v>37987</v>
      </c>
      <c r="G1092" s="5">
        <v>45658</v>
      </c>
      <c r="H1092" s="6" t="s">
        <v>611</v>
      </c>
      <c r="I1092" s="1" t="s">
        <v>2</v>
      </c>
      <c r="J1092" s="7"/>
      <c r="K1092" s="15" t="s">
        <v>24</v>
      </c>
      <c r="L1092" t="s">
        <v>617</v>
      </c>
      <c r="M1092" t="s">
        <v>15</v>
      </c>
      <c r="N1092" t="str">
        <f t="shared" si="183"/>
        <v>https://api.bcb.gov.br/dados/serie/bcdata.sgs.14097/dados?formato=json</v>
      </c>
      <c r="O1092">
        <v>6</v>
      </c>
      <c r="P1092" t="s">
        <v>671</v>
      </c>
      <c r="Q1092" t="s">
        <v>834</v>
      </c>
      <c r="R1092" t="s">
        <v>118</v>
      </c>
      <c r="S1092" t="s">
        <v>118</v>
      </c>
    </row>
    <row r="1093" spans="1:19" x14ac:dyDescent="0.25">
      <c r="A1093" s="8"/>
      <c r="B1093" s="8">
        <v>15892</v>
      </c>
      <c r="C1093" s="9" t="s">
        <v>831</v>
      </c>
      <c r="D1093" s="8" t="s">
        <v>835</v>
      </c>
      <c r="E1093" s="10" t="s">
        <v>0</v>
      </c>
      <c r="F1093" s="11">
        <v>37987</v>
      </c>
      <c r="G1093" s="12">
        <v>45658</v>
      </c>
      <c r="H1093" s="13" t="s">
        <v>611</v>
      </c>
      <c r="I1093" s="8" t="s">
        <v>2</v>
      </c>
      <c r="J1093" s="14"/>
      <c r="K1093" s="15" t="s">
        <v>480</v>
      </c>
      <c r="L1093" t="s">
        <v>618</v>
      </c>
      <c r="M1093" t="s">
        <v>15</v>
      </c>
      <c r="N1093" t="str">
        <f t="shared" ref="N1093:N1095" si="184">_xlfn.CONCAT("https://api.bcb.gov.br/dados/serie/bcdata.sgs.",B1093,"/dados?formato=json")</f>
        <v>https://api.bcb.gov.br/dados/serie/bcdata.sgs.15892/dados?formato=json</v>
      </c>
      <c r="O1093">
        <v>6</v>
      </c>
      <c r="P1093" t="s">
        <v>671</v>
      </c>
      <c r="Q1093" t="s">
        <v>834</v>
      </c>
      <c r="R1093" t="s">
        <v>118</v>
      </c>
      <c r="S1093" t="s">
        <v>621</v>
      </c>
    </row>
    <row r="1094" spans="1:19" x14ac:dyDescent="0.25">
      <c r="A1094" s="1"/>
      <c r="B1094" s="1">
        <v>15924</v>
      </c>
      <c r="C1094" s="2" t="s">
        <v>832</v>
      </c>
      <c r="D1094" s="1" t="s">
        <v>835</v>
      </c>
      <c r="E1094" s="3" t="s">
        <v>0</v>
      </c>
      <c r="F1094" s="4">
        <v>37987</v>
      </c>
      <c r="G1094" s="5">
        <v>45658</v>
      </c>
      <c r="H1094" s="6" t="s">
        <v>611</v>
      </c>
      <c r="I1094" s="1" t="s">
        <v>2</v>
      </c>
      <c r="J1094" s="7"/>
      <c r="K1094" s="15" t="s">
        <v>480</v>
      </c>
      <c r="L1094" t="s">
        <v>618</v>
      </c>
      <c r="M1094" t="s">
        <v>15</v>
      </c>
      <c r="N1094" t="str">
        <f t="shared" si="184"/>
        <v>https://api.bcb.gov.br/dados/serie/bcdata.sgs.15924/dados?formato=json</v>
      </c>
      <c r="O1094">
        <v>6</v>
      </c>
      <c r="P1094" t="s">
        <v>671</v>
      </c>
      <c r="Q1094" t="s">
        <v>834</v>
      </c>
      <c r="R1094" t="s">
        <v>118</v>
      </c>
      <c r="S1094" t="s">
        <v>622</v>
      </c>
    </row>
    <row r="1095" spans="1:19" x14ac:dyDescent="0.25">
      <c r="A1095" s="8"/>
      <c r="B1095" s="8">
        <v>15956</v>
      </c>
      <c r="C1095" s="9" t="s">
        <v>833</v>
      </c>
      <c r="D1095" s="8" t="s">
        <v>835</v>
      </c>
      <c r="E1095" s="10" t="s">
        <v>0</v>
      </c>
      <c r="F1095" s="11">
        <v>37987</v>
      </c>
      <c r="G1095" s="12">
        <v>45658</v>
      </c>
      <c r="H1095" s="13" t="s">
        <v>611</v>
      </c>
      <c r="I1095" s="8" t="s">
        <v>2</v>
      </c>
      <c r="J1095" s="14"/>
      <c r="K1095" s="15" t="s">
        <v>480</v>
      </c>
      <c r="L1095" t="s">
        <v>618</v>
      </c>
      <c r="M1095" t="s">
        <v>15</v>
      </c>
      <c r="N1095" t="str">
        <f t="shared" si="184"/>
        <v>https://api.bcb.gov.br/dados/serie/bcdata.sgs.15956/dados?formato=json</v>
      </c>
      <c r="O1095">
        <v>6</v>
      </c>
      <c r="P1095" t="s">
        <v>671</v>
      </c>
      <c r="Q1095" t="s">
        <v>834</v>
      </c>
      <c r="R1095" t="s">
        <v>118</v>
      </c>
      <c r="S1095" t="s">
        <v>118</v>
      </c>
    </row>
    <row r="1096" spans="1:19" x14ac:dyDescent="0.25">
      <c r="C1096" t="s">
        <v>837</v>
      </c>
      <c r="D1096" t="s">
        <v>842</v>
      </c>
      <c r="E1096" t="s">
        <v>0</v>
      </c>
      <c r="K1096" t="s">
        <v>838</v>
      </c>
      <c r="L1096" t="s">
        <v>839</v>
      </c>
      <c r="M1096" t="s">
        <v>840</v>
      </c>
      <c r="N1096" t="s">
        <v>841</v>
      </c>
      <c r="O1096">
        <v>6</v>
      </c>
      <c r="P1096" t="s">
        <v>19</v>
      </c>
      <c r="Q1096" t="s">
        <v>19</v>
      </c>
      <c r="R1096" t="s">
        <v>118</v>
      </c>
      <c r="S1096" t="s">
        <v>843</v>
      </c>
    </row>
    <row r="1097" spans="1:19" x14ac:dyDescent="0.25">
      <c r="C1097" t="s">
        <v>844</v>
      </c>
      <c r="D1097" t="s">
        <v>842</v>
      </c>
      <c r="E1097" t="s">
        <v>0</v>
      </c>
      <c r="K1097" t="s">
        <v>838</v>
      </c>
      <c r="L1097" t="s">
        <v>845</v>
      </c>
      <c r="M1097" t="s">
        <v>840</v>
      </c>
      <c r="N1097" t="s">
        <v>846</v>
      </c>
      <c r="O1097">
        <v>6</v>
      </c>
      <c r="P1097" t="s">
        <v>19</v>
      </c>
      <c r="Q1097" t="s">
        <v>19</v>
      </c>
      <c r="R1097" t="s">
        <v>118</v>
      </c>
      <c r="S1097" t="s">
        <v>847</v>
      </c>
    </row>
    <row r="1098" spans="1:19" x14ac:dyDescent="0.25">
      <c r="C1098" t="s">
        <v>848</v>
      </c>
      <c r="D1098" t="s">
        <v>842</v>
      </c>
      <c r="E1098" t="s">
        <v>0</v>
      </c>
      <c r="K1098" t="s">
        <v>838</v>
      </c>
      <c r="L1098" t="s">
        <v>849</v>
      </c>
      <c r="M1098" t="s">
        <v>840</v>
      </c>
      <c r="N1098" t="s">
        <v>850</v>
      </c>
      <c r="O1098">
        <v>6</v>
      </c>
      <c r="P1098" t="s">
        <v>19</v>
      </c>
      <c r="Q1098" t="s">
        <v>19</v>
      </c>
      <c r="R1098" t="s">
        <v>118</v>
      </c>
      <c r="S1098" t="s">
        <v>851</v>
      </c>
    </row>
    <row r="1099" spans="1:19" x14ac:dyDescent="0.25">
      <c r="C1099" t="s">
        <v>852</v>
      </c>
      <c r="D1099" t="s">
        <v>842</v>
      </c>
      <c r="E1099" t="s">
        <v>0</v>
      </c>
      <c r="K1099" t="s">
        <v>838</v>
      </c>
      <c r="L1099" t="s">
        <v>853</v>
      </c>
      <c r="M1099" t="s">
        <v>840</v>
      </c>
      <c r="N1099" t="s">
        <v>854</v>
      </c>
      <c r="O1099">
        <v>6</v>
      </c>
      <c r="P1099" t="s">
        <v>19</v>
      </c>
      <c r="Q1099" t="s">
        <v>19</v>
      </c>
      <c r="R1099" t="s">
        <v>118</v>
      </c>
      <c r="S1099" t="s">
        <v>118</v>
      </c>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kleber giovelli</dc:creator>
  <cp:lastModifiedBy>kleber giovelli</cp:lastModifiedBy>
  <dcterms:created xsi:type="dcterms:W3CDTF">2025-01-14T13:45:57Z</dcterms:created>
  <dcterms:modified xsi:type="dcterms:W3CDTF">2025-07-31T18:32:46Z</dcterms:modified>
</cp:coreProperties>
</file>